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its" sheetId="1" r:id="rId5"/>
    <sheet state="visible" name="U2" sheetId="2" r:id="rId6"/>
    <sheet state="visible" name="Powers" sheetId="3" r:id="rId7"/>
    <sheet state="visible" name="Sheet15" sheetId="4" r:id="rId8"/>
    <sheet state="visible" name="Meta" sheetId="5" r:id="rId9"/>
    <sheet state="visible" name="Viewer" sheetId="6" r:id="rId10"/>
    <sheet state="visible" name="Lists" sheetId="7" r:id="rId11"/>
    <sheet state="visible" name="Factions" sheetId="8" r:id="rId12"/>
    <sheet state="visible" name="Weapons" sheetId="9" r:id="rId13"/>
    <sheet state="visible" name="Suggested Weapons" sheetId="10" r:id="rId14"/>
    <sheet state="hidden" name="View" sheetId="11" r:id="rId15"/>
    <sheet state="hidden" name="Combat" sheetId="12" r:id="rId16"/>
    <sheet state="visible" name="Suggestions" sheetId="13" r:id="rId17"/>
    <sheet state="visible" name="Artillery" sheetId="14" r:id="rId18"/>
  </sheets>
  <definedNames>
    <definedName name="Skills">Powers!$C$2:$C$108</definedName>
    <definedName name="Factions">Factions!$B$2:$B$100</definedName>
    <definedName name="Weapons">Powers!$A$2:$A$108</definedName>
    <definedName name="Armour">Powers!$B$2:$B$108</definedName>
    <definedName hidden="1" localSheetId="0" name="_xlnm._FilterDatabase">Units!$A$1:$AY$175</definedName>
    <definedName hidden="1" localSheetId="1" name="_xlnm._FilterDatabase">'U2'!$A$1:$O$45</definedName>
    <definedName hidden="1" localSheetId="4" name="_xlnm._FilterDatabase">Meta!$A$4:$AX$68</definedName>
    <definedName hidden="1" localSheetId="8" name="_xlnm._FilterDatabase">Weapons!$A$1:$L$99</definedName>
    <definedName hidden="1" localSheetId="13" name="_xlnm._FilterDatabase">Artillery!$A$1:$Q$2991</definedName>
    <definedName hidden="1" localSheetId="4" name="Z_2D78EB01_C1D7_4ECB_A2A9_D8B009A24581_.wvu.FilterData">Meta!$A$4:$AX$68</definedName>
  </definedNames>
  <calcPr/>
  <customWorkbookViews>
    <customWorkbookView activeSheetId="0" maximized="1" windowHeight="0" windowWidth="0" guid="{2D78EB01-C1D7-4ECB-A2A9-D8B009A24581}" name="Group by Faction"/>
  </customWorkbookViews>
  <pivotCaches>
    <pivotCache cacheId="0" r:id="rId19"/>
    <pivotCache cacheId="1" r:id="rId20"/>
  </pivotCaches>
</workbook>
</file>

<file path=xl/sharedStrings.xml><?xml version="1.0" encoding="utf-8"?>
<sst xmlns="http://schemas.openxmlformats.org/spreadsheetml/2006/main" count="3875" uniqueCount="1158">
  <si>
    <t>Weapons</t>
  </si>
  <si>
    <t>Unit</t>
  </si>
  <si>
    <t>Armour</t>
  </si>
  <si>
    <t>Skills</t>
  </si>
  <si>
    <t>Blunt</t>
  </si>
  <si>
    <t>Power</t>
  </si>
  <si>
    <t>Heavy</t>
  </si>
  <si>
    <t>Gobbo</t>
  </si>
  <si>
    <t>Blank</t>
  </si>
  <si>
    <t>Bone</t>
  </si>
  <si>
    <t>Scaled Empire</t>
  </si>
  <si>
    <t>Sword</t>
  </si>
  <si>
    <t>Piercing</t>
  </si>
  <si>
    <t>Medium</t>
  </si>
  <si>
    <t>AP 1</t>
  </si>
  <si>
    <t>Veteran</t>
  </si>
  <si>
    <t>Axe</t>
  </si>
  <si>
    <t>Light</t>
  </si>
  <si>
    <t>Extra strike</t>
  </si>
  <si>
    <t>Claw</t>
  </si>
  <si>
    <t>Spear</t>
  </si>
  <si>
    <t>Unarmoured</t>
  </si>
  <si>
    <t>Extra wound</t>
  </si>
  <si>
    <t>Charge defense</t>
  </si>
  <si>
    <t>Pike</t>
  </si>
  <si>
    <t>Vertical attack</t>
  </si>
  <si>
    <t>Horizontal attack</t>
  </si>
  <si>
    <t>Small attack</t>
  </si>
  <si>
    <t>Warhammer</t>
  </si>
  <si>
    <t>Massive attack</t>
  </si>
  <si>
    <t>Shield</t>
  </si>
  <si>
    <t>Charger</t>
  </si>
  <si>
    <t>Defender</t>
  </si>
  <si>
    <t>Longbows</t>
  </si>
  <si>
    <t>Volley</t>
  </si>
  <si>
    <t>-Gobbo - Bomb</t>
  </si>
  <si>
    <t>Crossbows</t>
  </si>
  <si>
    <t>AP1, Move or shoot</t>
  </si>
  <si>
    <t>Dodge</t>
  </si>
  <si>
    <t>Javelins</t>
  </si>
  <si>
    <t>Move and shoot</t>
  </si>
  <si>
    <t>-Undead-Scythe</t>
  </si>
  <si>
    <t>Hybrid</t>
  </si>
  <si>
    <t>Shoot</t>
  </si>
  <si>
    <t>Beserkers</t>
  </si>
  <si>
    <t>Accuracy</t>
  </si>
  <si>
    <t>Bomb squad</t>
  </si>
  <si>
    <t>Range</t>
  </si>
  <si>
    <t>Poppers</t>
  </si>
  <si>
    <t>Move</t>
  </si>
  <si>
    <t>Revenants</t>
  </si>
  <si>
    <t>Turn</t>
  </si>
  <si>
    <t>Charge</t>
  </si>
  <si>
    <t>Slow</t>
  </si>
  <si>
    <t>Unbreakable</t>
  </si>
  <si>
    <t>Scout Corps</t>
  </si>
  <si>
    <t>Brave</t>
  </si>
  <si>
    <t>Shieldwall</t>
  </si>
  <si>
    <t>Cowardly</t>
  </si>
  <si>
    <t>Horsebreakers</t>
  </si>
  <si>
    <t>-G-Burst</t>
  </si>
  <si>
    <t>Beserk</t>
  </si>
  <si>
    <t>-G-Jetpack</t>
  </si>
  <si>
    <t>-G-Rabid</t>
  </si>
  <si>
    <t>-U-Vampiric</t>
  </si>
  <si>
    <t>-U-Scary</t>
  </si>
  <si>
    <t>Poison</t>
  </si>
  <si>
    <t>-U-Ethereal</t>
  </si>
  <si>
    <t>Faction</t>
  </si>
  <si>
    <t>Family</t>
  </si>
  <si>
    <t>Tier</t>
  </si>
  <si>
    <t>Count</t>
  </si>
  <si>
    <t>Hp</t>
  </si>
  <si>
    <t>Type</t>
  </si>
  <si>
    <t>Weapon</t>
  </si>
  <si>
    <t>Unique</t>
  </si>
  <si>
    <t>S1</t>
  </si>
  <si>
    <t>S2</t>
  </si>
  <si>
    <t>S3</t>
  </si>
  <si>
    <t>S4</t>
  </si>
  <si>
    <t>Column 15</t>
  </si>
  <si>
    <t>Warriors</t>
  </si>
  <si>
    <t>Defensive</t>
  </si>
  <si>
    <t>Id</t>
  </si>
  <si>
    <t>Name</t>
  </si>
  <si>
    <t>Include</t>
  </si>
  <si>
    <t>Class</t>
  </si>
  <si>
    <t>Comparison Class</t>
  </si>
  <si>
    <t>Base Block</t>
  </si>
  <si>
    <t>Cost</t>
  </si>
  <si>
    <t>Equips</t>
  </si>
  <si>
    <t>Number</t>
  </si>
  <si>
    <t>Movement</t>
  </si>
  <si>
    <t>Melee Hit</t>
  </si>
  <si>
    <t>Ranged Hit</t>
  </si>
  <si>
    <t>Attacks</t>
  </si>
  <si>
    <t>HP</t>
  </si>
  <si>
    <t>Block</t>
  </si>
  <si>
    <t>Powers</t>
  </si>
  <si>
    <t>TCR</t>
  </si>
  <si>
    <t>Example Equip Powers</t>
  </si>
  <si>
    <t>SNCPS</t>
  </si>
  <si>
    <t>Spells</t>
  </si>
  <si>
    <t>Banners</t>
  </si>
  <si>
    <t>Spears</t>
  </si>
  <si>
    <t>Axes</t>
  </si>
  <si>
    <t>Group</t>
  </si>
  <si>
    <t>Clubs</t>
  </si>
  <si>
    <t>Offhand</t>
  </si>
  <si>
    <t>Shields</t>
  </si>
  <si>
    <t>Ranged</t>
  </si>
  <si>
    <t>Move Colour</t>
  </si>
  <si>
    <t>Melee Colour</t>
  </si>
  <si>
    <t>Ranged Colour</t>
  </si>
  <si>
    <t>Attacks Colour</t>
  </si>
  <si>
    <t>HP Colour</t>
  </si>
  <si>
    <t>Block Colour</t>
  </si>
  <si>
    <t>AC</t>
  </si>
  <si>
    <t>L1 Colour</t>
  </si>
  <si>
    <t>Speed</t>
  </si>
  <si>
    <t>L2 Colour</t>
  </si>
  <si>
    <t>L1 Text Colour</t>
  </si>
  <si>
    <t>L2 Text Colour</t>
  </si>
  <si>
    <t>Armourbreaker</t>
  </si>
  <si>
    <t>Faction Icon</t>
  </si>
  <si>
    <t>Equipment</t>
  </si>
  <si>
    <t>Min Speed</t>
  </si>
  <si>
    <t>Total Wounds</t>
  </si>
  <si>
    <t>Predicted Hits to Kill</t>
  </si>
  <si>
    <t>EAPM</t>
  </si>
  <si>
    <t>EAPR</t>
  </si>
  <si>
    <t>Poison Mult</t>
  </si>
  <si>
    <t>Ret Bonus</t>
  </si>
  <si>
    <t>Predicted Hits per Round</t>
  </si>
  <si>
    <t>Base Score</t>
  </si>
  <si>
    <t>Exclude From Averages</t>
  </si>
  <si>
    <t>03_1_5</t>
  </si>
  <si>
    <t>Fodder</t>
  </si>
  <si>
    <t>Boneborn</t>
  </si>
  <si>
    <t>Skeletons</t>
  </si>
  <si>
    <t>Chaff</t>
  </si>
  <si>
    <t>Units</t>
  </si>
  <si>
    <t>Archers</t>
  </si>
  <si>
    <t>Infantry</t>
  </si>
  <si>
    <t>Heavy Infantry</t>
  </si>
  <si>
    <t>Attack Infantry</t>
  </si>
  <si>
    <t>Fast Infantry</t>
  </si>
  <si>
    <t>-</t>
  </si>
  <si>
    <t>Light Cavalry</t>
  </si>
  <si>
    <t>Heavy Cavalry</t>
  </si>
  <si>
    <t>1</t>
  </si>
  <si>
    <t>Chariot</t>
  </si>
  <si>
    <t>Flyer</t>
  </si>
  <si>
    <t>5</t>
  </si>
  <si>
    <t>Monster</t>
  </si>
  <si>
    <t>&lt;b&gt;Unstable&lt;/b&gt; - Instead of rolling to flee, lose 1 extra wound</t>
  </si>
  <si>
    <t>War Machine</t>
  </si>
  <si>
    <t>Attack Mage</t>
  </si>
  <si>
    <t>Support Mage</t>
  </si>
  <si>
    <t>Mage Hero</t>
  </si>
  <si>
    <t>Hybrid Mage Hero</t>
  </si>
  <si>
    <t>Support Hero</t>
  </si>
  <si>
    <t>Warrior Hero</t>
  </si>
  <si>
    <t>Monster Hero</t>
  </si>
  <si>
    <t>Cav Hero</t>
  </si>
  <si>
    <t>War Machine Hero</t>
  </si>
  <si>
    <t>Archer Hero</t>
  </si>
  <si>
    <t>#000000</t>
  </si>
  <si>
    <t>Unique Hero</t>
  </si>
  <si>
    <t>All Infantry</t>
  </si>
  <si>
    <t>All Mobile</t>
  </si>
  <si>
    <t>#cc0000</t>
  </si>
  <si>
    <t>All Ranged</t>
  </si>
  <si>
    <t>All Other</t>
  </si>
  <si>
    <t>C1</t>
  </si>
  <si>
    <t>C2</t>
  </si>
  <si>
    <t>C3</t>
  </si>
  <si>
    <t>AC /</t>
  </si>
  <si>
    <t>AC 6</t>
  </si>
  <si>
    <t>AC 5</t>
  </si>
  <si>
    <t>AC 4</t>
  </si>
  <si>
    <t>AC 3</t>
  </si>
  <si>
    <t>M2+</t>
  </si>
  <si>
    <t>Maneuve.</t>
  </si>
  <si>
    <t>Avg HP</t>
  </si>
  <si>
    <t>HP 2+</t>
  </si>
  <si>
    <t>HP 3+</t>
  </si>
  <si>
    <t>Avg Total HP</t>
  </si>
  <si>
    <t>Avg EHP</t>
  </si>
  <si>
    <t>Avg Hits</t>
  </si>
  <si>
    <t>None</t>
  </si>
  <si>
    <t>Sniper</t>
  </si>
  <si>
    <t>03_1_6</t>
  </si>
  <si>
    <t>Shieldbearers</t>
  </si>
  <si>
    <t>4</t>
  </si>
  <si>
    <t>#2b9800</t>
  </si>
  <si>
    <t>Offensive</t>
  </si>
  <si>
    <t>03_1_1</t>
  </si>
  <si>
    <t>SUM of Avg EHP</t>
  </si>
  <si>
    <t>SUM of Avg Hits</t>
  </si>
  <si>
    <t>SUM of M2+</t>
  </si>
  <si>
    <t>Coppersand</t>
  </si>
  <si>
    <t>Disciples</t>
  </si>
  <si>
    <t>Ratkin</t>
  </si>
  <si>
    <t>Redspines</t>
  </si>
  <si>
    <t>Silk Court</t>
  </si>
  <si>
    <t>Grand Total</t>
  </si>
  <si>
    <t>Bombdancers</t>
  </si>
  <si>
    <t>COUNTA of Id</t>
  </si>
  <si>
    <t>Bomb Squad</t>
  </si>
  <si>
    <t>Spell Type</t>
  </si>
  <si>
    <t>Attack</t>
  </si>
  <si>
    <t>Buff</t>
  </si>
  <si>
    <t>Heal</t>
  </si>
  <si>
    <t>Hex</t>
  </si>
  <si>
    <t>03_1_2</t>
  </si>
  <si>
    <t>Whizzbangs</t>
  </si>
  <si>
    <t>6</t>
  </si>
  <si>
    <t>Slicers</t>
  </si>
  <si>
    <t>03_1_4</t>
  </si>
  <si>
    <t>Wights</t>
  </si>
  <si>
    <t>Thumpers</t>
  </si>
  <si>
    <t>Weapon Types</t>
  </si>
  <si>
    <t xml:space="preserve">&lt;b&gt;Unstable&lt;/b&gt; - Instead of rolling to flee, lose 1 extra wound
&lt;b&gt;Terrifying&lt;/b&gt; - At the start of each round of combat, all enemy units in combat with it must roll to flee. If they flee out of combat, no combat takes place. </t>
  </si>
  <si>
    <t>Banner</t>
  </si>
  <si>
    <t>Spell</t>
  </si>
  <si>
    <t>Tin Cans</t>
  </si>
  <si>
    <t>Heavy Warriors</t>
  </si>
  <si>
    <t>The Heavies</t>
  </si>
  <si>
    <t>03_1_3</t>
  </si>
  <si>
    <t>&lt;b&gt;Unstable&lt;/b&gt; - Instead of rolling to flee, lose 1 extra wound
&lt;b&gt;Revenants&lt;/b&gt; - After combat, add a new model for each enemy model that died. Limited to the starting size.</t>
  </si>
  <si>
    <t>Skypriests</t>
  </si>
  <si>
    <t>Mobile</t>
  </si>
  <si>
    <t>Thunderpriests</t>
  </si>
  <si>
    <t>03_2A_1</t>
  </si>
  <si>
    <t>Tomb Titan</t>
  </si>
  <si>
    <t>Bonegiant</t>
  </si>
  <si>
    <t>&lt;b&gt;Unstable&lt;/b&gt; - Instead of rolling to flee, lose 1 extra wound
&lt;b&gt;Mighty Cleave&lt;/b&gt; - In combat this unit makes its attacks against all adjacent enemy units. Roll separately for each. If they are not in combat, they take damage but are not included in combat resolution and do not strike back.
&lt;b&gt;Well Prepared&lt;/b&gt; - Equipment costs 1 less.</t>
  </si>
  <si>
    <t>&lt;b&gt;AP 1&lt;/b&gt;</t>
  </si>
  <si>
    <t>Icon</t>
  </si>
  <si>
    <t>Description</t>
  </si>
  <si>
    <t>Inspiration</t>
  </si>
  <si>
    <t>Racial Trait</t>
  </si>
  <si>
    <t>Racial Stats</t>
  </si>
  <si>
    <t>Themes</t>
  </si>
  <si>
    <t>Traits</t>
  </si>
  <si>
    <t>Flaws</t>
  </si>
  <si>
    <t>Flavour</t>
  </si>
  <si>
    <t>01</t>
  </si>
  <si>
    <t>Flaggelants</t>
  </si>
  <si>
    <t>#00dd28</t>
  </si>
  <si>
    <t>#00941A</t>
  </si>
  <si>
    <t>#ffffff</t>
  </si>
  <si>
    <t>gobbos</t>
  </si>
  <si>
    <t>Goblin Shamans</t>
  </si>
  <si>
    <t>Mad Max</t>
  </si>
  <si>
    <t>Explosions and chaos</t>
  </si>
  <si>
    <t>Explosive</t>
  </si>
  <si>
    <t>Splash damage</t>
  </si>
  <si>
    <t>Predictability</t>
  </si>
  <si>
    <t>02</t>
  </si>
  <si>
    <t>#ffb380</t>
  </si>
  <si>
    <t>#733d00</t>
  </si>
  <si>
    <t>rats</t>
  </si>
  <si>
    <t>Ratfolk Underempire</t>
  </si>
  <si>
    <t>Skaven</t>
  </si>
  <si>
    <t>x1.5 models, -1 hit, -1 ac</t>
  </si>
  <si>
    <t>Swarms and thieves</t>
  </si>
  <si>
    <t>03_2A_2</t>
  </si>
  <si>
    <t>Loads of models, mobile</t>
  </si>
  <si>
    <t>Low hp, short ranged, poor stats</t>
  </si>
  <si>
    <t>Grave Beast</t>
  </si>
  <si>
    <t>03</t>
  </si>
  <si>
    <t>#e0e0d3</t>
  </si>
  <si>
    <t>#4d4d4d</t>
  </si>
  <si>
    <t>skellies</t>
  </si>
  <si>
    <t>Undead Dark Empire</t>
  </si>
  <si>
    <t>Everywhere</t>
  </si>
  <si>
    <t>Unstable</t>
  </si>
  <si>
    <t>Terrifying and unrelenting</t>
  </si>
  <si>
    <t>Terrifying, Revenants</t>
  </si>
  <si>
    <t>Tough to kill, magic</t>
  </si>
  <si>
    <t>Slow, low ranged</t>
  </si>
  <si>
    <t xml:space="preserve">&lt;b&gt;Unstable&lt;/b&gt; - Instead of rolling to flee, lose 1 extra wound
&lt;b&gt;Revenants&lt;/b&gt; - After combat, add a new wound for each enemy that died. Limited to the starting size.
&lt;b&gt;Terrifying&lt;/b&gt; - At the start of each round of combat, all enemy units in combat with it must roll to flee. If they flee out of combat, no combat takes place. </t>
  </si>
  <si>
    <t>04</t>
  </si>
  <si>
    <t>Scourger</t>
  </si>
  <si>
    <t>#f1baff</t>
  </si>
  <si>
    <t>#2d2d2d</t>
  </si>
  <si>
    <t>spiders</t>
  </si>
  <si>
    <t>Spiderfolk Monarchists</t>
  </si>
  <si>
    <t>Feudal Court Intrigue</t>
  </si>
  <si>
    <t>-1 model</t>
  </si>
  <si>
    <t>Knights and assassins</t>
  </si>
  <si>
    <t>Virulent</t>
  </si>
  <si>
    <t>Mobile, ranged, armour piercing</t>
  </si>
  <si>
    <t>Few models, expert's army</t>
  </si>
  <si>
    <t>05</t>
  </si>
  <si>
    <t>#e78e7e</t>
  </si>
  <si>
    <t>#cf0000</t>
  </si>
  <si>
    <t>redspines</t>
  </si>
  <si>
    <t>Hedgehog Bezerkers</t>
  </si>
  <si>
    <t>Vikings</t>
  </si>
  <si>
    <t>Vengence</t>
  </si>
  <si>
    <t>Buffs to wounded units</t>
  </si>
  <si>
    <t>Relentless, Circle of Spikes, Bloodlust</t>
  </si>
  <si>
    <t>Mutual destruction, fast</t>
  </si>
  <si>
    <t>No defenses, short range</t>
  </si>
  <si>
    <t>06</t>
  </si>
  <si>
    <t>#ffb317</t>
  </si>
  <si>
    <t>#cf6c23</t>
  </si>
  <si>
    <t>gremlins</t>
  </si>
  <si>
    <t>Gremlin Technocracy</t>
  </si>
  <si>
    <t>HoMM Academy</t>
  </si>
  <si>
    <t>Mechanic / Construct</t>
  </si>
  <si>
    <t>Mechanics, golems and siege weapons</t>
  </si>
  <si>
    <t>Augmenting Others</t>
  </si>
  <si>
    <t>Great equipment, shooting, controlling movement</t>
  </si>
  <si>
    <t>Few models, no magic, slow</t>
  </si>
  <si>
    <t>07</t>
  </si>
  <si>
    <t>#c9daf8</t>
  </si>
  <si>
    <t>#00399e</t>
  </si>
  <si>
    <t>Bangwagons</t>
  </si>
  <si>
    <t>empire</t>
  </si>
  <si>
    <t>Draconic Empire</t>
  </si>
  <si>
    <t>Condotierri / The Empire</t>
  </si>
  <si>
    <t>Regimented</t>
  </si>
  <si>
    <t>Regiments &amp; Detamachments</t>
  </si>
  <si>
    <t>Leadership, ranged, generalists</t>
  </si>
  <si>
    <t>2d6</t>
  </si>
  <si>
    <t>Relatively Low Damage</t>
  </si>
  <si>
    <t>Very light on dragon elements</t>
  </si>
  <si>
    <t>08</t>
  </si>
  <si>
    <t>#5c9667</t>
  </si>
  <si>
    <t>#005050</t>
  </si>
  <si>
    <t>03_2A_3</t>
  </si>
  <si>
    <t>Skullclops</t>
  </si>
  <si>
    <t>disciples</t>
  </si>
  <si>
    <t>Experimental Chimaeras</t>
  </si>
  <si>
    <t>Splicers</t>
  </si>
  <si>
    <t>x0.5 models, 2 hp, 2 attacks</t>
  </si>
  <si>
    <t>Big Beasties</t>
  </si>
  <si>
    <t>All multiwound, weak ranged</t>
  </si>
  <si>
    <t>A force of mad alchemists and their chimeras, following in the footsteps of the beastmaker</t>
  </si>
  <si>
    <t>09</t>
  </si>
  <si>
    <t>Slimes</t>
  </si>
  <si>
    <t>#00ffff</t>
  </si>
  <si>
    <t>#ff00ee</t>
  </si>
  <si>
    <t>slimes</t>
  </si>
  <si>
    <t>Slime Rancher</t>
  </si>
  <si>
    <t xml:space="preserve">&lt;b&gt;Unstable&lt;/b&gt; - Instead of rolling to flee, lose 1 extra wound
&lt;b&gt;Rock Lobber&lt;/b&gt; - Ranged Weapon - Range 4, AP -2, Multiwound 3. </t>
  </si>
  <si>
    <t>Regrow</t>
  </si>
  <si>
    <t>Wolfcarts</t>
  </si>
  <si>
    <t>10</t>
  </si>
  <si>
    <t>Castaways</t>
  </si>
  <si>
    <t>#3467FF</t>
  </si>
  <si>
    <t>Human Nomadic Tribes</t>
  </si>
  <si>
    <t>?</t>
  </si>
  <si>
    <t xml:space="preserve">The human (humanoid?) inhabitants of the continent before the beastmaker came. Now scattered across the continent as nomadic bands and guerilla fighters. </t>
  </si>
  <si>
    <t>11</t>
  </si>
  <si>
    <t>Parrots</t>
  </si>
  <si>
    <t>Parrotfolk bards</t>
  </si>
  <si>
    <t>12</t>
  </si>
  <si>
    <t>Imps</t>
  </si>
  <si>
    <t>#520066</t>
  </si>
  <si>
    <t>Hunting Party</t>
  </si>
  <si>
    <t>imps</t>
  </si>
  <si>
    <t>Impact</t>
  </si>
  <si>
    <t>03_2B_2</t>
  </si>
  <si>
    <t>Terrormancers</t>
  </si>
  <si>
    <t>Liches</t>
  </si>
  <si>
    <t>Boom Box</t>
  </si>
  <si>
    <t>Artillery</t>
  </si>
  <si>
    <t>2</t>
  </si>
  <si>
    <t>&lt;b&gt;Unstable&lt;/b&gt; - Instead of rolling to flee, lose 1 extra wound
&lt;b&gt;Bone Spurs&lt;/b&gt; - Ranged weapon. Can target any unit adjacent to a friendly Boneborn unit. Can fire into combat. Units wounded by this attack must immediately roll to flee.</t>
  </si>
  <si>
    <t>Flamethrower</t>
  </si>
  <si>
    <t>Starchucker</t>
  </si>
  <si>
    <t>Razorstar</t>
  </si>
  <si>
    <t>03_2B_3</t>
  </si>
  <si>
    <t>Blood Mages</t>
  </si>
  <si>
    <t>Firetruck</t>
  </si>
  <si>
    <t>3</t>
  </si>
  <si>
    <t xml:space="preserve">&lt;b&gt;Unstable&lt;/b&gt; - Instead of rolling to flee, lose 1 extra wound
&lt;b&gt;Blood Rites&lt;/b&gt; - After combat, roll an extra attack for each wound this unit dealt in combat. This can damage a unit that has fled from it. </t>
  </si>
  <si>
    <t>All</t>
  </si>
  <si>
    <t>03_2C_1</t>
  </si>
  <si>
    <t>Wall of Flesh</t>
  </si>
  <si>
    <t>Zombies</t>
  </si>
  <si>
    <t>&lt;b&gt;Unstable&lt;/b&gt; - Instead of rolling to flee, lose 1 extra wound
&lt;b&gt;Spongey 2&lt;/b&gt; - Ignore 2 damage every round of combat or when hit by a ranged attack.
&lt;b&gt;Slow&lt;/b&gt; - Can't hustle</t>
  </si>
  <si>
    <t>03_2C_3</t>
  </si>
  <si>
    <t>Rotting Dead</t>
  </si>
  <si>
    <t>&lt;b&gt;Unstable&lt;/b&gt; - Instead of rolling to flee, lose 1 extra wound
&lt;b&gt;Poison&lt;/b&gt; - 6s to hit can't be saved
&lt;b&gt;Plague&lt;/b&gt; - At the end of each player's turn, units adjacent to this unit suffer a wound on a 4+ with no armour saves allowed. Does not affect Boneborn units.</t>
  </si>
  <si>
    <t>03_2B_1</t>
  </si>
  <si>
    <t>Necromancers</t>
  </si>
  <si>
    <t>&lt;b&gt;Unstable&lt;/b&gt; - Instead of rolling to flee, lose 1 extra wound
&lt;b&gt;Raise the Dead 1&lt;/b&gt; - Free action: Choose an undead unit and heal 1 wound per Necromancer. This can resurrect models. Limited to the starting number of units/wounds.
&lt;b&gt;Stabalizer&lt;/b&gt; - Units affected by Raise the Dead do not lose wounds due to unstable this turn.</t>
  </si>
  <si>
    <t>Ghouls</t>
  </si>
  <si>
    <t>03_2C_2</t>
  </si>
  <si>
    <t>&lt;b&gt;Unstable&lt;/b&gt; - Instead of rolling to flee, lose 1 extra wound
&lt;b&gt;Fresh Revenants&lt;/b&gt; - After combat, add a new ghoul with full health for each enemy that died. Limited to the starting size.
&lt;b&gt;Fast&lt;/b&gt; - Rolls two hustle die, so it can travel up to two extra squares.</t>
  </si>
  <si>
    <t>Walking Dead</t>
  </si>
  <si>
    <t>06_1_4</t>
  </si>
  <si>
    <t>Supplicants</t>
  </si>
  <si>
    <t>Partial_Id</t>
  </si>
  <si>
    <t>Mechanics</t>
  </si>
  <si>
    <t>Casting Value</t>
  </si>
  <si>
    <t>Image</t>
  </si>
  <si>
    <t xml:space="preserve">&lt;b&gt;Mechanics&lt;/b&gt; - At the start of your turn, heal 1 wound on an adjacent construct.
&lt;b&gt;Meatshields&lt;/b&gt; - When an adjacent friendly construct is attacked, before rolling to block, you may redirect all of the attacks to this unit. Any wounds taken count towards combat resolution.
&lt;b&gt;Unprotected&lt;/b&gt; - Reveal this unit when an attack hits it, rather than using the default block. </t>
  </si>
  <si>
    <t>Any</t>
  </si>
  <si>
    <t>&lt;b&gt;Readied&lt;/b&gt; - Strikes first when charged in the front</t>
  </si>
  <si>
    <t>&lt;b&gt;Readied&lt;/b&gt; - Strikes first when charged in the front
&lt;b&gt;Charge Defense&lt;/b&gt; - When a unit moves into the square in front of this unit, this unit attacks them. They fight in combat as normal. This counts towards combat resolution.</t>
  </si>
  <si>
    <t>Magic Lance</t>
  </si>
  <si>
    <t>Dark Guard</t>
  </si>
  <si>
    <t>&lt;b&gt;Impact Hits d3&lt;/b&gt; - If you get a charge bonus, do d3 attacks hitting on 4+. These count towards who won combat.</t>
  </si>
  <si>
    <t>Mace</t>
  </si>
  <si>
    <t>06_1_1</t>
  </si>
  <si>
    <t>&lt;b&gt;AP 1&lt;/b&gt; - Reduce block rolls by 1</t>
  </si>
  <si>
    <t>Sledgehammer</t>
  </si>
  <si>
    <t>&lt;b&gt;AP 2&lt;/b&gt; - Reduce block rolls by 2.</t>
  </si>
  <si>
    <t>&lt;b&gt;Mechanics&lt;/b&gt; - At the start of your turn, heal 1 wound on an adjacent construct.</t>
  </si>
  <si>
    <t>The Greatmaul</t>
  </si>
  <si>
    <t>Barrow Guard</t>
  </si>
  <si>
    <t>&lt;b&gt;Armourbane&lt;/b&gt; - Gain +1 to hit against units with at least 5 block.
&lt;b&gt;AP 3&lt;/b&gt; - Reduce block rolls by 2.
&lt;b&gt;Multiwound 2&lt;/b&gt; - Each hit does 2 wounds to a single model.
&lt;b&gt;Slow&lt;/b&gt; - Strikes last in combat.</t>
  </si>
  <si>
    <t>Hand Axe</t>
  </si>
  <si>
    <t>&lt;b&gt;Multiwound 2&lt;/b&gt; - Each hit does 2 wounds to a single model</t>
  </si>
  <si>
    <t>Battleaxe</t>
  </si>
  <si>
    <t>&lt;b&gt;Multiwound 3&lt;/b&gt; - Each hit does 3 wounds to a single model
&lt;b&gt;AP 1&lt;/b&gt; - Reduce block rolls by 1</t>
  </si>
  <si>
    <t>Cleaver</t>
  </si>
  <si>
    <t>Revenant</t>
  </si>
  <si>
    <t>&lt;b&gt;Cleave&lt;/b&gt; - Each hit does 2 wounds that can be split across multiple models.</t>
  </si>
  <si>
    <t>Second Weapon</t>
  </si>
  <si>
    <t>06_1_2</t>
  </si>
  <si>
    <t>Gunners</t>
  </si>
  <si>
    <t>&lt;b&gt;Offhand&lt;/b&gt; - Double the number of attacks. Can't equip a shield
&lt;b&gt;Unwieldy&lt;/b&gt; - Your rolls to hit in melee are reduced by 1</t>
  </si>
  <si>
    <t>Dual Wielding</t>
  </si>
  <si>
    <t>&lt;b&gt;Offhand&lt;/b&gt; - Double the number of attacks. Can't equip a shield</t>
  </si>
  <si>
    <t>Revenant Archers</t>
  </si>
  <si>
    <t>Parrying Dagger</t>
  </si>
  <si>
    <t>&lt;b&gt;Offhand&lt;/b&gt; - Double the number of attacks. Can't equip a shield
&lt;b&gt;Unwieldy&lt;/b&gt; - Your rolls to hit in melee are reduced by 1
&lt;b&gt;Block 1&lt;/b&gt; - Improve the model's block by 1</t>
  </si>
  <si>
    <t>Vengeful Spirits</t>
  </si>
  <si>
    <t>Ghosts</t>
  </si>
  <si>
    <t>&lt;b&gt;Block 1&lt;/b&gt; - Improve the model's block by 1</t>
  </si>
  <si>
    <t>Tower Shield</t>
  </si>
  <si>
    <t>06_1_3</t>
  </si>
  <si>
    <t>Sappers</t>
  </si>
  <si>
    <t>&lt;b&gt;Block 2&lt;/b&gt; - Improve the model's block by 2
&lt;b&gt;Unwieldy&lt;/b&gt; - Your rolls to hit in melee are reduced by 1</t>
  </si>
  <si>
    <t>Screeching Spirits</t>
  </si>
  <si>
    <t>Shimmering Buckler</t>
  </si>
  <si>
    <t>&lt;b&gt;Mechanics&lt;/b&gt; - At the start of your turn, heal 1 wound on an adjacent construct.
&lt;b&gt;Entrench&lt;/b&gt; - Units that move adjacent to this unit are disrupted. Each model in the unit takes a wound, hitting on that unit's block score. This affects friendly units as well.</t>
  </si>
  <si>
    <t>&lt;b&gt;Uncanny Protection&lt;/b&gt; - Block may not be reduced beneath 5.</t>
  </si>
  <si>
    <t>Twigbow</t>
  </si>
  <si>
    <t>Flesh Reapers</t>
  </si>
  <si>
    <t>Reapers</t>
  </si>
  <si>
    <t>&lt;b&gt;Range 3&lt;/b&gt; - Hits targets up to 3 squares away</t>
  </si>
  <si>
    <t>Extra Twigbow</t>
  </si>
  <si>
    <t>Soul Reapers</t>
  </si>
  <si>
    <t>06_1_5</t>
  </si>
  <si>
    <t>Artificers</t>
  </si>
  <si>
    <t>Firecrackers</t>
  </si>
  <si>
    <t>&lt;b&gt;Mechanics&lt;/b&gt; - At the start of your turn, heal 1 wound on an adjacent construct
&lt;b&gt;Prepared Equipment&lt;/b&gt; - Equip this unit with one piece of free uncommon equipment, or two pieces of common equipment.
&lt;b&gt;Equippable&lt;/b&gt; - Able to equip uncommon equipment</t>
  </si>
  <si>
    <t>&lt;b&gt;AP 2&lt;/b&gt;</t>
  </si>
  <si>
    <t>&lt;b&gt;Range 2&lt;/b&gt; - Hits targets up to 2 squares away
&lt;b&gt;Friendly Fire&lt;/b&gt; - Can fire into combat or at friendly units
&lt;b&gt;Single Use&lt;/b&gt; - Can only be used once
&lt;b&gt;Fire on the Move&lt;/b&gt; - Can be used after walking
&lt;b&gt;Doubleshot&lt;/b&gt; - Fires twice</t>
  </si>
  <si>
    <t>Bangbows</t>
  </si>
  <si>
    <t>&lt;b&gt;Range 3&lt;/b&gt; - Hits targets up to 3 squares away
&lt;b&gt;Random Wounds d3&lt;/b&gt; - Each hit does d3 wounds to a single model. Owner determines the order they are applied.</t>
  </si>
  <si>
    <t>Weeerdbolt</t>
  </si>
  <si>
    <t>2+</t>
  </si>
  <si>
    <t>Special</t>
  </si>
  <si>
    <t>&lt;b&gt;Spell&lt;/b&gt; - All parameters of this spell match the casting roll. Target unit within X takes X attacks hitting on X+. This must target a unit if possible. It may not target a unit in combat, but can target a friendly unit. It cannot target the caster. 
&lt;b&gt;Ranged Spell&lt;/b&gt; - Can't be cast while in combat.</t>
  </si>
  <si>
    <t>Good Mojo</t>
  </si>
  <si>
    <t>06_1_6</t>
  </si>
  <si>
    <t>Snipers</t>
  </si>
  <si>
    <t>4+</t>
  </si>
  <si>
    <t xml:space="preserve">&lt;b&gt;Spell&lt;/b&gt; - Target a friendly unit within 3, which can include the caster. This can target a unit in combat. The chosen unit rolls a d6 and gets the following effect:
6 - +1 attack this turn
5 - +1 to hit rolls this turn
4 - +1 to block this turn
3 - The unit moves forward 1 space (unless it is blocked)
2 - The unit rolls to flee
1 - Unit takes a wound with no save </t>
  </si>
  <si>
    <t>Wartex</t>
  </si>
  <si>
    <t>&lt;b&gt;Mechanics&lt;/b&gt; - At the start of your turn, heal 1 wound on an adjacent construct.
&lt;b&gt;Long Range&lt;/b&gt; - This unit's ranged weapons gain 1 range.</t>
  </si>
  <si>
    <t>&lt;b&gt;Spell&lt;/b&gt; - Target a combat with at least one combatant in range 3. Roll a die for each model in combat, they take a hit on a 5+ with AP1. 
&lt;b&gt;Ranged Spell&lt;/b&gt; - Can't be cast while in combat.</t>
  </si>
  <si>
    <t>Thunda</t>
  </si>
  <si>
    <t>&lt;b&gt;Spell&lt;/b&gt; - Target a unit within 2. Any unit that is affected takes 3 attacks hitting on 5+. If any attacks hit (they can be blocked), the spell chains to a new unit that is adjacent to them. Repeat this process until either all attacks miss a unit, or there are no new units to target in range. This can affect friendly units.</t>
  </si>
  <si>
    <t>Madmaker</t>
  </si>
  <si>
    <t>&lt;b&gt;Spell&lt;/b&gt; - Target a unit within 4 that is not in combat. It moves directly forward d3 spaces until it hits an obstacle or a board edge. They strike first this turn but lose the ability to block this turn.
&lt;b&gt;Ranged Spell&lt;/b&gt; - Can't be cast while in combat.</t>
  </si>
  <si>
    <t>06_2B_3</t>
  </si>
  <si>
    <t>Warcrane</t>
  </si>
  <si>
    <t>Pop</t>
  </si>
  <si>
    <t>Colossus</t>
  </si>
  <si>
    <t>5+</t>
  </si>
  <si>
    <t>&lt;b&gt;Spell&lt;/b&gt; - Target friendly unit within 3 becomes explosive this turn. This can target a unit in combat. They gain +1 attack per model, hit on 2+, AP4, and die at the end of this turn. They are considered explosive.
&lt;b&gt;Ranged Spell&lt;/b&gt; - Can't be cast while in combat.</t>
  </si>
  <si>
    <t>&lt;b&gt;Construct&lt;/b&gt; - Immune to fear checks while adjacent to a mechanic. Dies if it flees.
&lt;b&gt;Lift and Shift&lt;/b&gt; - Action: Rotate an adjacent unit 90 degrees around this unit. You may rotate this unit in the same direction. May not move units off the board. The unit counts as having moved for the purpose of rules like Entrenched.</t>
  </si>
  <si>
    <t>Rocks</t>
  </si>
  <si>
    <t>&lt;b&gt;Range 2&lt;/b&gt; - Hits targets 2 squares away
&lt;b&gt;Single Use&lt;/b&gt; - Can only be used once
&lt;b&gt;Fire on the Move&lt;/b&gt; - Can be used after walking</t>
  </si>
  <si>
    <t>Throwing Knives</t>
  </si>
  <si>
    <t>&lt;b&gt;Range 2&lt;/b&gt; - Hits targets 2 squares away
&lt;b&gt;Fire on the Move&lt;/b&gt; - Can be used after walking</t>
  </si>
  <si>
    <t>Throwing Stars</t>
  </si>
  <si>
    <t>&lt;b&gt;Range 2&lt;/b&gt; - Hits targets 2 squares away
&lt;b&gt;Poison&lt;/b&gt; - 6s to hit can't be saved by armour
&lt;b&gt;AP 1&lt;/b&gt; - Reduce block rolls by 1
&lt;b&gt;Fire on the Move&lt;/b&gt; - Can be used after walking</t>
  </si>
  <si>
    <t>06_2B_1</t>
  </si>
  <si>
    <t>Juggernaut</t>
  </si>
  <si>
    <t>Brace of Knives</t>
  </si>
  <si>
    <t>&lt;b&gt;Range 2&lt;/b&gt; - Hits targets 2 squares away
&lt;b&gt;Doubleshot&lt;/b&gt; - Fires twice
&lt;b&gt;Unbalanced&lt;/b&gt; - Your rolls to hit at range are reduced by 1
&lt;b&gt;Fire on the Move&lt;/b&gt; - Can be used after walking</t>
  </si>
  <si>
    <t>&lt;b&gt;Construct&lt;/b&gt; - Immune to fear checks while adjacent to a mechanic. Dies if it flees.
&lt;b&gt;Trample&lt;/b&gt; - Action: Move forward 1. If there is a model in that space, it attempts to move backwards 1 unless it is blocked. Roll an attack against each model in the unit, hitting on 6+ or 4+ if the unit was blocked. These do not count for combat resolution. Can be used to move out of combat.</t>
  </si>
  <si>
    <t>Fly Cowards!</t>
  </si>
  <si>
    <t>3+</t>
  </si>
  <si>
    <t>&lt;b&gt;Spell&lt;/b&gt; - Target a friendly unit within 3. It moves back 1 square as a free action. This can cause a unit to leave combat.</t>
  </si>
  <si>
    <t>Pin Tails</t>
  </si>
  <si>
    <t>&lt;b&gt;Spell&lt;/b&gt; - Target a friendly unit within 4. It automatically passes fear tests and cannot move until your next turn. It can still rotate.</t>
  </si>
  <si>
    <t>Fester</t>
  </si>
  <si>
    <t>06_2C_2</t>
  </si>
  <si>
    <t>Hookshot</t>
  </si>
  <si>
    <t>&lt;b&gt;Spell&lt;/b&gt; - Target an enemy unit within 3. It takes 3 attacks hitting on 5+ with poison. This can't target a unit in combat.
&lt;b&gt;Ranged Spell&lt;/b&gt; - Can't be cast while in combat.</t>
  </si>
  <si>
    <t xml:space="preserve">&lt;b&gt;Construct&lt;/b&gt; - Immune to fear checks while adjacent to a mechanic. Dies if it flees.
&lt;b&gt;War Machine&lt;/b&gt; - Dies if it flees.
&lt;b&gt;Hookshot&lt;/b&gt; - Ranged Weapon. Range 5. Fires 4 shots. If any shots hit (they can be blocked), move the target unit one square towards this unit. </t>
  </si>
  <si>
    <t>Scamper</t>
  </si>
  <si>
    <t>&lt;b&gt;Spell&lt;/b&gt; - Target a friendly unit within 3 in combat. Move it to the flank of a unit in the same combat, facing that unit.</t>
  </si>
  <si>
    <t>Field Promotion</t>
  </si>
  <si>
    <t>&lt;b&gt;Spell&lt;/b&gt; - Target a friendly unit within 2. It dies. Heal another friendly unit by the same number of wounds. This can resurrect models.</t>
  </si>
  <si>
    <t>Rattack Formation</t>
  </si>
  <si>
    <t>06_2B_2</t>
  </si>
  <si>
    <t>Overseer</t>
  </si>
  <si>
    <t>&lt;b&gt;Spell&lt;/b&gt; - Target a friendly unit within 2. It immediately makes a full attack. It can still fight in combat.
&lt;b&gt;Ranged Spell&lt;/b&gt; - Can't be cast while in combat.</t>
  </si>
  <si>
    <t>Bone Knives</t>
  </si>
  <si>
    <t>&lt;b&gt;Construct&lt;/b&gt; - Immune to fear checks while adjacent to a mechanic. Dies if it flees.
&lt;b&gt;Multishot 3&lt;/b&gt; - Ranged attacks roll 3 dice.
&lt;b&gt;Overwatch&lt;/b&gt; - During your opponent's turn, fire a round of shooting at the first enemy unit to become a new valid shooting target. Has no effect on units that were already valid shooting targets. This can take effect because of units fleeing combat or getting wiped out.
&lt;b&gt;Prepared Ranged Weapon&lt;/b&gt; - Equip this unit with one free common or uncommon ranged weapon.</t>
  </si>
  <si>
    <t>Roll</t>
  </si>
  <si>
    <t>Evade</t>
  </si>
  <si>
    <t>AP</t>
  </si>
  <si>
    <t>Def</t>
  </si>
  <si>
    <t>Front</t>
  </si>
  <si>
    <t>&lt;b&gt;Range 2&lt;/b&gt; - Hits targets up to 2 squares away</t>
  </si>
  <si>
    <t>Skeletons Archers</t>
  </si>
  <si>
    <t>P1</t>
  </si>
  <si>
    <t>Bone Shortbow</t>
  </si>
  <si>
    <t>Raise the Dead</t>
  </si>
  <si>
    <t>Ratkin Pelters</t>
  </si>
  <si>
    <t>P2</t>
  </si>
  <si>
    <t>06_2A_1</t>
  </si>
  <si>
    <t>Clay Golems</t>
  </si>
  <si>
    <t>Golems</t>
  </si>
  <si>
    <t>&lt;b&gt;Spell&lt;/b&gt; - Choose an undead unit in range 3 and heal 2 wounds. This can resurrect models. Limited to the starting number of units/wounds.
&lt;b&gt;Cantrip&lt;/b&gt; - This does not count towards the limit of how many spells per turn
&lt;b&gt;Ranged Spell&lt;/b&gt; - Can't be cast while in combat.</t>
  </si>
  <si>
    <t xml:space="preserve">&lt;b&gt;Construct&lt;/b&gt; - Immune to fear checks while adjacent to a mechanic. Dies if it flees.
&lt;b&gt;Regenerative Clay&lt;/b&gt; - At the end of each player's turn, each model heals to full. This does not ressurect dead models.
&lt;b&gt;Multiwound 2&lt;/b&gt; - Each hit does 2 wounds to a single model.
</t>
  </si>
  <si>
    <t>Banshee's Wail</t>
  </si>
  <si>
    <t>Summary</t>
  </si>
  <si>
    <t>&lt;b&gt;Spell&lt;/b&gt; - All enemy models in combat with the caster roll a flee dice. Any models that fail, take 1 wound. Any units that take at least 1 wound must roll to flee.</t>
  </si>
  <si>
    <t>Furious Dead</t>
  </si>
  <si>
    <t>&lt;b&gt;Spell&lt;/b&gt; - Target a friendly unit within 3 that is not in combat. They can take a second move action this turn.</t>
  </si>
  <si>
    <t>Terrorbolt</t>
  </si>
  <si>
    <t>06_2A_2</t>
  </si>
  <si>
    <t>Minetomatons</t>
  </si>
  <si>
    <t>&lt;b&gt;Spell&lt;/b&gt; - Target an enemy unit within 3 that is not in combat. It takes one attack hitting on 2+ with AP2. If the target takes a wound, it must roll to flee.
&lt;b&gt;Ranged Spell&lt;/b&gt; - Can't be cast while in combat.</t>
  </si>
  <si>
    <t xml:space="preserve">&lt;b&gt;Construct&lt;/b&gt; - Immune to fear checks while adjacent to a mechanic. Dies if it flees.
&lt;b&gt;Ambush&lt;/b&gt; - Action: Remove this unit from the board. On your next turn, place it on an empty space along any board edge (facing away from the board edge) as its action for the turn
&lt;b&gt;AP 1&lt;/b&gt; - Reduce block rolls by 1.
</t>
  </si>
  <si>
    <t>Rattlebones</t>
  </si>
  <si>
    <t>&lt;b&gt;Spell&lt;/b&gt; - Target a friendly unit within 3. This turn it may reroll block rolls, and block rolls always succeed on a 5+.</t>
  </si>
  <si>
    <t>Corpse Explosion</t>
  </si>
  <si>
    <t>Infinite</t>
  </si>
  <si>
    <t>&lt;b&gt;Spell&lt;/b&gt; - Target an enemy unit in combat. After all combats have been resolved this turn, the unit suffers a ranged hit for each model (friendly and enemy) that died in the combat, hitting on 4+.
&lt;b&gt;Ranged Spell&lt;/b&gt; - Can't be cast while in combat.</t>
  </si>
  <si>
    <t>Shortbow</t>
  </si>
  <si>
    <t>06_2A_3</t>
  </si>
  <si>
    <t>Bladestorms</t>
  </si>
  <si>
    <t>2x2</t>
  </si>
  <si>
    <t>&lt;b&gt;Construct&lt;/b&gt; - Immune to fear checks while adjacent to a mechanic. Dies if it flees.
&lt;b&gt;Four Arms&lt;/b&gt; - Wields two sets of weapons. This unit performs a round of attacks with one set of weapons, then a second round of attacks with a second set of weapons. 
&lt;b&gt;Prepared Weapons&lt;/b&gt; - Equip this unit with one free uncommon weapon, or two free common weapons.</t>
  </si>
  <si>
    <t>Extra Shortbow</t>
  </si>
  <si>
    <t>Longbow</t>
  </si>
  <si>
    <t>&lt;b&gt;Range 4&lt;/b&gt; - Hits targets up to 4 squares away</t>
  </si>
  <si>
    <t>Silkbow</t>
  </si>
  <si>
    <t>06_2C_3</t>
  </si>
  <si>
    <t>Surpressor</t>
  </si>
  <si>
    <t>&lt;b&gt;Range 3&lt;/b&gt; - Hits targets up to 3 squares away
&lt;b&gt;Fire on the Move&lt;/b&gt; - Can be used after walking</t>
  </si>
  <si>
    <t>Protective Cocoon</t>
  </si>
  <si>
    <t>&lt;b&gt;Construct&lt;/b&gt; - Immune to fear checks while adjacent to a mechanic. Dies if it flees.
&lt;b&gt;War Machine&lt;/b&gt; - Dies if it flees.
&lt;b&gt;Surpression Cannon&lt;/b&gt; - Target a square in shooting range 5. Each unit in that firing line at the start of your next turn takes 5 ranged attacks hitting on 3+ with AP3. May not target a firing line that includes a friendly unit, but will hit them if they move in before your turn ends.</t>
  </si>
  <si>
    <t>&lt;b&gt;Spell&lt;/b&gt; - Target a friendly unit in combat within 2. Until your next turn, it gains a 1+ save (rolls of 1 still wound), can't move, can't attack, and ignores flee rolls.</t>
  </si>
  <si>
    <t>Poison Blood</t>
  </si>
  <si>
    <t>&lt;b&gt;Spell&lt;/b&gt; - Target a friendly unit within 2. Until your next turn, it gains poison blood. For every melee attack that hits the unit (does not need to wound), return an attack that hits on 6 with poison.</t>
  </si>
  <si>
    <t>Fatespin</t>
  </si>
  <si>
    <t>&lt;b&gt;Spell&lt;/b&gt; - Replace the next die you roll with a 6.</t>
  </si>
  <si>
    <t>06_2C_1</t>
  </si>
  <si>
    <t>Shapeweave</t>
  </si>
  <si>
    <t>Grand Bombard</t>
  </si>
  <si>
    <t>&lt;b&gt;Spell&lt;/b&gt; - Target a friendly unit within 3. Remove the unit from the board. At the start of your next turn, place them on any board edge. They may not take an action this turn, but can fight in combat.
&lt;b&gt;Ranged Spell&lt;/b&gt; - Can't be cast while in combat.</t>
  </si>
  <si>
    <t>&lt;b&gt;Construct&lt;/b&gt; - Immune to fear checks while adjacent to a mechanic. Dies if it flees.
&lt;b&gt;War Machine&lt;/b&gt; - Dies if it flees.
&lt;b&gt;Primed&lt;/b&gt; - Place 2 powder tokens on this when it is revealed.
&lt;b&gt;Reloading&lt;/b&gt; - Place a powder tokens on this unit at the end of your turn.
&lt;b&gt;Bombard&lt;/b&gt; - Action: Uses all powder tokens as X. Pick a target square within 2 + X, roll a die and add X.
7+ - Direct hit. 
5-6 - Off by one towards your board edge.
4 or less - Miss. Keep all powder tokens.
Any unit in the hit square takes 3X attacks hitting on 3+ with AP X. Lose all powder tokens.</t>
  </si>
  <si>
    <t>Silence</t>
  </si>
  <si>
    <t>&lt;b&gt;Spell&lt;/b&gt; - Target an enemy unit within 3. It loses all perks (including weapon perks) until your next turn.
&lt;b&gt;Ranged Spell&lt;/b&gt; - Can't be cast while in combat.</t>
  </si>
  <si>
    <t>Envelop</t>
  </si>
  <si>
    <t>&lt;b&gt;Spell&lt;/b&gt; - Target an enemy unit within 3. Until your next turn it may not take an action. It can still fight in combat.
&lt;b&gt;Ranged Spell&lt;/b&gt; - Can't be cast while in combat.</t>
  </si>
  <si>
    <t>Throwing Axes</t>
  </si>
  <si>
    <t>08_1_2</t>
  </si>
  <si>
    <t>Ratbeasts</t>
  </si>
  <si>
    <t>Spare Throwing Axes</t>
  </si>
  <si>
    <t>Mongrels</t>
  </si>
  <si>
    <t xml:space="preserve">&lt;b&gt;Chaff&lt;/b&gt; - Subtract 1 from leadership rolls. 6s still auto-succeed. 
&lt;b&gt;Unprotected&lt;/b&gt; - Reveal this unit when an attack hits it, rather than using the default block. </t>
  </si>
  <si>
    <t>Javellins</t>
  </si>
  <si>
    <t>&lt;b&gt;Range 2&lt;/b&gt; - Hits targets 2 squares away
&lt;b&gt;Fire on the Move&lt;/b&gt; - Can be used after walking
&lt;b&gt;Friendly Fire&lt;/b&gt; - Can fire into combat or at friendly units</t>
  </si>
  <si>
    <t>Round</t>
  </si>
  <si>
    <t>P1 Roll</t>
  </si>
  <si>
    <t>P1 Def</t>
  </si>
  <si>
    <t>P1 HP</t>
  </si>
  <si>
    <t>P1 Front</t>
  </si>
  <si>
    <t>P1 Number</t>
  </si>
  <si>
    <t>P1 Attacks</t>
  </si>
  <si>
    <t>P1 Rolls</t>
  </si>
  <si>
    <t>P1 Hits</t>
  </si>
  <si>
    <t>P1 Wounds</t>
  </si>
  <si>
    <t>P1 Remaining HP</t>
  </si>
  <si>
    <t>P2 Roll</t>
  </si>
  <si>
    <t>P2 Def</t>
  </si>
  <si>
    <t>P2 HP</t>
  </si>
  <si>
    <t>P2 Front</t>
  </si>
  <si>
    <t>P2 Number</t>
  </si>
  <si>
    <t>P2 Attacks</t>
  </si>
  <si>
    <t>P2 Rolls</t>
  </si>
  <si>
    <t>P2 Hits</t>
  </si>
  <si>
    <t>P2 Wounds</t>
  </si>
  <si>
    <t>P2 Remaining</t>
  </si>
  <si>
    <t>Round Victor</t>
  </si>
  <si>
    <t>Quill Spray</t>
  </si>
  <si>
    <t>Leadership Roll</t>
  </si>
  <si>
    <t>Unit Strength</t>
  </si>
  <si>
    <t>Target</t>
  </si>
  <si>
    <t>Flees?</t>
  </si>
  <si>
    <t>Combat</t>
  </si>
  <si>
    <t>&lt;b&gt;Spell&lt;/b&gt; - Target an enemy unit in this unit's flank or rear. It takes 4 attacks hitting on 3+. This can target a unit in combat.</t>
  </si>
  <si>
    <t>Transfuse</t>
  </si>
  <si>
    <t>08_1_3</t>
  </si>
  <si>
    <t>&lt;b&gt;Spell&lt;/b&gt; - Target an enemy unit in the same combat. It takes 2 attacks hitting on 3+ and AP1. For each wound dealt, heal a friendly unit in range 2 by 1. This can ressurect models. May target the caster.
&lt;b&gt;Combat Spell&lt;/b&gt; - May only be cast while in combat.</t>
  </si>
  <si>
    <t>Scalebeasts</t>
  </si>
  <si>
    <t>Ironspines</t>
  </si>
  <si>
    <t xml:space="preserve">&lt;b&gt;Shieldwall&lt;/b&gt; - Improve block by 1 against ranged attacks </t>
  </si>
  <si>
    <t>&lt;b&gt;Spell&lt;/b&gt; - Target a friendly unit in range 2 with Vengence. Until your next turn, it gets +1 block and whenever it blocks, it doesn't take a wound. May target the caster.</t>
  </si>
  <si>
    <t>&lt;b&gt;Spell&lt;/b&gt; - Target a friendly unit in range 2. Until your next turn, dead models in the unit roll to attack. If the unit is wiped out in combat, it can still make its attacks. Treat the unit as full strength for fear checks.</t>
  </si>
  <si>
    <t>Battle Rage</t>
  </si>
  <si>
    <t>&lt;b&gt;Spell&lt;/b&gt; - Gain 3 attacks, +1 to hit, AP1, and Multiwound 2 this turn.
&lt;b&gt;Combat Spell&lt;/b&gt; - May only be cast while in combat.</t>
  </si>
  <si>
    <t>08_1_1</t>
  </si>
  <si>
    <t>Farspike</t>
  </si>
  <si>
    <t>&lt;b&gt;Spell&lt;/b&gt; - Until the start of your next turn, when a friendly unit blocks a ranged attack or a spell, the shooter/caster takes 2 wounds.</t>
  </si>
  <si>
    <t>&lt;b&gt;Multishot 2&lt;/b&gt; - Ranged attacks roll 2 dice.</t>
  </si>
  <si>
    <t>Musket</t>
  </si>
  <si>
    <t>Extra Musket</t>
  </si>
  <si>
    <t>Blunderbuss</t>
  </si>
  <si>
    <t>&lt;b&gt;Range 2&lt;/b&gt; - Hits targets up to 2 squares away
&lt;b&gt;Scattershot&lt;/b&gt; - May hit a second target in an adjacent firing line</t>
  </si>
  <si>
    <t>Handcannon</t>
  </si>
  <si>
    <t>08_1_6</t>
  </si>
  <si>
    <t>&lt;b&gt;Range 3&lt;/b&gt; - Hits targets up to 3 squares away
&lt;b&gt;AP 1&lt;/b&gt; - Reduce block rolls by 1</t>
  </si>
  <si>
    <t>Quillbeasts</t>
  </si>
  <si>
    <t>Horsegun</t>
  </si>
  <si>
    <t>&lt;b&gt;Range 3&lt;/b&gt; - Hits targets up to 3 squares away
&lt;b&gt;Cripple&lt;/b&gt; - Targets that take 1 or more wounds may move a maximum of 1 square until your next turn.</t>
  </si>
  <si>
    <t>Mine</t>
  </si>
  <si>
    <t>&lt;b&gt;Vengence&lt;/b&gt; - When this unit blocks in combat, it still takes 1 wound. The unit that attacked takes 1 wound as well.</t>
  </si>
  <si>
    <t>&lt;b&gt;Sidearm&lt;/b&gt; - Can be equipped alongside another ranged weapon
&lt;b&gt;Single Use&lt;/b&gt; - Can only be used once
&lt;b&gt;Mine&lt;/b&gt; - Place a mine on any empty square in range 2. The first unit to enter that tile takes d6 attacks hitting on 2+ with AP2.</t>
  </si>
  <si>
    <t>Shieldbreaker</t>
  </si>
  <si>
    <t>&lt;b&gt;Range 3&lt;/b&gt; - Hits targets up to 3 squares away
&lt;b&gt;AP 1&lt;/b&gt; - Reduce block rolls by 1
&lt;b&gt;Shieldbreaker&lt;/b&gt; - If a target equipped with a shield takes damage from this, destroy the shield.</t>
  </si>
  <si>
    <t>Thunderbolt</t>
  </si>
  <si>
    <t>&lt;b&gt;Range 3&lt;/b&gt; - Hits targets up to 3 squares away
&lt;b&gt;Foe Piercing&lt;/b&gt; - May also attack a unit within range directly behind the target, hitting with a -1 penalty.</t>
  </si>
  <si>
    <t>Grapeshot</t>
  </si>
  <si>
    <t>&lt;b&gt;Range 2&lt;/b&gt; - Hits targets up to 3 squares away
&lt;b&gt;Scattershot&lt;/b&gt; - May hit a target in each firing line</t>
  </si>
  <si>
    <t>Stakes</t>
  </si>
  <si>
    <t>&lt;b&gt;Deployed&lt;/b&gt; - Reveal this when an enemy unit moves in front of this unit. Each model in the unit is hit on a 5+. These wounds count to combat resolution.
&lt;b&gt;Single Use&lt;/b&gt; - Can only be used once</t>
  </si>
  <si>
    <t>Rusting Hammer</t>
  </si>
  <si>
    <t>&lt;b&gt;AP 1&lt;/b&gt; - Reduce block rolls by 4.
&lt;b&gt;Armourbane&lt;/b&gt; - Gain +1 to hit against units with at least 5 block.</t>
  </si>
  <si>
    <t>08_1_4</t>
  </si>
  <si>
    <t>Skybeasts</t>
  </si>
  <si>
    <t>Diamondcracker</t>
  </si>
  <si>
    <t>&lt;b&gt;AP 6&lt;/b&gt; - Reduce block rolls by 6.</t>
  </si>
  <si>
    <t>&lt;b&gt;Flap&lt;/b&gt; - This unit may move as normal while in combat. Hustling while in combat automatically succeeds.
&lt;b&gt;Flying&lt;/b&gt; - This unit can move over other units and obstacles.
&lt;b&gt;Manoeuvrable&lt;/b&gt; - May turn once at any point during a walk or hustle.
&lt;b&gt;Multishot 2&lt;/b&gt; - Ranged attacks roll 2 dice.</t>
  </si>
  <si>
    <t>Mechanical Axe</t>
  </si>
  <si>
    <t>&lt;b&gt;Multiwound d6&lt;/b&gt; - Each hit does d6 wounds to a single model. Roll and apply hits one at a time.</t>
  </si>
  <si>
    <t>Pavise</t>
  </si>
  <si>
    <t>&lt;b&gt;Ranged Block 2&lt;/b&gt; - Improve the model's block by 2, unless in combat</t>
  </si>
  <si>
    <t>Mobile Fortifications</t>
  </si>
  <si>
    <t>&lt;b&gt;Block 3&lt;/b&gt; - Improve the model's block by 3
&lt;b&gt;Extremely Unwieldy&lt;/b&gt; - This unit's rolls to hit in combat and at range only succeed on a 6.
&lt;b&gt;Immobile&lt;/b&gt; - If the unit moves while this is revealed, destroy this item.</t>
  </si>
  <si>
    <t>Aegis</t>
  </si>
  <si>
    <t>&lt;b&gt;Block 1&lt;/b&gt; - Improve the model's block by 1
&lt;b&gt;Fighting Chance&lt;/b&gt; - Ignore all wounds that do not allow an a block save (e.g. poison)</t>
  </si>
  <si>
    <t>Grenade Launcher</t>
  </si>
  <si>
    <t>&lt;b&gt;Range 3&lt;/b&gt; - Hits targets up to 3 squares away
&lt;b&gt;AP 2&lt;/b&gt; - Reduce block rolls by 2</t>
  </si>
  <si>
    <t>08_1_5</t>
  </si>
  <si>
    <t>Spiderbeasts</t>
  </si>
  <si>
    <t>Imperial Pistols</t>
  </si>
  <si>
    <t>&lt;b&gt;Range 2&lt;/b&gt; - Hits targets up to 2 squares away
&lt;b&gt;Quickfire&lt;/b&gt; - Can be fired while in combat. Wounds done this way contribute to who won combat.</t>
  </si>
  <si>
    <t>&lt;b&gt;Poison&lt;/b&gt; - 6s to hit can't be saved
&lt;b&gt;Multishot 2&lt;/b&gt; - Ranged attacks roll 2 dice.</t>
  </si>
  <si>
    <t>Shooting Star</t>
  </si>
  <si>
    <t>&lt;b&gt;Spell&lt;/b&gt; - Target an enemy unit within 3. It takes 3 attacks hitting on 4+ with AP 1. This can't target a unit in combat.
&lt;b&gt;Ranged Spell&lt;/b&gt; - Can't be cast while in combat.</t>
  </si>
  <si>
    <t>Fireball</t>
  </si>
  <si>
    <t>&lt;b&gt;Spell&lt;/b&gt; - Pick a target square within 6 and roll a die. 
4, 5 or 6 - Direct hit
3 - Off by one, your choice
2 - Miss
1 - Off by up to two, opponent's choice 
5 attacks on 4+, AP 1
&lt;b&gt;Ranged Spell&lt;/b&gt; - Can't be cast while in combat.</t>
  </si>
  <si>
    <t>Wind Shield</t>
  </si>
  <si>
    <t>&lt;b&gt;Spell&lt;/b&gt; - Target a friendly unit within 3. That unit and any friendly units in its flanks gain a +2 bonus to block against ranged weapons.</t>
  </si>
  <si>
    <t>Radiant Bolt</t>
  </si>
  <si>
    <t>08_2C_3</t>
  </si>
  <si>
    <t>Slimedrake</t>
  </si>
  <si>
    <t>&lt;b&gt;Spell&lt;/b&gt; - Target an enemy unit within 4. It takes 1 hit with no armour saves allowed. Can't target a unit in combat.</t>
  </si>
  <si>
    <t>Amalgam</t>
  </si>
  <si>
    <t>Elder's Glory</t>
  </si>
  <si>
    <t>&lt;b&gt;Fearful Presence&lt;/b&gt; - Enemy units in range 2 subtract one from rolls to flee. Natural 6s still always pass.
&lt;b&gt;Regeneration 2&lt;/b&gt; - Heal 2 at the start of each of your turns.</t>
  </si>
  <si>
    <t>&lt;b&gt;Spell&lt;/b&gt; - Target a friendly unit within 2. Until your next turn, it can reroll missed hits in melee.</t>
  </si>
  <si>
    <t>Convocation</t>
  </si>
  <si>
    <t>&lt;b&gt;Spell&lt;/b&gt; - Each friendly unit may immediately move one square towards the caster without changing their facing. This can cause them to move backwards or sidestep. This can cause them to leave combat.</t>
  </si>
  <si>
    <t>Heavy Bow</t>
  </si>
  <si>
    <t>Spare Bow</t>
  </si>
  <si>
    <t>Greatbow</t>
  </si>
  <si>
    <t>08_2A_2</t>
  </si>
  <si>
    <t>Slavewyrm</t>
  </si>
  <si>
    <t>&lt;b&gt;Range 3&lt;/b&gt; - Hits targets up to 3 squares away
&lt;b&gt;Multiwound 2&lt;/b&gt; - Each hit does 2 wounds to a single model</t>
  </si>
  <si>
    <t>Behemoth</t>
  </si>
  <si>
    <t>Snares</t>
  </si>
  <si>
    <t>&lt;b&gt;Range 2&lt;/b&gt; - Hits targets up to 2 squares away
&lt;b&gt;Snare&lt;/b&gt; - Targets that take 1 or more wounds may not move on their next turn. They may still turn and act.</t>
  </si>
  <si>
    <t xml:space="preserve">&lt;b&gt;Flying&lt;/b&gt; - This unit can move over other units and obstacles
&lt;b&gt;Manoeuvrable&lt;/b&gt; - May turn once at any point during a walk or hustle
&lt;b&gt;Natural Breath Weapon&lt;/b&gt; - Bonus attack: Once per battle, before attacking as normal this unit may use a breath weapon. This unit rolls an attack for every model in the enemy unit, hitting on 5s. </t>
  </si>
  <si>
    <t>Slimeblooded</t>
  </si>
  <si>
    <t>&lt;b&gt;Spell&lt;/b&gt; - Target a friendly unit within range 2. Until your next turn, it gains &lt;b&gt;Eager Regeneration 1&lt;/b&gt; - Heal 1 at the start of each player's turn. This may not ressurect models.
&lt;b&gt;Graft&lt;/b&gt; - If this is successfully cast again, it is removed from the effected unit.</t>
  </si>
  <si>
    <t>Scaly Skin</t>
  </si>
  <si>
    <t>&lt;b&gt;Spell&lt;/b&gt; - Target a friendly unit within range 2. Until your next turn, it ignores Multiwound. Improve block by 1.
&lt;b&gt;Graft&lt;/b&gt; - If this is successfully cast again, it is removed from the effected unit.</t>
  </si>
  <si>
    <t>Scything Claws</t>
  </si>
  <si>
    <t>&lt;b&gt;Spell&lt;/b&gt; - Target a friendly unit within range 2. Until your next turn, it gains &lt;b&gt;Multiwound 2&lt;/b&gt; - Each hit does 2 wounds to a single model, and &lt;b&gt;AP 1&lt;/b&gt; - Reduce block rolls by 1.
&lt;b&gt;Graft&lt;/b&gt; - If this is successfully cast again, it is removed from the effected unit.</t>
  </si>
  <si>
    <t>Rearm</t>
  </si>
  <si>
    <t>&lt;b&gt;Spell&lt;/b&gt; - Target a friendly unit within range 2. Until your next turn, it makes a total of 9 attacks in combat, which can't be changed. The unit automatically flees from combat.
&lt;b&gt;Graft&lt;/b&gt; - If this is successfully cast again, it is removed from the effected unit.</t>
  </si>
  <si>
    <t>Envenom</t>
  </si>
  <si>
    <t>08_2C_1</t>
  </si>
  <si>
    <t>&lt;b&gt;Spell&lt;/b&gt; - Target a friendly unit within range 2. Until your next turn, it gains &lt;b&gt;Aggressive Poison&lt;/b&gt; - 5s and 6s to hit can't be saved. Has no affect if the attack misses.
&lt;b&gt;Graft&lt;/b&gt; - If this is successfully cast again, it is removed from the effected unit.</t>
  </si>
  <si>
    <t>Rotrantula</t>
  </si>
  <si>
    <t>Name of the unit</t>
  </si>
  <si>
    <t>Vilespines</t>
  </si>
  <si>
    <t>Which faction it belongs to</t>
  </si>
  <si>
    <t>Name for the group the unit belongs to, in singular. E.g. Gobbo / Boombox / Chariot / Priest</t>
  </si>
  <si>
    <t>The block value for all units of that class for when the unit is hidden</t>
  </si>
  <si>
    <t>1 = common
2 = elites
3 = general</t>
  </si>
  <si>
    <t>Unit cost for tier 1, equipment allowance for tier 3</t>
  </si>
  <si>
    <t>How many models</t>
  </si>
  <si>
    <t>Stats</t>
  </si>
  <si>
    <t>The unit text</t>
  </si>
  <si>
    <t>Level of each type of equipment. Should not go above the unit's tier</t>
  </si>
  <si>
    <t>&lt;b&gt;Spell&lt;/b&gt; - Target a friendly unit within range 2. Until your next turn, when this unit blocks in combat, the unit that attacked it takes the wounds instead.
&lt;b&gt;Graft&lt;/b&gt; - If this is successfully cast again, it is removed from the effected unit.</t>
  </si>
  <si>
    <t>&lt;b&gt;Poison&lt;/b&gt; - 6s to hit can't be saved
&lt;b&gt;Plague&lt;/b&gt; - At the end of each player's turn, units adjacent to this unit suffer a wound on a 4+ with no armour saves allowed. Does not affect Boneborn units.
&lt;b&gt;Virulent 3+&lt;/b&gt; - Any unit wounded by this unit becomes Poisoned. At the end of each of the controlling players turns, Poisoned units take a wound on a 2+ with no armour saves allowed.</t>
  </si>
  <si>
    <t>WB Note</t>
  </si>
  <si>
    <t>Single Class</t>
  </si>
  <si>
    <t>N1</t>
  </si>
  <si>
    <t>Front Line</t>
  </si>
  <si>
    <t>Comments</t>
  </si>
  <si>
    <t>Warriors [Example]</t>
  </si>
  <si>
    <t>Skeleton</t>
  </si>
  <si>
    <t>Knights</t>
  </si>
  <si>
    <t>Dif Class</t>
  </si>
  <si>
    <t>08_2A_1</t>
  </si>
  <si>
    <t>Troops</t>
  </si>
  <si>
    <t>Cyclops</t>
  </si>
  <si>
    <t>/</t>
  </si>
  <si>
    <t xml:space="preserve">&lt;b&gt;Rock Lobber&lt;/b&gt; - Ranged Weapon - Range 4, AP -2, Multiwound 3. </t>
  </si>
  <si>
    <t>&lt;b&gt;Regiment&lt;/b&gt;</t>
  </si>
  <si>
    <t>Warriors*</t>
  </si>
  <si>
    <t>&lt;b&gt;Detachment&lt;/b&gt;</t>
  </si>
  <si>
    <t>Militia</t>
  </si>
  <si>
    <t>08_2A_3</t>
  </si>
  <si>
    <t>Gorgon</t>
  </si>
  <si>
    <t>&lt;b&gt;Disorganised&lt;/b&gt; Reroll 6 to flee once</t>
  </si>
  <si>
    <t>&lt;b&gt;Petrifying Gaze&lt;/b&gt; - Whenever an enemy unit targets this revealed unit (e.g. ranged attacks, spell targets, target in melee), this unit makes an attack against each model in the unit, hitting on 6 with no block saves allowed. In combat the models get to attack first and kills count towards who won combat. Takes effect even if this unit dies from the attack.
&lt;b&gt;Multiwound 2&lt;/b&gt; - Each hit does 2 wounds to a single model.
&lt;b&gt;Multishot 3&lt;/b&gt; - Ranged attacks roll 3 dice.</t>
  </si>
  <si>
    <t>Bow &amp; Bolt Corps</t>
  </si>
  <si>
    <t>Firepowder Corps</t>
  </si>
  <si>
    <t>08_2C_2</t>
  </si>
  <si>
    <t>Quillbird</t>
  </si>
  <si>
    <t>Testudo</t>
  </si>
  <si>
    <t>&lt;b&gt;Flying&lt;/b&gt; - This unit can move over other units and obstacles
&lt;b&gt;Manoeuvrable&lt;/b&gt; - May turn once at any point during a walk or hustle
&lt;b&gt;Circle of Spikes&lt;/b&gt; - Opponents do not get bonuses for attacking this unit in the flank or rear. Strikes first against attacks from the flank or rear.</t>
  </si>
  <si>
    <t>&lt;b&gt;Testudo Formation&lt;/b&gt; Block is 6+ against shooting
&lt;b&gt;Slow&lt;/b&gt; Can't hustle</t>
  </si>
  <si>
    <t>Cannon</t>
  </si>
  <si>
    <t>Cannonade</t>
  </si>
  <si>
    <t>&lt;b&gt;War Machine&lt;/b&gt; - Dies if it flees.
&lt;b&gt;Cannon&lt;/b&gt; - Ranged weapon. Range 1d3+1. The first unit in that range gets one attack that hits on 3+, AP -3, and does 3 wounds. If it hits, the next unit takes a 4+, AP -2, 2 wound attack. If that hits, the third unit takes a 5+, AP -1, 1 wound attack. This shot can't pass through terrain.</t>
  </si>
  <si>
    <t>Mortar</t>
  </si>
  <si>
    <t>Mortar Company</t>
  </si>
  <si>
    <t>&lt;b&gt;War Machine&lt;/b&gt; - Dies if it flees.
&lt;b&gt;Mortar&lt;/b&gt; - Target a unit in shooting range 5. Each model in that unit is hit on 5+, AP 1</t>
  </si>
  <si>
    <t>08_2B_2</t>
  </si>
  <si>
    <t>Helblaster volley gun</t>
  </si>
  <si>
    <t>Poachers</t>
  </si>
  <si>
    <t>Shattergun (Trying not to plagerise WH too much :D )</t>
  </si>
  <si>
    <t>Grafters</t>
  </si>
  <si>
    <t>&lt;b&gt;War Machine&lt;/b&gt; - Dies if it flees.
&lt;b&gt;Helblaster Volley Gun&lt;/b&gt; - Target a unit in shooting range 3. Roll 3d6, suffer one wound for each 1 rolled. Now keep the highest 2 dice and do that many 5+ attacks with AP 2 against that unit.</t>
  </si>
  <si>
    <t>&lt;b&gt;Silence&lt;/b&gt; -  Enemy units in the same combat as this unit ignore all of their perks (including weapon perks).
&lt;b&gt;Silencing Shots&lt;/b&gt; -  Enemy units that have been damaged by this unit lose all of their perks (including weapon perks) until yor next turn.
&lt;b&gt;Multishot 2&lt;/b&gt; - Ranged attacks roll 2 dice.</t>
  </si>
  <si>
    <t>Wyrmling Knights</t>
  </si>
  <si>
    <t>Outriders</t>
  </si>
  <si>
    <t>&lt;b&gt;Regiment&lt;/b&gt;
&lt;b&gt;Fearful Presence&lt;/b&gt; - Enemy units in range 2 subtract one from rolls to flee. Natural 6s still always pass.</t>
  </si>
  <si>
    <t>Stormriders</t>
  </si>
  <si>
    <t>&lt;b&gt;Manoeuvrable&lt;/b&gt; - May turn once at any point during a walk or hustle
&lt;b&gt;Multishot 2&lt;/b&gt; - Ranged attacks roll 2 dice.
&lt;b&gt;Fire on the Move&lt;/b&gt; - Can shoot after walking
&lt;b&gt;Imperial Pistols&lt;/b&gt; - AP 1, Range 2
&lt;b&gt;Tactical Retreat&lt;/b&gt; - Can choose to flee before combat starts</t>
  </si>
  <si>
    <t>Pistol Riders</t>
  </si>
  <si>
    <t>Merged</t>
  </si>
  <si>
    <t>08_2B_3</t>
  </si>
  <si>
    <t>Scourgeons</t>
  </si>
  <si>
    <t>&lt;b&gt;Manoeuvrable&lt;/b&gt; - May turn once at any point during a walk or hustle
&lt;b&gt;Multishot 2&lt;/b&gt; - Ranged attacks roll 2 dice.</t>
  </si>
  <si>
    <t>&lt;b&gt;Permanent Grafts&lt;/b&gt; - Graft spells last until they are successfully cast again, or this unit dies.
&lt;b&gt;Prepared Spell&lt;/b&gt; - Equip this unit with one free uncommon spell.</t>
  </si>
  <si>
    <t>Great Swords</t>
  </si>
  <si>
    <t>Greatswords</t>
  </si>
  <si>
    <t>Veterans</t>
  </si>
  <si>
    <t>&lt;b&gt;Regiment&lt;/b&gt;
&lt;b&gt;Unbreakable&lt;/b&gt; - Can't flee</t>
  </si>
  <si>
    <t>08_2B_1</t>
  </si>
  <si>
    <t>Alchemists</t>
  </si>
  <si>
    <t>Max Range</t>
  </si>
  <si>
    <t>Avg Range</t>
  </si>
  <si>
    <t>Chance Hit</t>
  </si>
  <si>
    <t>Chance 1 Off</t>
  </si>
  <si>
    <t>Chance Misfire</t>
  </si>
  <si>
    <t>Hits</t>
  </si>
  <si>
    <t>Effective Hits</t>
  </si>
  <si>
    <t>Hits to target</t>
  </si>
  <si>
    <t>Hits to near</t>
  </si>
  <si>
    <t>&lt;b&gt;Infuse&lt;/b&gt; - Free action: Give a friendly unit within 2 one of the following effects until you next cast infuse or this unit dies:
&lt;i&gt;Poison&lt;/i&gt; - 6s to hit can't be saved
&lt;i&gt;Vengence&lt;/i&gt; - When this unit blocks in combat, it still takes 1 wound. The unit that attacked takes 1 wound as well.
&lt;i&gt;Regeneration 1&lt;/i&gt; - Heal 1 at the start of each of your turns.</t>
  </si>
  <si>
    <t>Effect</t>
  </si>
  <si>
    <t>Firing Line</t>
  </si>
  <si>
    <t>Steamtank</t>
  </si>
  <si>
    <t>Leader</t>
  </si>
  <si>
    <t>Boombox</t>
  </si>
  <si>
    <t>&lt;small&gt;&lt;b&gt;War Machine&lt;/b&gt; - Dies if it flees.
&lt;b&gt;The Big Guns&lt;/b&gt; - Pick a target square within 6 and roll a die.
6 - Direct hit. 
5 - Off by one, your choice. 
4 - Off by one, towards the opponents board edge. 
3 - Off by one, towards your board edge. 
2 - Off by two, opponent's choice where. 
1 - Hit yourself. 
The central tile takes d6 attacks, 3+ AP -1. The four adjacent tiles take 1 hit each, 4+ AP0.
&lt;b&gt;Friendly Fire&lt;/b&gt; - Can shoot into combat and into friendly units.&lt;/small&gt;</t>
  </si>
  <si>
    <t>Commando</t>
  </si>
  <si>
    <t>Square</t>
  </si>
  <si>
    <t>Spitter</t>
  </si>
  <si>
    <t>&lt;b&gt;War Machine&lt;/b&gt; - Dies if it flees.
&lt;b&gt;Poison&lt;/b&gt; - 6s to hit can't be saved
&lt;b&gt;Virulent 4+&lt;/b&gt; - Any unit wounded by this unit becomes Poisoned. At the end of each of the controlling players turns, Poisoned units take a wound on a 4+ with no armour saves allowed.
&lt;b&gt;Spitter Cannon&lt;/b&gt; - Ranged weapon. Range 5. Fires 4 shots. Can shoot over friendly units.</t>
  </si>
  <si>
    <t>Sharpshooter</t>
  </si>
  <si>
    <t>01_1_1</t>
  </si>
  <si>
    <t>Goblins</t>
  </si>
  <si>
    <t>&lt;b&gt;Accurate&lt;/b&gt; - Can reroll failed hits
&lt;b&gt;???&lt;/b&gt; - Every friendly unit within range 2 can reroll 1 shotting/war machine die per turn
&lt;b&gt;Multishot 2&lt;/b&gt; - Ranged attacks roll 2 dice.</t>
  </si>
  <si>
    <t>Grand Judge</t>
  </si>
  <si>
    <t>Cocoon Cannon</t>
  </si>
  <si>
    <t xml:space="preserve">&lt;b&gt;War Machine&lt;/b&gt; - Dies if it flees.
&lt;b&gt;Poison&lt;/b&gt; - 6s to hit can't be saved
&lt;b&gt;Cocoon Cannon&lt;/b&gt; - Pick a target square within 6 and roll a die. Can't target a unit in combat.
5 or 6 - Direct hit
4 - Off by one, your choice
2 or 3 - Miss
1 - Off by one, opponent's choice 
The target tile takes 3 attacks hitting on 4+ with poison. The unit may not move on its next turn.
</t>
  </si>
  <si>
    <t>Magic Corps.</t>
  </si>
  <si>
    <t>&lt;b&gt;Mage&lt;/b&gt; - Can cast two spells a turn
&lt;b&gt;Old Knowledge&lt;/b&gt; - Can reroll a failed spell once a turn
&lt;b&gt;Magic Ward&lt;/b&gt; - Can negate wounds with 4+</t>
  </si>
  <si>
    <t>Inquisitor</t>
  </si>
  <si>
    <t>&lt;b&gt;War Machine&lt;/b&gt; - Dies if it flees.
&lt;b&gt;Razorstar&lt;/b&gt; - Ranged weapon. Range d6+1. The first unit in that range gets one attack that hits on 3+, AP -3. If it hits, the next unit takes a 4+, AP -2. If that hits, the third unit takes a 5+, AP -1. Each hit does d6 wounds to a single model. This shot can't pass through terrain.
&lt;b&gt;Friendly Fire&lt;/b&gt; - Can shoot into combat and into friendly units.</t>
  </si>
  <si>
    <t>d6+1</t>
  </si>
  <si>
    <t>01_1_2</t>
  </si>
  <si>
    <t>Weblayer</t>
  </si>
  <si>
    <t>&lt;small&gt;&lt;b&gt;War Machine&lt;/b&gt; - Dies if it flees.
&lt;b&gt;Poison&lt;/b&gt; - 6s to hit can't be saved
&lt;b&gt;Web Layer&lt;/b&gt; - Pick a target square within 6 and roll a die. 
4, 5 or 6 - Direct hit
3 - Off by one, your choice
2 - Miss
1 - Off by up to two, opponent's choice 
Place a web in the target square. Units that move into those spaces end their turns and can't fight in combat. If this hits a unit directly, it can't fight in combat this turn. Webs are removed once stepped in.
&lt;b&gt;Friendly Fire&lt;/b&gt; - Can shoot into combat and into friendly units.&lt;/small&gt;</t>
  </si>
  <si>
    <t xml:space="preserve">&lt;b&gt;AP 4&lt;/b&gt; - Reduce block rolls by 4.
&lt;b&gt;Explosive&lt;/b&gt; - Dies after combat.
&lt;b&gt;Unprotected&lt;/b&gt; - Reveal this unit when an attack hits it, rather than using the default block. </t>
  </si>
  <si>
    <t>Empire</t>
  </si>
  <si>
    <t>&lt;b&gt;Spell&lt;/b&gt; Pick a target square within 6 and roll a die. 
4, 5 or 6 - Direct hit
3 - Off by one, your choice
2 - Miss
1 - Off by up to two, opponent's choice 
6 attacks on 3+, AP 3</t>
  </si>
  <si>
    <t>&lt;b&gt;Spell&lt;/b&gt; - Target an enemy unit within 3. It takes 3 attacks hitting on 4+ with AP 1</t>
  </si>
  <si>
    <t>Speed of Light</t>
  </si>
  <si>
    <t>&lt;b&gt;Spell&lt;/b&gt; - Target a friendly unit within 3. It reroll failed to hit rolls untill the start of your next turn</t>
  </si>
  <si>
    <t>&lt;b&gt;Spell&lt;/b&gt; - Target an enemy unit within 3. It rerolls 6-value hits until the start of your turn</t>
  </si>
  <si>
    <t>Regrowth</t>
  </si>
  <si>
    <t>&lt;b&gt;Spell&lt;/b&gt; - Choose a unit in range 2 and heal 3 wounds. This can resurrect models. Limited to the starting number of units/wounds.</t>
  </si>
  <si>
    <t>Time Bending</t>
  </si>
  <si>
    <t>&lt;b&gt;Spell&lt;/b&gt; - Each friendly unit within range 2 can take a free movement/rotate/sidestep. They leave a fight this way. They don't count as having moved for shooting purposes</t>
  </si>
  <si>
    <t>&lt;b&gt;War Machine&lt;/b&gt; - Dies if it flees.
&lt;b&gt;Cannons&lt;/b&gt; - Ranged weapon. Range 5. The first unit in that range gets 3 attacks that hit on 5+, AP -2, Multiwound 2.
&lt;b&gt;Foe Piercing&lt;/b&gt; - May also attack a unit within range directly behind the target, hitting with a -1 penalty.</t>
  </si>
  <si>
    <t xml:space="preserve">&lt;b&gt;War Machine&lt;/b&gt; - Dies if it flees.
4, 5 or 6 - Direct hit
3 - Off by one, your choice
2 - Miss
1 - Off by up to two, opponent's choice </t>
  </si>
  <si>
    <t>War Organ</t>
  </si>
  <si>
    <t>&lt;b&gt;War Machine&lt;/b&gt; - Dies if it flees.
&lt;b&gt;Gatling Gun&lt;/b&gt; - Ranged Weapon. Range 4. Roll 3d6 and take a wound for each 1 rolled. If this unit survives, take the two highest dice and fire that many shots.</t>
  </si>
  <si>
    <t>01_1_3</t>
  </si>
  <si>
    <t>d3</t>
  </si>
  <si>
    <t>&lt;b&gt;Random mover d3&lt;/b&gt; - Roll a die for movement each turn. Movement is d3 spaces.
&lt;b&gt;Eager to Fight&lt;/b&gt; - You must move the full distance, or collide with something. If the unit moves off the board, it is lost.
&lt;b&gt;Manoeuvrable&lt;/b&gt; - May turn once at any point during a walk or hustle.</t>
  </si>
  <si>
    <t>01_1_4</t>
  </si>
  <si>
    <t>01_1_5</t>
  </si>
  <si>
    <t>Goblings</t>
  </si>
  <si>
    <t xml:space="preserve">&lt;b&gt;Chaff&lt;/b&gt; - Subtract 1 from leadership rolls. 6s still auto-succeed. </t>
  </si>
  <si>
    <t>01_1_6</t>
  </si>
  <si>
    <t xml:space="preserve">&lt;b&gt;Burst&lt;/b&gt; - For each friendly model that dies in combat, make an attack hitting on 4+ with AP1 against the unit that dealt the wound. </t>
  </si>
  <si>
    <t>01_2A_1</t>
  </si>
  <si>
    <t>Chariots</t>
  </si>
  <si>
    <t>&lt;b&gt;Impact Hits d3&lt;/b&gt; - If you get a charge bonus, do d3 attacks per model hitting on 4+. These count towards who won combat.
&lt;b&gt;Chariot&lt;/b&gt; - Can't sidestep</t>
  </si>
  <si>
    <t>01_2A_2</t>
  </si>
  <si>
    <t xml:space="preserve">&lt;b&gt;Explosive&lt;/b&gt; - Dies after combat.
&lt;b&gt;Giant Powder Keg&lt;/b&gt; - 2d6 attacks per model
&lt;b&gt;AP 4&lt;/b&gt; - Reduce block rolls by 4.
&lt;b&gt;Fast&lt;/b&gt; - Rolls two hustle die, so it can travel up to two extra squares.
&lt;b&gt;Unprotected&lt;/b&gt; - Reveal this unit when an attack hits it, rather than using the default block.
&lt;b&gt;Chariot&lt;/b&gt; - Can't sidestep </t>
  </si>
  <si>
    <t>01_2A_3</t>
  </si>
  <si>
    <t>&lt;b&gt;Fire on the Move&lt;/b&gt; - Can use ranged attacks after walking
&lt;b&gt;Multishot 3&lt;/b&gt; - Ranged attacks roll 3 dice per model
&lt;b&gt;Manoeuvrable&lt;/b&gt; - May turn once at any point during a walk or hustle
&lt;b&gt;Chariot&lt;/b&gt; - Can't sidestep</t>
  </si>
  <si>
    <t>01_2B_1</t>
  </si>
  <si>
    <t>Hurtbox</t>
  </si>
  <si>
    <t>&lt;b&gt;War Machine&lt;/b&gt; - Dies if it flees.
&lt;b&gt;Razorstar&lt;/b&gt; - Ranged weapon. Range d6+1. The first unit in that range gets one attack that hits on 3+, AP -3. If it hits, the next unit takes a 4+, AP -2. If that hits, the third unit takes a 5+, AP -1. Each hit does d6 wounds to a single model. This shot can't pass through terrain. 
&lt;b&gt;Friendly Fire&lt;/b&gt; - Can shoot into combat and into friendly units.</t>
  </si>
  <si>
    <t>01_2B_2</t>
  </si>
  <si>
    <t>01_2B_3</t>
  </si>
  <si>
    <t>&lt;small&gt;&lt;b&gt;Flamethrower&lt;/b&gt; - Special action. Can be used instead of attacking in combat or as a ranged attack. Roll a die for range. 
6 - Range 3
5/4 - Range 2
3 - Range 1
2 - Take 1 wound
1 - Opponent turns you 90 degrees. Range 2. 
Hits all tiles in range across all three ranged attack columns. Each unit that is hit rolls a die for each model in the unit. Models are hit on a 5, AP1. 
&lt;b&gt;Friendly Fire&lt;/b&gt; - Can shoot into combat and into friendly units.
&lt;b&gt;Chariot&lt;/b&gt; - Can't sidestep&lt;/small&gt;</t>
  </si>
  <si>
    <t>01_2C_1</t>
  </si>
  <si>
    <t>Flagellants</t>
  </si>
  <si>
    <t>Priests</t>
  </si>
  <si>
    <t xml:space="preserve">&lt;b&gt;Unbreakable&lt;/b&gt; - Can't flee
&lt;b&gt;Rabid&lt;/b&gt; - Must move into combat if able to
&lt;b&gt;Unprotected&lt;/b&gt; - Reveal this unit when an attack hits it, rather than using the default block. </t>
  </si>
  <si>
    <t>01_2C_2</t>
  </si>
  <si>
    <t>Tincans</t>
  </si>
  <si>
    <t>&lt;b&gt;Stalwart&lt;/b&gt; - Add 1 to leadership rolls
&lt;b&gt;Slow&lt;/b&gt; - Can't hustle</t>
  </si>
  <si>
    <t>01_2C_3</t>
  </si>
  <si>
    <t xml:space="preserve">&lt;b&gt;"Jetpacks"&lt;/b&gt; - Action: Roll 2d6. Move a number of tiles at least equal to the lower die, and up to the higher die. You can fly over other units. After landing, this unit may face any direction. If you choose to land on a unit, each model makes 2 attacks hitting at 4+ with AP 2, then this unit dies [explosive]. If this unit moves off the board, it dies. </t>
  </si>
  <si>
    <t>02_1_4</t>
  </si>
  <si>
    <t>Horde</t>
  </si>
  <si>
    <t>Rats</t>
  </si>
  <si>
    <t>02_1_6</t>
  </si>
  <si>
    <t>Peltlings</t>
  </si>
  <si>
    <t xml:space="preserve">&lt;b&gt;Cowards&lt;/b&gt; - Always loses combat
&lt;b&gt;Chaff&lt;/b&gt; - Subtract 1 from leadership rolls. 6s still auto-succeed. </t>
  </si>
  <si>
    <t>02_1_3</t>
  </si>
  <si>
    <t>Pelters</t>
  </si>
  <si>
    <t>02_1_1</t>
  </si>
  <si>
    <t>02_1_5</t>
  </si>
  <si>
    <t>Assasslings</t>
  </si>
  <si>
    <t>&lt;b&gt;Chaff&lt;/b&gt; - Subtract 1 from leadership rolls. 6s still auto-succeed. 
&lt;b&gt;Poison&lt;/b&gt; - 6s to hit can't be saved</t>
  </si>
  <si>
    <t>02_1_2</t>
  </si>
  <si>
    <t>Skitterers</t>
  </si>
  <si>
    <t>&lt;b&gt;Chaff&lt;/b&gt; - Subtract 1 from leadership rolls. 6s still auto-succeed. 
&lt;b&gt;Manoeuvrable&lt;/b&gt; - May turn once at any point during a walk or hustle</t>
  </si>
  <si>
    <t>02_2A_1</t>
  </si>
  <si>
    <t>Ninjas</t>
  </si>
  <si>
    <t>Elites</t>
  </si>
  <si>
    <t>&lt;b&gt;Elusive 1&lt;/b&gt; - All to-hit rolls targetting this unit suffer a -1 penalty.
&lt;b&gt;Smoke Bombs&lt;/b&gt; - Once per game before combat, move this unit forward 2. This can go through any unit but must end in an unoccupied space. This can bring the unit into a new combat.
&lt;b&gt;Unprotected&lt;/b&gt; - Reveal this unit when an attack hits it, rather than using the default block.</t>
  </si>
  <si>
    <t>02_2A_2</t>
  </si>
  <si>
    <t>Heavies</t>
  </si>
  <si>
    <t>&lt;b&gt;Stalwart&lt;/b&gt; - Add 1 to leadership rolls</t>
  </si>
  <si>
    <t>02_2C_3</t>
  </si>
  <si>
    <t>Thiefwagon</t>
  </si>
  <si>
    <t>Ratwagons</t>
  </si>
  <si>
    <t xml:space="preserve">&lt;b&gt;Thieves&lt;/b&gt; - At the start of combat, if this unit is in the flank or rear of an enemy unit, steal an equipment card from it and equip this unit. 
&lt;b&gt;Manoeuvrable&lt;/b&gt; - May turn once at any point during a walk or hustle
&lt;b&gt;Chariot&lt;/b&gt; - Can't sidestep </t>
  </si>
  <si>
    <t>02_2C_2</t>
  </si>
  <si>
    <t>Battering-Rat</t>
  </si>
  <si>
    <t xml:space="preserve">&lt;b&gt;Impact Hits d6+1&lt;/b&gt; - If you get a charge bonus, do d6+1 attacks hitting on a 4+. These count towards who won combat.
&lt;b&gt;Push&lt;/b&gt; - If you move into an opponent without using your whole movement allowance, you can push them back. Move them back one and move into their original square. This can't push opponents off the board or into occupied squares. This counts for charge distance. 
&lt;b&gt;Chariot&lt;/b&gt; - Can't sidestep </t>
  </si>
  <si>
    <t>02_2B_1</t>
  </si>
  <si>
    <t>Fearaltar</t>
  </si>
  <si>
    <t>Rataltar</t>
  </si>
  <si>
    <t>&lt;b&gt;Sacrifice&lt;/b&gt; - Action: Target friendly common unit takes a wound. It may then take an action.</t>
  </si>
  <si>
    <t>02_2B_2</t>
  </si>
  <si>
    <t>Swarmaltar</t>
  </si>
  <si>
    <t>&lt;b&gt;Call the Swarm&lt;/b&gt; - Free action: Revive d6 rats in a common unit. Limited to the starting number of rats.</t>
  </si>
  <si>
    <t>02_2B_3</t>
  </si>
  <si>
    <t>Feastaltar</t>
  </si>
  <si>
    <t>&lt;b&gt;Aura of Power&lt;/b&gt; - Adjacent rats gain +1 to hit in melee</t>
  </si>
  <si>
    <t>02_2C_1</t>
  </si>
  <si>
    <t>Chumpwagon</t>
  </si>
  <si>
    <t>&lt;b&gt;Trojan Rats&lt;/b&gt; - When this unit is wiped out, place a unit of Ratkin Warriors either in the same cell, or one of the four adjacent cells. You choose which direction they are facing.</t>
  </si>
  <si>
    <t>02_2A_3</t>
  </si>
  <si>
    <t>Throatnicks</t>
  </si>
  <si>
    <t>&lt;b&gt;Poison&lt;/b&gt; - 6s to hit can't be saved
&lt;b&gt;Lethal&lt;/b&gt; - 6s to hit do two wounds to a model</t>
  </si>
  <si>
    <t>05_1_1</t>
  </si>
  <si>
    <t>Warband</t>
  </si>
  <si>
    <t>05_1_2</t>
  </si>
  <si>
    <t>&lt;b&gt;Vengence&lt;/b&gt; - When this unit blocks in combat, it still takes 1 wound. The unit that attacked takes 1 wound as well.
&lt;b&gt;Fragile Spikes&lt;/b&gt; - This unit's block only applies in combat. Ranged hits may not be blocked after the unit is revealed.</t>
  </si>
  <si>
    <t>05_1_4</t>
  </si>
  <si>
    <t>Crowseekers</t>
  </si>
  <si>
    <t>&lt;b&gt;Vengence&lt;/b&gt; - When this unit blocks in combat, it still takes 1 wound. The unit that attacked takes 1 wound as well.
&lt;b&gt;Bloodlust&lt;/b&gt; - While this unit has one or more wounds, each model has an extra attack.</t>
  </si>
  <si>
    <t>05_1_3</t>
  </si>
  <si>
    <t>Beserks</t>
  </si>
  <si>
    <t>&lt;b&gt;Vengence&lt;/b&gt; - When this unit blocks in combat, it still takes 1 wound. The unit that attacked takes 1 wound as well.
&lt;b&gt;Random mover d3&lt;/b&gt; - Roll a die for movement each turn. Movement is d3 spaces.
&lt;b&gt;Eager to Fight.&lt;/b&gt; - You must move the full distance, or collide with something. If the unit moves off the board, it is lost.
&lt;b&gt;Manoeuvrable&lt;/b&gt; - May turn once at any point during a walk or hustle.</t>
  </si>
  <si>
    <t>05_1_5</t>
  </si>
  <si>
    <t>Relentless</t>
  </si>
  <si>
    <t>&lt;b&gt;Vengence&lt;/b&gt; - When this unit blocks in combat, it still takes 1 wound. The unit that attacked takes 1 wound as well.
&lt;b&gt;Relentless&lt;/b&gt; - If this unit defeats a unit in combat, it may move forward 1. If it enters a new combat, this unit can attack again. New opponents may not counterattack this unit.</t>
  </si>
  <si>
    <t>05_1_6</t>
  </si>
  <si>
    <t>Pincushions</t>
  </si>
  <si>
    <t>&lt;b&gt;Vengence&lt;/b&gt; - When this unit blocks in combat, it still takes 1 wound. The unit that attacked takes 1 wound as well.
&lt;b&gt;Circle of Spikes&lt;/b&gt; - Opponents do not get bonuses for attacking this unit in the flank or rear. Strikes first against attacks from the flank or rear.</t>
  </si>
  <si>
    <t>05_2C_3</t>
  </si>
  <si>
    <t>Harvesters</t>
  </si>
  <si>
    <t>Warwitches</t>
  </si>
  <si>
    <t>&lt;b&gt;Vengence&lt;/b&gt; - When this unit blocks in combat, it still takes 1 wound. The unit that attacked takes 1 wound as well.
&lt;b&gt;Bloodspells&lt;/b&gt; - While this unit is wounded, gain +1 to casting.
&lt;b&gt;Prepared Spell&lt;/b&gt; - Equip this unit with one free uncommon spell.</t>
  </si>
  <si>
    <t>05_2A_1</t>
  </si>
  <si>
    <t>Meatwads</t>
  </si>
  <si>
    <t>Huskarls</t>
  </si>
  <si>
    <t>&lt;b&gt;Vengence&lt;/b&gt; - When this unit blocks in combat, it still takes 1 wound. The unit that attacked takes 1 wound as well.
&lt;b&gt;Retribution&lt;/b&gt; - Wounds dealt from Vengence count double to combat resolution.</t>
  </si>
  <si>
    <t>05_2A_2</t>
  </si>
  <si>
    <t>Blood-dancers</t>
  </si>
  <si>
    <t>&lt;b&gt;Vengence&lt;/b&gt; - When this unit blocks in combat, it still takes 1 wound. The unit that attacked takes 1 wound as well.
&lt;b&gt;Blood Dance&lt;/b&gt; - Once per turn, after this unit takes a wound, it may move or sidestep. This may take it out of combat. 
&lt;b&gt;Manoeuvrable&lt;/b&gt; - May turn once at any point during a walk or hustle.</t>
  </si>
  <si>
    <t>05_2A_3</t>
  </si>
  <si>
    <t>Quillsprays</t>
  </si>
  <si>
    <t>&lt;b&gt;Vengence&lt;/b&gt; - When this unit blocks in combat, it still takes 1 wound. The unit that attacked takes 1 wound as well.
&lt;b&gt;About Face&lt;/b&gt; - May turn exactly 180 after moving. 
&lt;b&gt;Quill Spray&lt;/b&gt; - Special action. Can be used instead of attacking in combat or as a ranged attack. Each model shoots each enemy unit adjacent to the flank or rear of this unit, using this unit's ranged stat. This can shoot units in combat. Counts towards combat resolution. 
&lt;b&gt;Circle of Spikes&lt;/b&gt; - Opponents do not get bonuses for attacking this unit in the flank or rear. Strikes first against attacks from the flank or rear.</t>
  </si>
  <si>
    <t>05_2B_1</t>
  </si>
  <si>
    <t>Raiders</t>
  </si>
  <si>
    <t>Boar Riders</t>
  </si>
  <si>
    <t>&lt;b&gt;Vengence&lt;/b&gt; - When this unit blocks in combat, it still takes 1 wound. The unit that attacked takes 1 wound as well.
&lt;b&gt;Flanking Ambush&lt;/b&gt; - This unit may be deployed off the board. If they are, on any turn you may use this unit's action to place them on either flank board edge (facing away from it). This counts as their action for the turn.</t>
  </si>
  <si>
    <t>05_2B_2</t>
  </si>
  <si>
    <t>Woedriders</t>
  </si>
  <si>
    <t>&lt;b&gt;Vengence&lt;/b&gt; - When this unit blocks in combat, it still takes 1 wound. The unit that attacked takes 1 wound as well.
&lt;b&gt;Uncanny Protection&lt;/b&gt; - Block may not be reduced beneath 5.
&lt;b&gt;Protective Markings&lt;/b&gt; - When this unit blocks due to Vengence, it does not take a wound.</t>
  </si>
  <si>
    <t>05_2C_2</t>
  </si>
  <si>
    <t>Furies</t>
  </si>
  <si>
    <t>&lt;b&gt;Vengence&lt;/b&gt; - When this unit blocks in combat, it still takes 1 wound. The unit that attacked takes 1 wound as well.
&lt;b&gt;Revels&lt;/b&gt; - When this unit takes or deals a wound, heal an adjacent friendly unit by 1. This can ressurect models.</t>
  </si>
  <si>
    <t>05_2B_3</t>
  </si>
  <si>
    <t>Screamers</t>
  </si>
  <si>
    <t>&lt;b&gt;Vengence&lt;/b&gt; - When this unit blocks in combat, it still takes 1 wound. The unit that attacked takes 1 wound as well.
&lt;b&gt;Bloodlust&lt;/b&gt; - While this unit has one or more wounds, each model has an extra attack.
&lt;b&gt;Relentless&lt;/b&gt; - If this unit defeats a unit in combat, it may move forward 1. If it enters a new combat, this unit can attack again. New opponents may not counterattack this unit.
&lt;b&gt;Manoeuvrable&lt;/b&gt; - May turn once at any point during a walk or hustle.</t>
  </si>
  <si>
    <t>05_2C_1</t>
  </si>
  <si>
    <t>Valkryies</t>
  </si>
  <si>
    <t>&lt;b&gt;Vengence&lt;/b&gt; - When this unit blocks in combat, it still takes 1 wound. The unit that attacked takes 1 wound as well.
&lt;b&gt;Battlefield Salves&lt;/b&gt; - Free action: Heal an adjacent unit by 1. Until the end of turn, it heals 1 every time it deals a wound. This can ressurect models.</t>
  </si>
  <si>
    <t>07_1_2</t>
  </si>
  <si>
    <t>&lt;b&gt;Detachment&lt;/b&gt; - Gains +1 to leadership rolls while adjacent to a regiment or officer. If no regiments or officers are adjacent to this unit, fails flee rolls on a 2.
&lt;b&gt;Disorganised&lt;/b&gt; - Automatically fails fear checks if at or below 50% unit strength.</t>
  </si>
  <si>
    <t>07_1_1</t>
  </si>
  <si>
    <t>&lt;b&gt;Detachment&lt;/b&gt; - Gains +1 to leadership rolls while adjacent to a regiment or officer. If no regiments or officers are adjacent to this unit, fails flee rolls on a 2.</t>
  </si>
  <si>
    <t>07_1_3</t>
  </si>
  <si>
    <t>07_1_5</t>
  </si>
  <si>
    <t>Scalewall</t>
  </si>
  <si>
    <t>&lt;b&gt;Detachment&lt;/b&gt; - Gains +1 to leadership rolls while adjacent to a regiment or officer. If no regiments or officers are adjacent to this unit, fails flee rolls on a 2.
&lt;b&gt;Shieldwall&lt;/b&gt; - Improve block by 1 against ranged attacks 
&lt;b&gt;Slow&lt;/b&gt; - Can't hustle</t>
  </si>
  <si>
    <t>07_1_6</t>
  </si>
  <si>
    <t>&lt;b&gt;Detachment&lt;/b&gt; - Gains +1 to leadership rolls while adjacent to a regiment or officer. If no regiments or officers are adjacent to this unit, fails flee rolls on a 2.
&lt;b&gt;Pike Square&lt;/b&gt; - Opponents do not get bonuses for attacking this unit in the flank and this unit treats its flanks as the front of the unit. 
&lt;b&gt;Cavalrybane&lt;/b&gt; - Gains +1 to hit, AP1, and +1 to block in combat against units with 2 or more movement.</t>
  </si>
  <si>
    <t>07_1_4</t>
  </si>
  <si>
    <t>&lt;b&gt;Detachment&lt;/b&gt; - Gains +1 to leadership rolls while adjacent to a regiment or officer. If no regiments or officers are adjacent to this unit, fails flee rolls on a 2.
&lt;b&gt;Self Sufficient Bows&lt;/b&gt; - Ranged Weapon. Range 3. 
&lt;b&gt;Manoeuvrable&lt;/b&gt; - May turn once at any point during a walk or hustle.
&lt;b&gt;Fire on the Move&lt;/b&gt; - Can shoot after walking
&lt;b&gt;Tactical Retreat&lt;/b&gt; - Can choose to flee before combat starts</t>
  </si>
  <si>
    <t>07_2C_2</t>
  </si>
  <si>
    <t>Bluemasks</t>
  </si>
  <si>
    <t>&lt;b&gt;Regiment&lt;/b&gt; - Gains +1 to leadership rolls while adjacent to a detachment.
&lt;b&gt;Fearful Presence&lt;/b&gt; - Enemy units in range 2 subtract one from rolls to flee. Natural 6s still always pass.</t>
  </si>
  <si>
    <t>07_2B_3</t>
  </si>
  <si>
    <t>Dragoons</t>
  </si>
  <si>
    <t>Cavalry</t>
  </si>
  <si>
    <t>&lt;b&gt;Regiment&lt;/b&gt; - Gains +1 to leadership rolls while adjacent to a detachment.
&lt;b&gt;Impact Hits 1&lt;/b&gt; - If you get a charge bonus, do 1 attack per model hitting on 4+. These count towards who won combat.</t>
  </si>
  <si>
    <t>07_2B_1</t>
  </si>
  <si>
    <t>&lt;b&gt;Regiment&lt;/b&gt; - Gains +1 to leadership rolls while adjacent to a detachment.
&lt;b&gt;Manoeuvrable&lt;/b&gt; - May turn once at any point during a walk or hustle
&lt;b&gt;Multishot 2&lt;/b&gt; - Ranged attacks roll 2 dice.
&lt;b&gt;Fire on the Move&lt;/b&gt; - Can shoot after walking
&lt;b&gt;Tactical Retreat&lt;/b&gt; - Can choose to flee before combat starts</t>
  </si>
  <si>
    <t>07_2C_1</t>
  </si>
  <si>
    <t>Twohanders</t>
  </si>
  <si>
    <t>&lt;b&gt;Regiment&lt;/b&gt; - Gains +1 to leadership rolls while adjacent to a detachment.
&lt;b&gt;Unbreakable&lt;/b&gt; - Can't flee
&lt;b&gt;Cleave&lt;/b&gt; - Each hit does 2 wounds that can be split across multiple models.</t>
  </si>
  <si>
    <t>07_2C_3</t>
  </si>
  <si>
    <t>Jetbreaths</t>
  </si>
  <si>
    <t xml:space="preserve">&lt;b&gt;Regiment&lt;/b&gt; - Gains +1 to leadership rolls while adjacent to a detachment.
&lt;b&gt;Breath Weapons&lt;/b&gt; - Special attack: Once per battle, instead of attacking as normal this unit may use a breath weapon. Each model in this unit rolls an attack for every 2 models in the enemy unit (rounded up), hitting on 6s. </t>
  </si>
  <si>
    <t>07_2B_2</t>
  </si>
  <si>
    <t>Wyrmknights</t>
  </si>
  <si>
    <t>&lt;b&gt;Regiment&lt;/b&gt; - Gains +1 to leadership rolls while adjacent to a detachment.
&lt;b&gt;Flying&lt;/b&gt; - This unit can move over other units and obstacles
&lt;b&gt;Manoeuvrable&lt;/b&gt; - May turn once at any point during a walk or hustle</t>
  </si>
  <si>
    <t>07_2A_1</t>
  </si>
  <si>
    <t>Firepower</t>
  </si>
  <si>
    <t>&lt;b&gt;War Machine&lt;/b&gt; - Dies if it flees.
&lt;b&gt;Cannons&lt;/b&gt; - Ranged weapon. Range 5. The first unit in that range gets 3 attacks that hit on 5+, AP -2, Multiwound 2.
&lt;b&gt;Foe Piercing&lt;/b&gt; - May also attack a unit within range directly behind the target, hitting with a -1 penalty.</t>
  </si>
  <si>
    <t>07_2A_2</t>
  </si>
  <si>
    <t>&lt;b&gt;War Machine&lt;/b&gt; - Dies if it flees.
&lt;b&gt;Storm Mortar&lt;/b&gt; - Pick a target square within 6 and roll a die. Can't target a unit in combat.
4, 5 or 6 - Direct hit
3 - Off by one, your choice
2 - Miss
1 - Off by up to two, opponent's choice 
Roll an attack for each model in the target square, hitting on 4+ with AP1.</t>
  </si>
  <si>
    <t>07_2A_3</t>
  </si>
  <si>
    <t>&lt;b&gt;War Machine&lt;/b&gt; - Dies if it flees.
&lt;b&gt;Organ Gun&lt;/b&gt; - Ranged Weapon. Range 4. Roll 3d6 and take a wound for each 1 rolled. Take the two highest dice and fire that many shots. Shots are fired even if this unit is destroyed.</t>
  </si>
  <si>
    <t>04_1_6</t>
  </si>
  <si>
    <t>Squires</t>
  </si>
  <si>
    <t>Spiderlings</t>
  </si>
  <si>
    <t xml:space="preserve">&lt;b&gt;Poison&lt;/b&gt; - 6s to hit can't be saved
&lt;b&gt;Shieldwall&lt;/b&gt; - Improve block by 1 against ranged attacks </t>
  </si>
  <si>
    <t>04_1_1</t>
  </si>
  <si>
    <t>&lt;b&gt;Poison&lt;/b&gt; - 6s to hit can't be saved</t>
  </si>
  <si>
    <t>04_1_4</t>
  </si>
  <si>
    <t>Huntsmen</t>
  </si>
  <si>
    <t>04_1_2</t>
  </si>
  <si>
    <t>Webspitters</t>
  </si>
  <si>
    <t>&lt;b&gt;Poison&lt;/b&gt; - 6s to hit can't be saved
&lt;b&gt;Spit Webs&lt;/b&gt; - Opponents that start a combat with this unit gain strikes last for the turn.</t>
  </si>
  <si>
    <t>04_1_3</t>
  </si>
  <si>
    <t>Trappers</t>
  </si>
  <si>
    <t>&lt;b&gt;Poison&lt;/b&gt; - 6s to hit can't be saved
&lt;b&gt;Web Traps&lt;/b&gt; - Enemies can't flee from this unit or turn after combat. Instead of rolling to flee, they lose extra wounds for every point they lost combat.</t>
  </si>
  <si>
    <t>04_1_5</t>
  </si>
  <si>
    <t>Trapdoors</t>
  </si>
  <si>
    <t>&lt;b&gt;Poison&lt;/b&gt; - 6s to hit can't be saved
&lt;b&gt;Ambush&lt;/b&gt; - Action: Remove this unit from the board. On your next turn, place it on an empty space along any board edge (facing away from the board edge) as its action for the turn</t>
  </si>
  <si>
    <t>04_2A_2</t>
  </si>
  <si>
    <t>Tarantulas</t>
  </si>
  <si>
    <t>&lt;b&gt;Poison&lt;/b&gt; - 6s to hit can't be saved
&lt;b&gt;Virulent 2+&lt;/b&gt; - Any unit wounded by this unit becomes Poisoned. At the end of each of the controlling players turns, Poisoned units take a wound on a 2+ with no armour saves allowed.</t>
  </si>
  <si>
    <t>04_2A_1</t>
  </si>
  <si>
    <t>Jumpers</t>
  </si>
  <si>
    <t>&lt;b&gt;Poison&lt;/b&gt; - 6s to hit can't be saved
&lt;b&gt;Tactical Retreat&lt;/b&gt; - Can choose to flee before combat starts
&lt;b&gt;Jumping&lt;/b&gt; - Can jump over units and obstacles while walking and hustling. Doing so increases the max movement distance by 1. Must end their turn in an empty square.
&lt;b&gt;Manoeuvrable&lt;/b&gt; - May turn once at any point during a walk or hustle</t>
  </si>
  <si>
    <t>04_2B_2</t>
  </si>
  <si>
    <t>Webdancers</t>
  </si>
  <si>
    <t>Shifters</t>
  </si>
  <si>
    <t>&lt;b&gt;Poison&lt;/b&gt; - 6s to hit can't be saved
&lt;b&gt;Shifting&lt;/b&gt; - When this unit is revealed, you may immediately move it to any empty adjacent square. This can be used before combat starts.
&lt;b&gt;Flexible&lt;/b&gt; - Turn to face any direction at the start of your turn
&lt;b&gt;Cloaked 4+&lt;/b&gt; - Block is higher before this unit is revealed</t>
  </si>
  <si>
    <t>04_2B_3</t>
  </si>
  <si>
    <t>Mimics</t>
  </si>
  <si>
    <t>&lt;b&gt;Poison&lt;/b&gt; - 6s to hit can't be saved
&lt;b&gt;Cunning Disguises&lt;/b&gt; - Free action: Swap this unit with a friendly facedown unit.
&lt;b&gt;Cloaked 4+&lt;/b&gt; - Block is higher before this unit is revealed</t>
  </si>
  <si>
    <t>04_2C_1</t>
  </si>
  <si>
    <t>Webcannon</t>
  </si>
  <si>
    <t>04_2C_2</t>
  </si>
  <si>
    <t>04_2C_3</t>
  </si>
  <si>
    <t>04_2A_3</t>
  </si>
  <si>
    <t>Widowmakers</t>
  </si>
  <si>
    <t>&lt;b&gt;Aggressive Poison&lt;/b&gt; - 5s and 6s to hit can't be saved. Has no affect if the attack misses.
&lt;b&gt;Manoeuvrable&lt;/b&gt; - May turn once at any point during a walk or hustle</t>
  </si>
  <si>
    <t>04_2B_1</t>
  </si>
  <si>
    <t>Shimmerwebs</t>
  </si>
  <si>
    <t>&lt;b&gt;Poison&lt;/b&gt; - 6s to hit can't be saved
&lt;b&gt;Evasive&lt;/b&gt; - Enemy attacks only hit this unit on 6s.
&lt;b&gt;Cloaked 4+&lt;/b&gt; - Block is higher before this unit is revealed</t>
  </si>
  <si>
    <t>L01_3_A</t>
  </si>
  <si>
    <t>Boomshaman</t>
  </si>
  <si>
    <t>d6</t>
  </si>
  <si>
    <t xml:space="preserve">&lt;b&gt;Master of Munitions&lt;/b&gt; - Explosive units and direct hits by Boomboxes gain splash. For every wound dealt, all adjacent units take a hit on a 5+, AP1. 
&lt;b&gt;Explosive&lt;/b&gt; - Dies after combat.
&lt;b&gt;Powder Keg&lt;/b&gt; - d6 attacks per model.
&lt;b&gt;AP 4&lt;/b&gt; - Reduce block rolls by 4.
&lt;b&gt;Lit Fuses&lt;/b&gt; - When this unit dies, all adjacent units take d6 attacks hitting on 4+ with AP2. </t>
  </si>
  <si>
    <t>L01_3_B</t>
  </si>
  <si>
    <t>Weirdweaver</t>
  </si>
  <si>
    <t>&lt;b&gt;Chaoscaller&lt;/b&gt; - Once per turn, you may reroll a single die, unless it was a 1 or a 6.
&lt;b&gt;Miscasts&lt;/b&gt; - Takes 1 damage whenever it rolls a 1 to cast a spell.
&lt;b&gt;Uncanny Protection&lt;/b&gt; - Block may not be reduced beneath 5.
&lt;b&gt;Mage&lt;/b&gt; - Can cast two spells a turn</t>
  </si>
  <si>
    <t>L01_3_C</t>
  </si>
  <si>
    <t>Cap'n Bangtidy</t>
  </si>
  <si>
    <t>&lt;b&gt;Broadside&lt;/b&gt; - Free action: Fire a shot directly left or right. It hits all units directly in range d6. If it's a 1, it does 1 damage to this unit instead. Each shot does 3 attacks per unit, hitting on 4+, with multiwound 2. Can be fired in combat.
&lt;b&gt;Friendly Fire&lt;/b&gt; - Can shoot into combat and into friendly units.
&lt;b&gt;Impact Hits d3&lt;/b&gt; - If you get a charge bonus, do d3 attacks per model hitting on 4+. These count towards who won combat.
&lt;b&gt;Chariot&lt;/b&gt; - Can't sidestep</t>
  </si>
  <si>
    <t>L01_3_D</t>
  </si>
  <si>
    <t>Funguspeddler</t>
  </si>
  <si>
    <t>9</t>
  </si>
  <si>
    <t xml:space="preserve">&lt;b&gt;Dose Up&lt;/b&gt; - Free action: Select a target friendly unit and roll a die. This turn they hit on that value. If you roll a 1, they hit on 2+, but also die at the end of the turn. </t>
  </si>
  <si>
    <t>L01_3_E</t>
  </si>
  <si>
    <t>The Green Wolf</t>
  </si>
  <si>
    <t>&lt;b&gt;Impact Hits 2&lt;/b&gt; - If you get a charge bonus, do 2 attacks  hitting on 4+. These count towards who won combat.
&lt;b&gt;Retreat&lt;/b&gt; - After combat, instead of rotating, you may move back 2 spaces. Do not change facing. If this moves the unit off the board, it is lost.</t>
  </si>
  <si>
    <t>L02_3_A</t>
  </si>
  <si>
    <t>The Ratking</t>
  </si>
  <si>
    <t xml:space="preserve">&lt;b&gt;Ring of Rats&lt;/b&gt; - When the Ratking dies, each friendly ratkin unit heals by d6. </t>
  </si>
  <si>
    <t>L02_3_B</t>
  </si>
  <si>
    <t>The Cabal</t>
  </si>
  <si>
    <t>&lt;b&gt;Tricksie Wizards&lt;/b&gt; - Each Cabal member can cast a spell a turn.
&lt;b&gt;Miscasts&lt;/b&gt; - Takes 1 damage whenever it rolls a 1 to cast a spell.
&lt;b&gt;Uncanny Protection&lt;/b&gt; - Block may not be reduced below 5.</t>
  </si>
  <si>
    <t>L02_3_C</t>
  </si>
  <si>
    <t>The Grand Rataltar</t>
  </si>
  <si>
    <t>&lt;b&gt;Sacrificial Altar&lt;/b&gt; - Can use one Sacrifice as a free action each turn. It can use a different action as the action for the turn.
&lt;b&gt;Glorious Sacrifice&lt;/b&gt; - Action: Target friendly unit within 1 takes a wound. In combat this turn it gains +1 to hit and AP1.
&lt;b&gt;Occult Sacrifice&lt;/b&gt; - Action: Target friendly unit within 1 takes a wound. Cast a spell with a +1 bonus to casting.
&lt;b&gt;Terrifying Sacrifice&lt;/b&gt; - Action: Target friendly unit within 1 takes a wound. The unit that took a wound flees. Any unit it was in combat with rolls to flee with a -1 penalty.</t>
  </si>
  <si>
    <t>L02_3_D</t>
  </si>
  <si>
    <t>The Twins</t>
  </si>
  <si>
    <t>&lt;b&gt;Flanking Attack&lt;/b&gt; - While both twins are alive, the twins count as attacking in the flank. If they are already in the flank, they count as attacking the rear.
&lt;b&gt;Cheese it&lt;/b&gt; - When the first twin dies, stop taking damage and immediately flee.
&lt;b&gt;Multishot 2&lt;/b&gt; - Ranged attacks roll 2 dice per model.</t>
  </si>
  <si>
    <t>L02_3_E</t>
  </si>
  <si>
    <t>The Packrat</t>
  </si>
  <si>
    <t>&lt;b&gt;Packrat&lt;/b&gt; - May equip any number of weapons. Before each round of combat, choose which equipment to use.
&lt;b&gt;Filthy Looter&lt;/b&gt; - After this unit deals damage, it may steal an item from the target. If this unit already has a weapon of the same class, discard that weapon. The wounded unit gains the discarded weapon.</t>
  </si>
  <si>
    <t>L03_3_A</t>
  </si>
  <si>
    <t>Grand Necromancer</t>
  </si>
  <si>
    <t>&lt;b&gt;Unstable&lt;/b&gt; - Instead of rolling to flee, lose 1 extra wound
&lt;b&gt;Practiced Necromancy&lt;/b&gt; - Unstable units only lose an extra wound if they lose combat by at least 2.
&lt;b&gt;Uncanny Protection&lt;/b&gt; - Block may not be reduced beneath 5.
&lt;b&gt;Mage&lt;/b&gt; - Can cast two spells a turn</t>
  </si>
  <si>
    <t>L03_3_B</t>
  </si>
  <si>
    <t>Banshee Queen</t>
  </si>
  <si>
    <t xml:space="preserve">&lt;b&gt;Unstable&lt;/b&gt; - Instead of rolling to flee, lose 1 extra wound
&lt;b&gt;Fearful Presence&lt;/b&gt; - Enemy units in range 2 subtract one from rolls to flee. Natural 6s still always pass.
&lt;b&gt;Ethereal&lt;/b&gt; - Ignores Armour Piercing
&lt;b&gt;Terrifying&lt;/b&gt; - At the start of each round of combat, all enemy units in combat with it must roll to flee. If they flee out of combat, no combat takes place. </t>
  </si>
  <si>
    <t>L03_3_C</t>
  </si>
  <si>
    <t>The Gravedigger</t>
  </si>
  <si>
    <t>&lt;b&gt;Unstable&lt;/b&gt; - Instead of rolling to flee, lose 1 extra wound
&lt;b&gt;Corpsefinder&lt;/b&gt; - Whenever an enemy unit in range 3 is wiped out, a unit of your choice may regain d6 wounds.</t>
  </si>
  <si>
    <t>&lt;b&gt;AP 1&lt;/b&gt; - Reduce block rolls by 1.
"&lt;b&gt;Block 2&lt;/b&gt; - Improve the model's block by 2
&lt;b&gt;Unwieldy&lt;/b&gt; - Your rolls to hit in melee are reduced by 1"</t>
  </si>
  <si>
    <t>L03_3_D</t>
  </si>
  <si>
    <t>Dracolich</t>
  </si>
  <si>
    <t>&lt;b&gt;Unstable&lt;/b&gt; - Instead of rolling to flee, lose 1 extra wound
&lt;b&gt;Flying&lt;/b&gt; - This unit can move over other units and obstacles
&lt;b&gt;Manoeuvrable&lt;/b&gt; - May turn once at any point during a walk or hustle</t>
  </si>
  <si>
    <t>L03_3_E</t>
  </si>
  <si>
    <t>Archrevenant</t>
  </si>
  <si>
    <t>&lt;b&gt;Unstable&lt;/b&gt; - Instead of rolling to flee, lose 1 extra wound
&lt;b&gt;Archrevenant&lt;/b&gt; - After combat, heal this unit one wound for each wound dealt in combat. Can resurrect models. Limited to the starting size.</t>
  </si>
  <si>
    <t>L04_3_A</t>
  </si>
  <si>
    <t>Huntmistress</t>
  </si>
  <si>
    <t>&lt;b&gt;Poison&lt;/b&gt; - 6s to hit can't be saved
&lt;b&gt;Deceptive Shots&lt;/b&gt; - All units in army are able to shoot into flank or rear of units that are in combat. These wounds count towards that unit's combat resolution this turn.
&lt;b&gt;Multishot 3&lt;/b&gt; - Ranged attacks roll 3 dice.
&lt;b&gt;Volley Fire&lt;/b&gt; - Can fire ranged attacks over other units.
&lt;b&gt;Manoeuvrable&lt;/b&gt; - May turn once at any point during a walk or hustle</t>
  </si>
  <si>
    <t>L04_3_B</t>
  </si>
  <si>
    <t>Royal Poisoner</t>
  </si>
  <si>
    <t>&lt;b&gt;Wretched Poisons&lt;/b&gt; - Units that takes one or more poison wounds from a friendly unit must roll to flee with a -1 penalty. If the unit is in combat, it makes this roll at the end of turn.
&lt;b&gt;Poison&lt;/b&gt; - 6s to hit can't be saved
&lt;b&gt;Virulent 3+&lt;/b&gt; - Any unit wounded by this unit becomes Poisoned. At the end of each of the controlling players turns, Poisoned units take a wound on a 3+ with no armour saves allowed.</t>
  </si>
  <si>
    <t>L04_3_C</t>
  </si>
  <si>
    <t>Mistress of Whispers</t>
  </si>
  <si>
    <t>&lt;b&gt;Poison&lt;/b&gt; - 6s to hit can't be saved
&lt;b&gt;Pull Strings&lt;/b&gt; - Action: Swap the position of two friendly facedown units
&lt;b&gt;Mage&lt;/b&gt; - Can cast two spells a turn</t>
  </si>
  <si>
    <t>L04_3_D</t>
  </si>
  <si>
    <t>Handmaid</t>
  </si>
  <si>
    <t>&lt;b&gt;Poison&lt;/b&gt; - 6s to hit can't be saved
&lt;b&gt;Another's Bidding&lt;/b&gt; - When casting spells, this unit may select any friendly unit as the origin of a spell
&lt;b&gt;Mage&lt;/b&gt; - Can cast two spells a turn</t>
  </si>
  <si>
    <t>L04_3_E</t>
  </si>
  <si>
    <t>Broodmother</t>
  </si>
  <si>
    <t>&lt;b&gt;Poison&lt;/b&gt; - 6s to hit can't be saved
&lt;b&gt;Center of the Web&lt;/b&gt; - Gain +1 attack for each adjacent friendly unit
&lt;b&gt;Virulent 4+&lt;/b&gt; - Any unit wounded by this unit becomes Poisoned. At the end of each of the controlling players turns, Poisoned units take a wound on a 4+ with no armour saves allowed.</t>
  </si>
  <si>
    <t>L05_3_A</t>
  </si>
  <si>
    <t>Crowcaller</t>
  </si>
  <si>
    <t>&lt;b&gt;Vengence&lt;/b&gt; - When this unit blocks in combat, it still takes 1 wound. The unit that attacked takes 1 wound as well.
&lt;b&gt;Mage&lt;/b&gt; - Can cast two spells a turn.
&lt;b&gt;Bloodspells&lt;/b&gt; - While this unit is wounded, gain +1 to casting.
&lt;b&gt;Uncanny Protection&lt;/b&gt; - Block may not be reduced beneath 5.
&lt;b&gt;Protective Markings&lt;/b&gt; - When this unit blocks due to Vengence, it does not take a wound.</t>
  </si>
  <si>
    <t>L05_3_B</t>
  </si>
  <si>
    <t>The Brewer</t>
  </si>
  <si>
    <t>&lt;b&gt;Vengence&lt;/b&gt; - When this unit blocks in combat, it still takes 1 wound. The unit that attacked takes 1 wound as well.
&lt;b&gt;Cauldron&lt;/b&gt; - When Vengence triggers on an adjacent friendly unit, it does 2 wounds per block rolled.
&lt;b&gt;Uncanny Protection&lt;/b&gt; - Block may not be reduced beneath 5.
&lt;b&gt;Protective Markings&lt;/b&gt; - When this unit blocks due to Vengence, it does not take a wound.</t>
  </si>
  <si>
    <t>L05_3_C</t>
  </si>
  <si>
    <t>Executioner</t>
  </si>
  <si>
    <t>&lt;b&gt;Vengence&lt;/b&gt; - When this unit blocks in combat, it still takes 1 wound. The unit that attacked takes 1 wound as well.
&lt;b&gt;Multiwound 2&lt;/b&gt; - Each hit does 2 wounds to a single model.
 &lt;b&gt;Killing Blow&lt;/b&gt; - Before each round of combat, you may choose to forfeit any number of attack dice. Each die forfeited increases Multiwound by 1.</t>
  </si>
  <si>
    <t>L05_3_D</t>
  </si>
  <si>
    <t>Raidleader</t>
  </si>
  <si>
    <t>&lt;b&gt;Vengence&lt;/b&gt; - When this unit blocks in combat, it still takes 1 wound. The unit that attacked takes 1 wound as well.
&lt;b&gt;Aggressive Flanking&lt;/b&gt; - When a friendly unit moves into the flank or rear of an enemy, do 1 attack per model hitting on 4+. These count towards who won combat.
&lt;b&gt;Master of Movement&lt;/b&gt; - Friendly units may turn 90 degrees after moving.
&lt;b&gt;Uncanny Protection&lt;/b&gt; - Block may not be reduced beneath 5.</t>
  </si>
  <si>
    <t>&lt;b&gt;Multiwound 3&lt;/b&gt; - Each hit does 2 wounds to a single model.
&lt;b&gt;Block 1&lt;/b&gt; - Improve the model's block by 1</t>
  </si>
  <si>
    <t>L05_3_E</t>
  </si>
  <si>
    <t>Battleboar</t>
  </si>
  <si>
    <t>&lt;b&gt;Vengence&lt;/b&gt; - When this unit blocks in combat, it still takes 1 wound. The unit that attacked takes 1 wound as well.
&lt;b&gt;Buck Wildly&lt;/b&gt; - Whenever this unit deals a wound through vengence, deal it to all adjacent enemy units.
&lt;b&gt;Manoeuvrable&lt;/b&gt; - May turn once at any point during a walk or hustle</t>
  </si>
  <si>
    <t>L06_3_A</t>
  </si>
  <si>
    <t>Master Sapper</t>
  </si>
  <si>
    <t>&lt;b&gt;Mechanics&lt;/b&gt; - At the start of your turn, heal 1 wound on an adjacent construct.
&lt;b&gt;Battlefield Prep&lt;/b&gt; - During deployment, instead of placing a unit, place a mine on any empty square on the battlefield. The first unit to enter that tile takes d6 attacks hitting on 2+ with AP2. 
&lt;b&gt;Sensibly Entrenched&lt;/b&gt; - Enemy units that move adjacent to this unit are disrupted. Each model in the unit takes a wound, hitting on that unit's block score. 
&lt;b&gt;Landbreaker&lt;/b&gt; - Free Action: Once per game, place an obstacle in range 2 that blocks movement and shooting. 
&lt;b&gt;Multishot 2&lt;/b&gt; - Ranged attacks roll 2 dice.
&lt;b&gt;Fire on the Move&lt;/b&gt; - Can shoot after walking</t>
  </si>
  <si>
    <t>L06_3_B</t>
  </si>
  <si>
    <t>Gatebreaker</t>
  </si>
  <si>
    <t>2x3</t>
  </si>
  <si>
    <t xml:space="preserve">&lt;b&gt;Construct&lt;/b&gt; - Immune to fear checks while adjacent to a mechanic. Dies if it flees.
&lt;b&gt;Four Arms&lt;/b&gt; - Wields two sets of weapons. This unit performs a round of attacks with one set of weapons, then a second round of attacks with a second set of weapons. </t>
  </si>
  <si>
    <t>&lt;b&gt;AP 1&lt;/b&gt;
&lt;b&gt;Multiwound 2&lt;/b&gt;</t>
  </si>
  <si>
    <t>L06_3_C</t>
  </si>
  <si>
    <t>The Warforger</t>
  </si>
  <si>
    <t xml:space="preserve">&lt;b&gt;Mechanics&lt;/b&gt; - At the start of your turn, heal 1 wound on an adjacent construct.
&lt;b&gt;Coppersmith's Upgrade&lt;/b&gt; - After deployment, replace one equipment on any unit with any other piece of equipment of that type. Show your opponent the type. The unit does not need to be able to equip an item of that tier.
&lt;b&gt;Custom Tools&lt;/b&gt; - Can equip two weapons. Their effects stack. </t>
  </si>
  <si>
    <t>&lt;b&gt;AP 6&lt;/b&gt; - Reduce block rolls by 6.
&lt;b&gt;Multiwound 2&lt;/b&gt;</t>
  </si>
  <si>
    <t>L06_3_D</t>
  </si>
  <si>
    <t>Crackshot</t>
  </si>
  <si>
    <t>&lt;b&gt;Mechanics&lt;/b&gt; - At the start of your turn, heal 1 wound on an adjacent construct.
&lt;b&gt;Riflemaker&lt;/b&gt; - All ranged weapons in the army gain AP1.
&lt;b&gt;Entrench&lt;/b&gt; - Units that move adjacent to this unit are disrupted. Each model in the unit takes a wound, hitting on that unit's block score. This affects friendly units as well.
&lt;b&gt;Multishot 3&lt;/b&gt; - Ranged attacks roll 3 dice.
&lt;b&gt;Long Range&lt;/b&gt; - All ranged weapons gain 1 range.</t>
  </si>
  <si>
    <t>L06_3_E</t>
  </si>
  <si>
    <t>The Zeppelin</t>
  </si>
  <si>
    <t>&lt;b&gt;Construct&lt;/b&gt; - Immune to fear checks while adjacent to a mechanic. Dies if it flees.
&lt;b&gt;Flying&lt;/b&gt; - This unit can move over other units and obstacles. 
&lt;b&gt;Airborne&lt;/b&gt; - Melee attacks against this are at -1. Natural 6s still always hit. This unit may always move out of combat. 
&lt;b&gt;Bomber&lt;/b&gt; - If this unit moves over an enemy unit, do d6+1 attacks hitting on 5+ with AP1.
&lt;b&gt;Multishot 2&lt;/b&gt; - Ranged attacks roll 2 dice.
&lt;b&gt;Fire on the Move&lt;/b&gt; - Can shoot after walking
&lt;b&gt;Firing platform&lt;/b&gt; - This unit can shoot from the front, flank or rear.</t>
  </si>
  <si>
    <t>L07_3_A</t>
  </si>
  <si>
    <t>The General</t>
  </si>
  <si>
    <t>&lt;b&gt;Officer&lt;/b&gt; - When a ranged attack targets this unit, you may nominate an adjacent friendly regiment as the target instead. 
&lt;b&gt;General's Banner&lt;/b&gt; - All friendly units get a bonus of 1 towards who won combat.
&lt;b&gt;General's Spirit&lt;/b&gt; - Other friendly units in the same combat as the general get a +1 bonus to melee attacks.</t>
  </si>
  <si>
    <t>&lt;b&gt;AP 2&lt;/b&gt;
&lt;b&gt;Block 1&lt;/b&gt; - Improve the model's block by 1</t>
  </si>
  <si>
    <t>L07_3_B</t>
  </si>
  <si>
    <t>&lt;b&gt;Officer&lt;/b&gt; - When a ranged attack targets this unit, you may nominate an adjacent friendly regiment as the target instead. 
&lt;b&gt;Fearful Presence&lt;/b&gt; - Enemy units in range 2 subtract one from rolls to flee. Natural 6s still always pass.
&lt;b&gt;Multishot 3&lt;/b&gt; - Ranged attacks roll 3 dice per model.</t>
  </si>
  <si>
    <t>L07_3_C</t>
  </si>
  <si>
    <t>Archmage</t>
  </si>
  <si>
    <t>&lt;b&gt;Officer&lt;/b&gt; - When a ranged attack targets this unit, you may nominate an adjacent friendly regiment as the target instead. 
&lt;b&gt;Uncanny Protection&lt;/b&gt; - Block may not be reduced beneath 5.
&lt;b&gt;Mage&lt;/b&gt; - Can cast two spells a turn
&lt;b&gt;Old Knowledge&lt;/b&gt; - The first spell cast each turn gets +1 to cast</t>
  </si>
  <si>
    <t>L07_3_D</t>
  </si>
  <si>
    <t>Wyrm Prince</t>
  </si>
  <si>
    <t xml:space="preserve">&lt;b&gt;Officer&lt;/b&gt; - When a ranged attack targets this unit, you may nominate an adjacent friendly regiment as the target instead. 
&lt;b&gt;Flying&lt;/b&gt; - This unit can move over other units and obstacles
&lt;b&gt;Manoeuvrable&lt;/b&gt; - May turn once at any point during a walk or hustle
&lt;b&gt;Natural Breath Weapon&lt;/b&gt; - Bonus attack: Once per battle, before attacking as normal this unit may use a breath weapon. This unit rolls an attack for every model in the enemy unit, hitting on 5s. </t>
  </si>
  <si>
    <t>L07_3_E</t>
  </si>
  <si>
    <t>&lt;b&gt;Officer&lt;/b&gt; - When a ranged attack targets this unit, you may nominate an adjacent friendly regiment as the target instead. 
&lt;b&gt;Spotter&lt;/b&gt; - Once per turn, reroll a friendly unit's missed ranged attack dice, or a friendly warmachine's special attack dice.
&lt;b&gt;Multishot 2&lt;/b&gt; - Ranged attacks roll 2 dice.
&lt;b&gt;Long Range&lt;/b&gt; - This unit's ranged weapons gain 1 range.</t>
  </si>
  <si>
    <t>L08_3_A</t>
  </si>
  <si>
    <t>Stitch</t>
  </si>
  <si>
    <t>&lt;b&gt;Poison&lt;/b&gt; - 6s to hit can't be saved
&lt;b&gt;Vengence&lt;/b&gt; - When this unit blocks in combat, it still takes 1 wound. The unit that attacked takes 1 wound as well.
&lt;b&gt;Chaff&lt;/b&gt; - Subtract 1 from leadership rolls. 6s still auto-succeed. 
&lt;b&gt;Flap&lt;/b&gt; - This unit may move as normal while in combat. Hustling while in combat automatically succeeds.
&lt;b&gt;Flying&lt;/b&gt; - This unit can move over other units and obstacles.
&lt;b&gt;Manoeuvrable&lt;/b&gt; - May turn once at any point during a walk or hustle.
&lt;b&gt;Regeneration 1&lt;/b&gt; - Heal 1 at the start of each of your turns.</t>
  </si>
  <si>
    <t>&lt;b&gt;Multiwound 3&lt;/b&gt;</t>
  </si>
  <si>
    <t>L08_3_B</t>
  </si>
  <si>
    <t>The New Breed</t>
  </si>
  <si>
    <t>&lt;b&gt;Adaptive&lt;/b&gt; - At the start of each player's turn, roll a d6 and gain a random permanent boost:
1 - Ranged Hit -1
2 - Speed +1
3 - Melee Hit -1
4 - Block -1
5 - Attacks +1
6 - Poison - 6s to hit can't be saved
&lt;b&gt;Manoeuvrable&lt;/b&gt; - May turn once at any point during a walk or hustle.
&lt;b&gt;Multishot 3&lt;/b&gt; - Ranged attacks roll 3 dice.</t>
  </si>
  <si>
    <t>&lt;b&gt;Multiwound 2&lt;/b&gt;
&lt;b&gt;Block 1&lt;/b&gt; - Improve the model's block by 1</t>
  </si>
  <si>
    <t>L08_3_C</t>
  </si>
  <si>
    <t>The Grafter</t>
  </si>
  <si>
    <t>&lt;b&gt;Permanent Grafts&lt;/b&gt; - Graft spells last until they are successfully cast again, or this unit dies.
&lt;b&gt;Innovator&lt;/b&gt; - After casting a graft spell, you may learn another graft spell of equal or lower cost.
&lt;b&gt;Mage&lt;/b&gt; - Can cast two spells a turn
&lt;b&gt;Uncanny Protection&lt;/b&gt; - Block may not be reduced beneath 5.</t>
  </si>
  <si>
    <t>L08_3_D</t>
  </si>
  <si>
    <t>The Speaker</t>
  </si>
  <si>
    <t>&lt;b&gt;Appeal to the Masses&lt;/b&gt; - When this unit casts a graft spell, it applies to all other friendly units in range.
&lt;b&gt;Mage&lt;/b&gt; - Can cast two spells a turn
&lt;b&gt;Uncanny Protection&lt;/b&gt; - Block may not be reduced beneath 5.</t>
  </si>
  <si>
    <t>L08_3_E</t>
  </si>
  <si>
    <t>The Zookeeper</t>
  </si>
  <si>
    <t>&lt;b&gt;Crack the Whip&lt;/b&gt; - After deployment, you may optionally move all friendly units forward 1. Either move all units or none.
&lt;b&gt;Widespread Carnage&lt;/b&gt; - Whenever any other friendly unit defeats a unit in combat, it must move forward 1. If it enters a new combat, this unit can attack again. New opponents may not counterattack this unit.
&lt;b&gt;Beasts Unleashed&lt;/b&gt; - All other friendly units must move into combat if able to.</t>
  </si>
  <si>
    <t>&lt;b&gt;AP 1&lt;/b&gt;
&lt;b&gt;Block 1&lt;/b&gt; - Improve the model's block by 1</t>
  </si>
  <si>
    <t xml:space="preserve">&lt;b&gt;Unstable&lt;/b&gt; - Instead of rolling to flee, lose 1 extra wound
&lt;b&gt;Perpetual&lt;/b&gt; - After the unit is wiped out, leave their card face down. At the start of each turn, if the space is unoccupied you may roll a die. On a 4+, bring the unit back to life with full wounds, facing a direction of your choice 
&lt;b&gt;Slow&lt;/b&gt; - Don't roll a bonus charge dice </t>
  </si>
  <si>
    <t>Deserters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</si>
</sst>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2">
    <font>
      <sz val="10.0"/>
      <color rgb="FF000000"/>
      <name val="Arial"/>
      <scheme val="minor"/>
    </font>
    <font>
      <b/>
      <color theme="1"/>
      <name val="Arial"/>
      <scheme val="minor"/>
    </font>
    <font>
      <color theme="1"/>
      <name val="Arial"/>
      <scheme val="minor"/>
    </font>
    <font>
      <b/>
      <color rgb="FFFFFFFF"/>
      <name val="Arial"/>
      <scheme val="minor"/>
    </font>
    <font/>
    <font>
      <color rgb="FFFFFFFF"/>
      <name val="Arial"/>
      <scheme val="minor"/>
    </font>
    <font>
      <i/>
      <color theme="1"/>
      <name val="Arial"/>
      <scheme val="minor"/>
    </font>
    <font>
      <sz val="14.0"/>
      <color theme="1"/>
      <name val="Arial"/>
      <scheme val="minor"/>
    </font>
    <font>
      <color theme="1"/>
      <name val="Arial"/>
    </font>
    <font>
      <color rgb="FF434343"/>
      <name val="Roboto"/>
    </font>
    <font>
      <b/>
      <color rgb="FF434343"/>
      <name val="Roboto"/>
    </font>
    <font>
      <color theme="1"/>
      <name val="&quot;Linux Libertine&quot;"/>
    </font>
  </fonts>
  <fills count="35">
    <fill>
      <patternFill patternType="none"/>
    </fill>
    <fill>
      <patternFill patternType="lightGray"/>
    </fill>
    <fill>
      <patternFill patternType="solid">
        <fgColor rgb="FFCCCCCC"/>
        <bgColor rgb="FFCCCCCC"/>
      </patternFill>
    </fill>
    <fill>
      <patternFill patternType="solid">
        <fgColor rgb="FF0000FF"/>
        <bgColor rgb="FF0000FF"/>
      </patternFill>
    </fill>
    <fill>
      <patternFill patternType="solid">
        <fgColor rgb="FFFF9900"/>
        <bgColor rgb="FFFF9900"/>
      </patternFill>
    </fill>
    <fill>
      <patternFill patternType="solid">
        <fgColor rgb="FF999999"/>
        <bgColor rgb="FF999999"/>
      </patternFill>
    </fill>
    <fill>
      <patternFill patternType="solid">
        <fgColor rgb="FFBF9000"/>
        <bgColor rgb="FFBF9000"/>
      </patternFill>
    </fill>
    <fill>
      <patternFill patternType="solid">
        <fgColor rgb="FF741B47"/>
        <bgColor rgb="FF741B47"/>
      </patternFill>
    </fill>
    <fill>
      <patternFill patternType="solid">
        <fgColor rgb="FFCC0000"/>
        <bgColor rgb="FFCC0000"/>
      </patternFill>
    </fill>
    <fill>
      <patternFill patternType="solid">
        <fgColor rgb="FF000000"/>
        <bgColor rgb="FF000000"/>
      </patternFill>
    </fill>
    <fill>
      <patternFill patternType="solid">
        <fgColor rgb="FF2B9800"/>
        <bgColor rgb="FF2B9800"/>
      </patternFill>
    </fill>
    <fill>
      <patternFill patternType="solid">
        <fgColor rgb="FF00DD28"/>
        <bgColor rgb="FF00DD28"/>
      </patternFill>
    </fill>
    <fill>
      <patternFill patternType="solid">
        <fgColor rgb="FF00941A"/>
        <bgColor rgb="FF00941A"/>
      </patternFill>
    </fill>
    <fill>
      <patternFill patternType="solid">
        <fgColor rgb="FFFFB380"/>
        <bgColor rgb="FFFFB380"/>
      </patternFill>
    </fill>
    <fill>
      <patternFill patternType="solid">
        <fgColor rgb="FF733D00"/>
        <bgColor rgb="FF733D00"/>
      </patternFill>
    </fill>
    <fill>
      <patternFill patternType="solid">
        <fgColor rgb="FFE0E0D3"/>
        <bgColor rgb="FFE0E0D3"/>
      </patternFill>
    </fill>
    <fill>
      <patternFill patternType="solid">
        <fgColor rgb="FF4D4D4D"/>
        <bgColor rgb="FF4D4D4D"/>
      </patternFill>
    </fill>
    <fill>
      <patternFill patternType="solid">
        <fgColor rgb="FFF1BAFF"/>
        <bgColor rgb="FFF1BAFF"/>
      </patternFill>
    </fill>
    <fill>
      <patternFill patternType="solid">
        <fgColor rgb="FF2D2D2D"/>
        <bgColor rgb="FF2D2D2D"/>
      </patternFill>
    </fill>
    <fill>
      <patternFill patternType="solid">
        <fgColor rgb="FFE78E7E"/>
        <bgColor rgb="FFE78E7E"/>
      </patternFill>
    </fill>
    <fill>
      <patternFill patternType="solid">
        <fgColor rgb="FFCF0000"/>
        <bgColor rgb="FFCF0000"/>
      </patternFill>
    </fill>
    <fill>
      <patternFill patternType="solid">
        <fgColor rgb="FFFFB317"/>
        <bgColor rgb="FFFFB317"/>
      </patternFill>
    </fill>
    <fill>
      <patternFill patternType="solid">
        <fgColor rgb="FFCF6C23"/>
        <bgColor rgb="FFCF6C23"/>
      </patternFill>
    </fill>
    <fill>
      <patternFill patternType="solid">
        <fgColor rgb="FFC9DAF8"/>
        <bgColor rgb="FFC9DAF8"/>
      </patternFill>
    </fill>
    <fill>
      <patternFill patternType="solid">
        <fgColor rgb="FF00399E"/>
        <bgColor rgb="FF00399E"/>
      </patternFill>
    </fill>
    <fill>
      <patternFill patternType="solid">
        <fgColor rgb="FF5C9667"/>
        <bgColor rgb="FF5C9667"/>
      </patternFill>
    </fill>
    <fill>
      <patternFill patternType="solid">
        <fgColor rgb="FF005050"/>
        <bgColor rgb="FF005050"/>
      </patternFill>
    </fill>
    <fill>
      <patternFill patternType="solid">
        <fgColor rgb="FF00FFFF"/>
        <bgColor rgb="FF00FFFF"/>
      </patternFill>
    </fill>
    <fill>
      <patternFill patternType="solid">
        <fgColor rgb="FFFF00EE"/>
        <bgColor rgb="FFFF00EE"/>
      </patternFill>
    </fill>
    <fill>
      <patternFill patternType="solid">
        <fgColor rgb="FF3467FF"/>
        <bgColor rgb="FF3467FF"/>
      </patternFill>
    </fill>
    <fill>
      <patternFill patternType="solid">
        <fgColor rgb="FF520066"/>
        <bgColor rgb="FF520066"/>
      </patternFill>
    </fill>
    <fill>
      <patternFill patternType="solid">
        <fgColor rgb="FFFFFFFF"/>
        <bgColor rgb="FFFFFFFF"/>
      </patternFill>
    </fill>
    <fill>
      <patternFill patternType="solid">
        <fgColor rgb="FFB7E1CD"/>
        <bgColor rgb="FFB7E1CD"/>
      </patternFill>
    </fill>
    <fill>
      <patternFill patternType="solid">
        <fgColor rgb="FFF4C7C3"/>
        <bgColor rgb="FFF4C7C3"/>
      </patternFill>
    </fill>
    <fill>
      <patternFill patternType="solid">
        <fgColor rgb="FFF8F9FA"/>
        <bgColor rgb="FFF8F9FA"/>
      </patternFill>
    </fill>
  </fills>
  <borders count="8">
    <border/>
    <border>
      <right style="thin">
        <color rgb="FF000000"/>
      </right>
    </border>
    <border>
      <left style="thin">
        <color rgb="FF000000"/>
      </left>
      <right style="thin">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
      <left style="thin">
        <color rgb="FFB7E1CD"/>
      </left>
      <right style="thin">
        <color rgb="FFB7E1CD"/>
      </right>
      <top style="thin">
        <color rgb="FFB7E1CD"/>
      </top>
      <bottom style="thin">
        <color rgb="FFB7E1CD"/>
      </bottom>
    </border>
    <border>
      <left style="thin">
        <color rgb="FFF4C7C3"/>
      </left>
      <right style="thin">
        <color rgb="FFF4C7C3"/>
      </right>
      <top style="thin">
        <color rgb="FFF4C7C3"/>
      </top>
      <bottom style="thin">
        <color rgb="FFF4C7C3"/>
      </bottom>
    </border>
    <border>
      <left style="thin">
        <color rgb="FFBF9000"/>
      </left>
      <right style="thin">
        <color rgb="FFBF9000"/>
      </right>
      <top style="thin">
        <color rgb="FFBF9000"/>
      </top>
      <bottom style="thin">
        <color rgb="FFBF9000"/>
      </bottom>
    </border>
    <border>
      <left style="thin">
        <color rgb="FFF8F9FA"/>
      </left>
      <right style="thin">
        <color rgb="FFF8F9FA"/>
      </right>
      <top style="thin">
        <color rgb="FFF8F9FA"/>
      </top>
      <bottom style="thin">
        <color rgb="FFF8F9FA"/>
      </bottom>
    </border>
  </borders>
  <cellStyleXfs count="1">
    <xf borderId="0" fillId="0" fontId="0" numFmtId="0" applyAlignment="1" applyFont="1"/>
  </cellStyleXfs>
  <cellXfs count="21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horizontal="center" readingOrder="0" shrinkToFit="0" vertical="center" wrapText="0"/>
    </xf>
    <xf borderId="0" fillId="0" fontId="2" numFmtId="49" xfId="0" applyAlignment="1" applyFont="1" applyNumberFormat="1">
      <alignment horizontal="center"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horizontal="left" readingOrder="0" shrinkToFit="0" vertical="center" wrapText="1"/>
    </xf>
    <xf borderId="0" fillId="0" fontId="1" numFmtId="49" xfId="0" applyAlignment="1" applyFont="1" applyNumberFormat="1">
      <alignment horizontal="left" readingOrder="0" shrinkToFit="0" vertical="center" wrapText="1"/>
    </xf>
    <xf borderId="0" fillId="0" fontId="2"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49" xfId="0" applyAlignment="1" applyFont="1" applyNumberFormat="1">
      <alignment horizontal="center" readingOrder="0" shrinkToFit="0" vertical="center" wrapText="1"/>
    </xf>
    <xf borderId="0" fillId="0" fontId="2"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0" fillId="2" fontId="3" numFmtId="0" xfId="0" applyAlignment="1" applyFill="1" applyFont="1">
      <alignment horizontal="center" readingOrder="0"/>
    </xf>
    <xf borderId="0" fillId="3" fontId="3" numFmtId="0" xfId="0" applyAlignment="1" applyFill="1" applyFont="1">
      <alignment horizontal="center" readingOrder="0"/>
    </xf>
    <xf borderId="0" fillId="3" fontId="3" numFmtId="0" xfId="0" applyAlignment="1" applyFill="1" applyFont="1">
      <alignment horizontal="center" readingOrder="0" vertical="bottom"/>
    </xf>
    <xf borderId="1" fillId="3" fontId="3" numFmtId="0" xfId="0" applyAlignment="1" applyBorder="1" applyFill="1" applyFont="1">
      <alignment horizontal="center" readingOrder="0" vertical="bottom"/>
    </xf>
    <xf borderId="0" fillId="4" fontId="3" numFmtId="0" xfId="0" applyAlignment="1" applyFill="1" applyFont="1">
      <alignment horizontal="center" readingOrder="0"/>
    </xf>
    <xf borderId="0" fillId="5" fontId="3" numFmtId="0" xfId="0" applyAlignment="1" applyFill="1" applyFont="1">
      <alignment horizontal="center" readingOrder="0"/>
    </xf>
    <xf borderId="0" fillId="6" fontId="3" numFmtId="0" xfId="0" applyAlignment="1" applyFill="1" applyFont="1">
      <alignment horizontal="center" readingOrder="0"/>
    </xf>
    <xf borderId="1" fillId="0" fontId="4" numFmtId="0" xfId="0" applyBorder="1" applyFont="1"/>
    <xf borderId="0" fillId="7" fontId="3" numFmtId="0" xfId="0" applyAlignment="1" applyFill="1" applyFont="1">
      <alignment horizontal="center" readingOrder="0"/>
    </xf>
    <xf borderId="0" fillId="8" fontId="3" numFmtId="164" xfId="0" applyAlignment="1" applyFill="1" applyFont="1" applyNumberFormat="1">
      <alignment horizontal="center" readingOrder="0"/>
    </xf>
    <xf borderId="0" fillId="0" fontId="1" numFmtId="0" xfId="0" applyAlignment="1" applyFont="1">
      <alignment horizontal="left" readingOrder="0" shrinkToFit="0" vertical="center" wrapText="1"/>
    </xf>
    <xf borderId="0" fillId="0" fontId="3" numFmtId="0" xfId="0" applyAlignment="1" applyFont="1">
      <alignment horizontal="center" readingOrder="0"/>
    </xf>
    <xf borderId="0" fillId="0" fontId="3" numFmtId="0" xfId="0" applyAlignment="1" applyFont="1">
      <alignment horizontal="center"/>
    </xf>
    <xf borderId="0" fillId="0" fontId="2" numFmtId="0" xfId="0" applyAlignment="1" applyFont="1">
      <alignment horizontal="left" readingOrder="0" shrinkToFit="0" vertical="center" wrapText="1"/>
    </xf>
    <xf borderId="1" fillId="2" fontId="3" numFmtId="0" xfId="0" applyAlignment="1" applyBorder="1" applyFill="1" applyFont="1">
      <alignment horizontal="center" readingOrder="0"/>
    </xf>
    <xf borderId="0" fillId="0" fontId="2" numFmtId="49" xfId="0" applyAlignment="1" applyFont="1" applyNumberFormat="1">
      <alignment horizontal="center" readingOrder="0" shrinkToFit="0" vertical="center" wrapText="1"/>
    </xf>
    <xf borderId="0" fillId="0" fontId="2" numFmtId="49" xfId="0" applyAlignment="1" applyFont="1" applyNumberFormat="1">
      <alignment horizontal="left" readingOrder="0" shrinkToFit="0" vertical="center" wrapText="1"/>
    </xf>
    <xf borderId="1" fillId="4" fontId="3" numFmtId="0" xfId="0" applyAlignment="1" applyBorder="1" applyFill="1" applyFont="1">
      <alignment horizontal="center" readingOrder="0"/>
    </xf>
    <xf borderId="0" fillId="0" fontId="2" numFmtId="0" xfId="0" applyAlignment="1" applyFont="1">
      <alignment horizontal="left" readingOrder="0" shrinkToFit="0" vertical="center" wrapText="1"/>
    </xf>
    <xf borderId="1" fillId="5" fontId="3" numFmtId="0" xfId="0" applyAlignment="1" applyBorder="1" applyFill="1" applyFont="1">
      <alignment horizontal="center" readingOrder="0"/>
    </xf>
    <xf borderId="1" fillId="6" fontId="3" numFmtId="0" xfId="0" applyAlignment="1" applyBorder="1" applyFill="1" applyFont="1">
      <alignment horizontal="center" readingOrder="0"/>
    </xf>
    <xf borderId="0" fillId="7" fontId="3" numFmtId="164" xfId="0" applyAlignment="1" applyFill="1" applyFont="1" applyNumberFormat="1">
      <alignment horizontal="center" readingOrder="0"/>
    </xf>
    <xf borderId="0" fillId="0" fontId="1" numFmtId="0" xfId="0" applyAlignment="1" applyFont="1">
      <alignment shrinkToFit="0" wrapText="1"/>
    </xf>
    <xf borderId="0" fillId="2" fontId="2" numFmtId="0" xfId="0" applyAlignment="1" applyFill="1" applyFont="1">
      <alignment horizontal="center" readingOrder="0"/>
    </xf>
    <xf borderId="1" fillId="2" fontId="2" numFmtId="0" xfId="0" applyAlignment="1" applyBorder="1" applyFill="1" applyFont="1">
      <alignment horizontal="center" readingOrder="0"/>
    </xf>
    <xf borderId="0" fillId="3" fontId="2" numFmtId="0" xfId="0" applyAlignment="1" applyFill="1" applyFont="1">
      <alignment horizontal="center" readingOrder="0"/>
    </xf>
    <xf borderId="0" fillId="3" fontId="2" numFmtId="0" xfId="0" applyAlignment="1" applyFill="1" applyFont="1">
      <alignment horizontal="center" readingOrder="0" vertical="bottom"/>
    </xf>
    <xf borderId="0" fillId="0" fontId="2" numFmtId="0" xfId="0" applyAlignment="1" applyFont="1">
      <alignment readingOrder="0" shrinkToFit="0" vertical="center" wrapText="0"/>
    </xf>
    <xf borderId="1" fillId="3" fontId="2" numFmtId="0" xfId="0" applyAlignment="1" applyBorder="1" applyFill="1" applyFont="1">
      <alignment horizontal="center" readingOrder="0" vertical="bottom"/>
    </xf>
    <xf borderId="0" fillId="4" fontId="2" numFmtId="0" xfId="0" applyAlignment="1" applyFill="1" applyFont="1">
      <alignment horizontal="center" readingOrder="0"/>
    </xf>
    <xf borderId="1" fillId="4" fontId="2" numFmtId="0" xfId="0" applyAlignment="1" applyBorder="1" applyFill="1" applyFont="1">
      <alignment horizontal="center" readingOrder="0"/>
    </xf>
    <xf borderId="0" fillId="5" fontId="2" numFmtId="0" xfId="0" applyAlignment="1" applyFill="1" applyFont="1">
      <alignment horizontal="center" readingOrder="0"/>
    </xf>
    <xf borderId="1" fillId="5" fontId="2" numFmtId="0" xfId="0" applyAlignment="1" applyBorder="1" applyFill="1" applyFont="1">
      <alignment horizontal="center" readingOrder="0"/>
    </xf>
    <xf borderId="0" fillId="6" fontId="2" numFmtId="0" xfId="0" applyAlignment="1" applyFill="1" applyFont="1">
      <alignment horizontal="center" readingOrder="0"/>
    </xf>
    <xf borderId="1" fillId="6" fontId="2" numFmtId="0" xfId="0" applyAlignment="1" applyBorder="1" applyFill="1" applyFont="1">
      <alignment horizontal="center" readingOrder="0"/>
    </xf>
    <xf borderId="0" fillId="7" fontId="2" numFmtId="0" xfId="0" applyAlignment="1" applyFill="1" applyFont="1">
      <alignment horizontal="center" readingOrder="0"/>
    </xf>
    <xf borderId="0" fillId="7" fontId="2" numFmtId="164" xfId="0" applyAlignment="1" applyFill="1" applyFont="1" applyNumberFormat="1">
      <alignment horizontal="center" readingOrder="0"/>
    </xf>
    <xf borderId="0" fillId="8" fontId="2" numFmtId="164" xfId="0" applyAlignment="1" applyFill="1" applyFont="1" applyNumberFormat="1">
      <alignment horizontal="center" readingOrder="0"/>
    </xf>
    <xf borderId="0" fillId="0" fontId="2" numFmtId="0" xfId="0" applyAlignment="1" applyFont="1">
      <alignment horizontal="center" readingOrder="0"/>
    </xf>
    <xf borderId="0" fillId="0" fontId="2" numFmtId="0" xfId="0" applyAlignment="1" applyFont="1">
      <alignment horizontal="center"/>
    </xf>
    <xf borderId="0" fillId="0" fontId="2" numFmtId="0" xfId="0" applyAlignment="1" applyFont="1">
      <alignment readingOrder="0" shrinkToFit="0" vertical="center" wrapText="0"/>
    </xf>
    <xf borderId="0" fillId="2" fontId="2" numFmtId="0" xfId="0" applyAlignment="1" applyFill="1" applyFont="1">
      <alignment horizontal="center" readingOrder="0" shrinkToFit="0" vertical="bottom" wrapText="0"/>
    </xf>
    <xf borderId="1" fillId="2" fontId="2" numFmtId="0" xfId="0" applyAlignment="1" applyBorder="1" applyFill="1" applyFont="1">
      <alignment horizontal="center" readingOrder="0" shrinkToFit="0" vertical="bottom" wrapText="0"/>
    </xf>
    <xf borderId="0" fillId="0" fontId="1" numFmtId="0" xfId="0" applyAlignment="1" applyFont="1">
      <alignment horizontal="center" readingOrder="0" shrinkToFit="0" vertical="center" wrapText="0"/>
    </xf>
    <xf borderId="0" fillId="3" fontId="2" numFmtId="49" xfId="0" applyAlignment="1" applyFill="1" applyFont="1" applyNumberFormat="1">
      <alignment horizontal="center" readingOrder="0" shrinkToFit="0" vertical="bottom" wrapText="0"/>
    </xf>
    <xf borderId="0" fillId="0" fontId="1" numFmtId="0" xfId="0" applyAlignment="1" applyFont="1">
      <alignment horizontal="center" readingOrder="0" shrinkToFit="0" vertical="center" wrapText="0"/>
    </xf>
    <xf borderId="0" fillId="3" fontId="2" numFmtId="0" xfId="0" applyAlignment="1" applyFill="1" applyFont="1">
      <alignment horizontal="center" readingOrder="0" shrinkToFit="0" textRotation="180" vertical="bottom" wrapText="0"/>
    </xf>
    <xf borderId="0" fillId="0" fontId="1" numFmtId="0" xfId="0" applyAlignment="1" applyFont="1">
      <alignment horizontal="center" readingOrder="0" shrinkToFit="0" vertical="center" wrapText="0"/>
    </xf>
    <xf borderId="0" fillId="3" fontId="2" numFmtId="49" xfId="0" applyAlignment="1" applyFill="1" applyFont="1" applyNumberFormat="1">
      <alignment horizontal="center" readingOrder="0" shrinkToFit="0" textRotation="180" vertical="bottom" wrapText="0"/>
    </xf>
    <xf borderId="0" fillId="0" fontId="1" numFmtId="49" xfId="0" applyAlignment="1" applyFont="1" applyNumberFormat="1">
      <alignment horizontal="center" readingOrder="0" shrinkToFit="0" vertical="center" wrapText="0"/>
    </xf>
    <xf borderId="0" fillId="0" fontId="2" numFmtId="0" xfId="0" applyAlignment="1" applyFont="1">
      <alignment readingOrder="0" shrinkToFit="0" vertical="center" wrapText="1"/>
    </xf>
    <xf borderId="0" fillId="9" fontId="5" numFmtId="0" xfId="0" applyAlignment="1" applyFill="1" applyFont="1">
      <alignment readingOrder="0" shrinkToFit="0" vertical="center" wrapText="0"/>
    </xf>
    <xf borderId="0" fillId="8" fontId="5" numFmtId="0" xfId="0" applyAlignment="1" applyFill="1" applyFont="1">
      <alignment readingOrder="0" shrinkToFit="0" vertical="center" wrapText="0"/>
    </xf>
    <xf borderId="1" fillId="3" fontId="2" numFmtId="49" xfId="0" applyAlignment="1" applyBorder="1" applyFill="1" applyFont="1" applyNumberFormat="1">
      <alignment horizontal="center" readingOrder="0" shrinkToFit="0" textRotation="180" vertical="bottom" wrapText="0"/>
    </xf>
    <xf borderId="0" fillId="4" fontId="2" numFmtId="0" xfId="0" applyAlignment="1" applyFill="1" applyFont="1">
      <alignment horizontal="center" readingOrder="0" shrinkToFit="0" vertical="bottom" wrapText="0"/>
    </xf>
    <xf borderId="1" fillId="4" fontId="2" numFmtId="0" xfId="0" applyAlignment="1" applyBorder="1" applyFill="1" applyFont="1">
      <alignment horizontal="center" readingOrder="0" shrinkToFit="0" vertical="bottom" wrapText="0"/>
    </xf>
    <xf borderId="0" fillId="5" fontId="2" numFmtId="0" xfId="0" applyAlignment="1" applyFill="1" applyFont="1">
      <alignment horizontal="center" readingOrder="0" shrinkToFit="0" vertical="bottom" wrapText="0"/>
    </xf>
    <xf borderId="1" fillId="5" fontId="2" numFmtId="0" xfId="0" applyAlignment="1" applyBorder="1" applyFill="1" applyFont="1">
      <alignment horizontal="center" readingOrder="0" shrinkToFit="0" vertical="bottom" wrapText="0"/>
    </xf>
    <xf borderId="0" fillId="6" fontId="2" numFmtId="0" xfId="0" applyAlignment="1" applyFill="1" applyFont="1">
      <alignment horizontal="center" readingOrder="0" shrinkToFit="0" vertical="bottom" wrapText="0"/>
    </xf>
    <xf borderId="0" fillId="0" fontId="2" numFmtId="0" xfId="0" applyAlignment="1" applyFont="1">
      <alignment shrinkToFit="0" vertical="center" wrapText="0"/>
    </xf>
    <xf borderId="1" fillId="6" fontId="2" numFmtId="49" xfId="0" applyAlignment="1" applyBorder="1" applyFill="1" applyFont="1" applyNumberFormat="1">
      <alignment horizontal="center" readingOrder="0" shrinkToFit="0" vertical="bottom" wrapText="0"/>
    </xf>
    <xf borderId="0" fillId="7" fontId="2" numFmtId="0" xfId="0" applyAlignment="1" applyFill="1" applyFont="1">
      <alignment horizontal="center" readingOrder="0" shrinkToFit="0" vertical="bottom" wrapText="0"/>
    </xf>
    <xf borderId="0" fillId="7" fontId="2" numFmtId="49" xfId="0" applyAlignment="1" applyFill="1" applyFont="1" applyNumberFormat="1">
      <alignment horizontal="center" readingOrder="0" shrinkToFit="0" vertical="bottom" wrapText="0"/>
    </xf>
    <xf borderId="0" fillId="8" fontId="2" numFmtId="49" xfId="0" applyAlignment="1" applyFill="1" applyFont="1" applyNumberFormat="1">
      <alignment horizontal="center" readingOrder="0" shrinkToFit="0" vertical="bottom" wrapText="0"/>
    </xf>
    <xf borderId="0" fillId="0" fontId="2" numFmtId="0" xfId="0" applyAlignment="1" applyFont="1">
      <alignment horizontal="center" readingOrder="0" shrinkToFit="0" vertical="bottom" wrapText="0"/>
    </xf>
    <xf borderId="0" fillId="0" fontId="2" numFmtId="0" xfId="0" applyAlignment="1" applyFont="1">
      <alignment shrinkToFit="0" vertical="center" wrapText="0"/>
    </xf>
    <xf borderId="1" fillId="0" fontId="2" numFmtId="0" xfId="0" applyAlignment="1" applyBorder="1" applyFont="1">
      <alignment readingOrder="0" shrinkToFit="0" vertical="center" wrapText="0"/>
    </xf>
    <xf borderId="0" fillId="0" fontId="2" numFmtId="0" xfId="0" applyAlignment="1" applyFont="1">
      <alignment shrinkToFit="0" vertical="center" wrapText="0"/>
    </xf>
    <xf borderId="0" fillId="0" fontId="2" numFmtId="0" xfId="0" applyAlignment="1" applyFont="1">
      <alignment shrinkToFit="0" vertical="center" wrapText="0"/>
    </xf>
    <xf borderId="0" fillId="0" fontId="2" numFmtId="2" xfId="0" applyAlignment="1" applyFont="1" applyNumberFormat="1">
      <alignment shrinkToFit="0" vertical="center" wrapText="0"/>
    </xf>
    <xf borderId="0" fillId="0" fontId="2" numFmtId="0" xfId="0" applyAlignment="1" applyFont="1">
      <alignment shrinkToFit="0" vertical="bottom" wrapText="0"/>
    </xf>
    <xf borderId="0" fillId="0" fontId="2" numFmtId="49" xfId="0" applyAlignment="1" applyFont="1" applyNumberFormat="1">
      <alignment horizontal="center" shrinkToFit="0" vertical="center" wrapText="0"/>
    </xf>
    <xf borderId="0" fillId="0" fontId="2" numFmtId="1" xfId="0" applyAlignment="1" applyFont="1" applyNumberFormat="1">
      <alignment shrinkToFit="0" vertical="center" wrapText="0"/>
    </xf>
    <xf borderId="0" fillId="10" fontId="5" numFmtId="0" xfId="0" applyAlignment="1" applyFill="1" applyFont="1">
      <alignment readingOrder="0" shrinkToFit="0" vertical="center" wrapText="0"/>
    </xf>
    <xf borderId="1" fillId="0" fontId="2" numFmtId="0" xfId="0" applyAlignment="1" applyBorder="1" applyFont="1">
      <alignment shrinkToFit="0" vertical="bottom" wrapText="0"/>
    </xf>
    <xf borderId="0" fillId="0" fontId="2" numFmtId="0" xfId="0" applyFont="1"/>
    <xf borderId="0" fillId="0" fontId="2" numFmtId="10" xfId="0" applyFont="1" applyNumberFormat="1"/>
    <xf borderId="1" fillId="0" fontId="2" numFmtId="0" xfId="0" applyAlignment="1" applyBorder="1" applyFont="1">
      <alignment shrinkToFit="0" vertical="center" wrapText="0"/>
    </xf>
    <xf borderId="0" fillId="0" fontId="2" numFmtId="49" xfId="0" applyFont="1" applyNumberFormat="1"/>
    <xf borderId="0" fillId="0" fontId="2" numFmtId="164" xfId="0" applyAlignment="1" applyFont="1" applyNumberFormat="1">
      <alignment shrinkToFit="0" vertical="center" wrapText="0"/>
    </xf>
    <xf borderId="0" fillId="0" fontId="2" numFmtId="0" xfId="0" applyAlignment="1" applyFont="1">
      <alignment readingOrder="0" shrinkToFit="0" vertical="center" wrapText="0"/>
    </xf>
    <xf borderId="0" fillId="0" fontId="1" numFmtId="49" xfId="0" applyAlignment="1" applyFont="1" applyNumberFormat="1">
      <alignment horizontal="center" readingOrder="0"/>
    </xf>
    <xf borderId="0" fillId="0" fontId="1" numFmtId="0" xfId="0" applyAlignment="1" applyFont="1">
      <alignment horizontal="center" readingOrder="0"/>
    </xf>
    <xf borderId="0" fillId="0" fontId="1" numFmtId="0" xfId="0" applyAlignment="1" applyFont="1">
      <alignment horizontal="center" readingOrder="0"/>
    </xf>
    <xf borderId="0" fillId="0" fontId="1" numFmtId="49" xfId="0" applyAlignment="1" applyFont="1" applyNumberFormat="1">
      <alignment horizontal="center" readingOrder="0"/>
    </xf>
    <xf borderId="0" fillId="0" fontId="2" numFmtId="0" xfId="0" applyAlignment="1" applyFont="1">
      <alignment shrinkToFit="0" vertical="center"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0" xfId="0" applyFont="1"/>
    <xf borderId="0" fillId="0" fontId="2" numFmtId="49" xfId="0" applyAlignment="1" applyFont="1" applyNumberFormat="1">
      <alignment readingOrder="0" shrinkToFit="0" vertical="center" wrapText="0"/>
    </xf>
    <xf borderId="0" fillId="11" fontId="2" numFmtId="0" xfId="0" applyAlignment="1" applyFill="1" applyFont="1">
      <alignment readingOrder="0" shrinkToFit="0" vertical="center" wrapText="0"/>
    </xf>
    <xf borderId="0" fillId="12" fontId="5" numFmtId="0" xfId="0" applyAlignment="1" applyFill="1" applyFont="1">
      <alignment readingOrder="0" shrinkToFit="0" vertical="center" wrapText="0"/>
    </xf>
    <xf borderId="0" fillId="0" fontId="1" numFmtId="0" xfId="0" applyAlignment="1" applyFont="1">
      <alignment readingOrder="0" shrinkToFit="0" vertical="center" wrapText="0"/>
    </xf>
    <xf borderId="0" fillId="13" fontId="2" numFmtId="0" xfId="0" applyAlignment="1" applyFill="1" applyFont="1">
      <alignment readingOrder="0" shrinkToFit="0" vertical="center" wrapText="0"/>
    </xf>
    <xf borderId="0" fillId="14" fontId="5" numFmtId="0" xfId="0" applyAlignment="1" applyFill="1" applyFont="1">
      <alignment readingOrder="0" shrinkToFit="0" vertical="center" wrapText="0"/>
    </xf>
    <xf borderId="0" fillId="15" fontId="2" numFmtId="0" xfId="0" applyAlignment="1" applyFill="1" applyFont="1">
      <alignment readingOrder="0" shrinkToFit="0" vertical="center" wrapText="0"/>
    </xf>
    <xf borderId="0" fillId="16" fontId="5" numFmtId="0" xfId="0" applyAlignment="1" applyFill="1" applyFont="1">
      <alignment readingOrder="0" shrinkToFit="0" vertical="center" wrapText="0"/>
    </xf>
    <xf borderId="0" fillId="17" fontId="2" numFmtId="0" xfId="0" applyAlignment="1" applyFill="1" applyFont="1">
      <alignment readingOrder="0" shrinkToFit="0" vertical="center" wrapText="0"/>
    </xf>
    <xf borderId="0" fillId="18" fontId="5" numFmtId="0" xfId="0" applyAlignment="1" applyFill="1" applyFont="1">
      <alignment readingOrder="0" shrinkToFit="0" vertical="center" wrapText="0"/>
    </xf>
    <xf borderId="0" fillId="19" fontId="2" numFmtId="0" xfId="0" applyAlignment="1" applyFill="1" applyFont="1">
      <alignment readingOrder="0" shrinkToFit="0" vertical="center" wrapText="0"/>
    </xf>
    <xf borderId="0" fillId="20" fontId="5" numFmtId="0" xfId="0" applyAlignment="1" applyFill="1" applyFont="1">
      <alignment readingOrder="0" shrinkToFit="0" vertical="center" wrapText="0"/>
    </xf>
    <xf borderId="0" fillId="0" fontId="2" numFmtId="0" xfId="0" applyAlignment="1" applyFont="1">
      <alignment shrinkToFit="0" vertical="center" wrapText="1"/>
    </xf>
    <xf borderId="0" fillId="21" fontId="2" numFmtId="0" xfId="0" applyAlignment="1" applyFill="1" applyFont="1">
      <alignment readingOrder="0" shrinkToFit="0" vertical="center" wrapText="0"/>
    </xf>
    <xf borderId="0" fillId="22" fontId="5" numFmtId="0" xfId="0" applyAlignment="1" applyFill="1" applyFont="1">
      <alignment readingOrder="0" shrinkToFit="0" vertical="center" wrapText="0"/>
    </xf>
    <xf borderId="0" fillId="23" fontId="2" numFmtId="0" xfId="0" applyAlignment="1" applyFill="1" applyFont="1">
      <alignment readingOrder="0" shrinkToFit="0" vertical="center" wrapText="0"/>
    </xf>
    <xf borderId="0" fillId="24" fontId="5" numFmtId="0" xfId="0" applyAlignment="1" applyFill="1" applyFont="1">
      <alignment readingOrder="0" shrinkToFit="0" vertical="center" wrapText="0"/>
    </xf>
    <xf borderId="0" fillId="25" fontId="2" numFmtId="0" xfId="0" applyAlignment="1" applyFill="1" applyFont="1">
      <alignment readingOrder="0" shrinkToFit="0" vertical="center" wrapText="0"/>
    </xf>
    <xf borderId="0" fillId="26" fontId="5" numFmtId="0" xfId="0" applyAlignment="1" applyFill="1" applyFont="1">
      <alignment readingOrder="0" shrinkToFit="0" vertical="center" wrapText="0"/>
    </xf>
    <xf borderId="0" fillId="0" fontId="6" numFmtId="0" xfId="0" applyAlignment="1" applyFont="1">
      <alignment readingOrder="0" shrinkToFit="0" vertical="center" wrapText="0"/>
    </xf>
    <xf borderId="0" fillId="27" fontId="2" numFmtId="0" xfId="0" applyAlignment="1" applyFill="1" applyFont="1">
      <alignment readingOrder="0" shrinkToFit="0" vertical="center" wrapText="0"/>
    </xf>
    <xf borderId="0" fillId="28" fontId="5" numFmtId="0" xfId="0" applyAlignment="1" applyFill="1" applyFont="1">
      <alignment readingOrder="0" shrinkToFit="0" vertical="center" wrapText="0"/>
    </xf>
    <xf borderId="0" fillId="0" fontId="5" numFmtId="0" xfId="0" applyAlignment="1" applyFont="1">
      <alignment shrinkToFit="0" vertical="center" wrapText="0"/>
    </xf>
    <xf borderId="0" fillId="29" fontId="5" numFmtId="0" xfId="0" applyAlignment="1" applyFill="1" applyFont="1">
      <alignment readingOrder="0" shrinkToFit="0" vertical="center" wrapText="0"/>
    </xf>
    <xf borderId="0" fillId="0" fontId="6" numFmtId="49" xfId="0" applyAlignment="1" applyFont="1" applyNumberFormat="1">
      <alignment readingOrder="0" shrinkToFit="0" vertical="center" wrapText="0"/>
    </xf>
    <xf borderId="0" fillId="30" fontId="2" numFmtId="0" xfId="0" applyAlignment="1" applyFill="1" applyFont="1">
      <alignment readingOrder="0" shrinkToFit="0" vertical="center" wrapText="0"/>
    </xf>
    <xf borderId="0" fillId="30" fontId="5" numFmtId="0" xfId="0" applyAlignment="1" applyFill="1" applyFont="1">
      <alignment readingOrder="0" shrinkToFit="0" vertical="center" wrapText="0"/>
    </xf>
    <xf borderId="0" fillId="0" fontId="2" numFmtId="0" xfId="0" applyAlignment="1" applyFont="1">
      <alignment shrinkToFit="0" wrapText="1"/>
    </xf>
    <xf borderId="0" fillId="0" fontId="2" numFmtId="49" xfId="0" applyAlignment="1" applyFont="1" applyNumberFormat="1">
      <alignment readingOrder="0" shrinkToFit="0" vertical="center" wrapText="0"/>
    </xf>
    <xf borderId="0" fillId="0" fontId="1" numFmtId="0" xfId="0" applyAlignment="1" applyFont="1">
      <alignment horizontal="center" readingOrder="0" shrinkToFit="0" vertical="center" wrapText="0"/>
    </xf>
    <xf borderId="0" fillId="0" fontId="1" numFmtId="49" xfId="0" applyAlignment="1" applyFont="1" applyNumberFormat="1">
      <alignment horizontal="center" readingOrder="0" shrinkToFit="0" vertical="center" wrapText="0"/>
    </xf>
    <xf borderId="0" fillId="0" fontId="1" numFmtId="0" xfId="0" applyAlignment="1" applyFont="1">
      <alignment horizontal="center" shrinkToFit="0" vertical="center" wrapText="0"/>
    </xf>
    <xf borderId="0" fillId="0" fontId="1" numFmtId="0" xfId="0" applyAlignment="1" applyFont="1">
      <alignment horizontal="center" shrinkToFit="0" vertical="center" wrapText="0"/>
    </xf>
    <xf borderId="2" fillId="0" fontId="2" numFmtId="0" xfId="0" applyAlignment="1" applyBorder="1" applyFont="1">
      <alignment horizontal="center" readingOrder="0"/>
    </xf>
    <xf borderId="0" fillId="0" fontId="7" numFmtId="0" xfId="0" applyAlignment="1" applyFont="1">
      <alignment readingOrder="0" vertical="center"/>
    </xf>
    <xf borderId="0" fillId="0" fontId="1" numFmtId="0" xfId="0" applyAlignment="1" applyFont="1">
      <alignment vertical="center"/>
    </xf>
    <xf borderId="0" fillId="0" fontId="8" numFmtId="0" xfId="0" applyFont="1"/>
    <xf borderId="0" fillId="0" fontId="2" numFmtId="0" xfId="0" applyAlignment="1" applyFont="1">
      <alignment horizontal="center" shrinkToFit="0" vertical="center" wrapText="0"/>
    </xf>
    <xf borderId="0" fillId="0" fontId="2" numFmtId="0" xfId="0" applyAlignment="1" applyFont="1">
      <alignment readingOrder="0" shrinkToFit="0" vertical="center" wrapText="1"/>
    </xf>
    <xf borderId="2" fillId="0" fontId="2" numFmtId="0" xfId="0" applyAlignment="1" applyBorder="1" applyFont="1">
      <alignment readingOrder="0"/>
    </xf>
    <xf borderId="0" fillId="0" fontId="6" numFmtId="49" xfId="0" applyAlignment="1" applyFont="1" applyNumberFormat="1">
      <alignment horizontal="left" readingOrder="0" shrinkToFit="0" vertical="center" wrapText="1"/>
    </xf>
    <xf borderId="0" fillId="0" fontId="6" numFmtId="0" xfId="0" applyAlignment="1" applyFont="1">
      <alignment horizontal="left" readingOrder="0" shrinkToFit="0" vertical="center" wrapText="1"/>
    </xf>
    <xf borderId="0" fillId="0" fontId="6" numFmtId="0" xfId="0" applyAlignment="1" applyFont="1">
      <alignment horizontal="left" readingOrder="0" shrinkToFit="0" vertical="center" wrapText="1"/>
    </xf>
    <xf borderId="0" fillId="0" fontId="6" numFmtId="0" xfId="0" applyAlignment="1" applyFont="1">
      <alignment horizontal="center" readingOrder="0" shrinkToFit="0" vertical="center" wrapText="1"/>
    </xf>
    <xf borderId="0" fillId="0" fontId="6" numFmtId="0" xfId="0" applyAlignment="1" applyFont="1">
      <alignment horizontal="left" readingOrder="0" shrinkToFit="0" vertical="top" wrapText="1"/>
    </xf>
    <xf borderId="0" fillId="0" fontId="2" numFmtId="0" xfId="0" applyAlignment="1" applyFont="1">
      <alignment readingOrder="0" shrinkToFit="0" wrapText="1"/>
    </xf>
    <xf borderId="0" fillId="0" fontId="2" numFmtId="0" xfId="0" applyAlignment="1" applyFont="1">
      <alignment horizontal="center" readingOrder="0" shrinkToFit="0" vertical="center" wrapText="0"/>
    </xf>
    <xf borderId="0" fillId="0" fontId="1" numFmtId="0" xfId="0" applyAlignment="1" applyFont="1">
      <alignment horizontal="left" readingOrder="0" shrinkToFit="0" vertical="center" wrapText="0"/>
    </xf>
    <xf borderId="3" fillId="0" fontId="9" numFmtId="0" xfId="0" applyAlignment="1" applyBorder="1" applyFont="1">
      <alignment readingOrder="0" shrinkToFit="0" vertical="center" wrapText="0"/>
    </xf>
    <xf borderId="3" fillId="0" fontId="9" numFmtId="0" xfId="0" applyAlignment="1" applyBorder="1" applyFont="1">
      <alignment shrinkToFit="0" vertical="center" wrapText="0"/>
    </xf>
    <xf borderId="3" fillId="0" fontId="9" numFmtId="49" xfId="0" applyAlignment="1" applyBorder="1" applyFont="1" applyNumberFormat="1">
      <alignment shrinkToFit="0" vertical="center" wrapText="1"/>
    </xf>
    <xf borderId="3" fillId="0" fontId="9" numFmtId="0" xfId="0" applyAlignment="1" applyBorder="1" applyFont="1">
      <alignment shrinkToFit="0" vertical="center" wrapText="0"/>
    </xf>
    <xf borderId="3" fillId="0" fontId="9" numFmtId="0" xfId="0" applyAlignment="1" applyBorder="1" applyFont="1">
      <alignment horizontal="center" shrinkToFit="0" vertical="center" wrapText="0"/>
    </xf>
    <xf borderId="3" fillId="0" fontId="9" numFmtId="49" xfId="0" applyAlignment="1" applyBorder="1" applyFont="1" applyNumberFormat="1">
      <alignment horizontal="center" shrinkToFit="0" vertical="center" wrapText="0"/>
    </xf>
    <xf borderId="3" fillId="0" fontId="9" numFmtId="0" xfId="0" applyAlignment="1" applyBorder="1" applyFont="1">
      <alignment shrinkToFit="0" vertical="center" wrapText="1"/>
    </xf>
    <xf borderId="3" fillId="0" fontId="8" numFmtId="0" xfId="0" applyAlignment="1" applyBorder="1" applyFont="1">
      <alignment shrinkToFit="0" vertical="center" wrapText="0"/>
    </xf>
    <xf borderId="3" fillId="0" fontId="9" numFmtId="0" xfId="0" applyAlignment="1" applyBorder="1" applyFont="1">
      <alignment horizontal="right" shrinkToFit="0" vertical="center" wrapText="0"/>
    </xf>
    <xf borderId="0" fillId="0" fontId="9" numFmtId="0" xfId="0" applyAlignment="1" applyFont="1">
      <alignment readingOrder="0" shrinkToFit="0" vertical="center" wrapText="0"/>
    </xf>
    <xf borderId="0" fillId="0" fontId="9" numFmtId="49" xfId="0" applyAlignment="1" applyFont="1" applyNumberFormat="1">
      <alignment readingOrder="0" shrinkToFit="0" vertical="center" wrapText="1"/>
    </xf>
    <xf borderId="0" fillId="0" fontId="9" numFmtId="0" xfId="0" applyAlignment="1" applyFont="1">
      <alignment readingOrder="0" shrinkToFit="0" vertical="center" wrapText="0"/>
    </xf>
    <xf borderId="3" fillId="31" fontId="10" numFmtId="0" xfId="0" applyAlignment="1" applyBorder="1" applyFill="1" applyFont="1">
      <alignment horizontal="center" readingOrder="0" shrinkToFit="0" vertical="center" wrapText="0"/>
    </xf>
    <xf borderId="3" fillId="31" fontId="8" numFmtId="0" xfId="0" applyAlignment="1" applyBorder="1" applyFill="1" applyFont="1">
      <alignment shrinkToFit="0" vertical="center" wrapText="0"/>
    </xf>
    <xf borderId="3" fillId="31" fontId="8" numFmtId="0" xfId="0" applyAlignment="1" applyBorder="1" applyFill="1" applyFont="1">
      <alignment readingOrder="0" shrinkToFit="0" vertical="center" wrapText="0"/>
    </xf>
    <xf borderId="4" fillId="32" fontId="10" numFmtId="0" xfId="0" applyAlignment="1" applyBorder="1" applyFill="1" applyFont="1">
      <alignment horizontal="center" readingOrder="0" shrinkToFit="0" vertical="center" wrapText="0"/>
    </xf>
    <xf borderId="5" fillId="33" fontId="10" numFmtId="0" xfId="0" applyAlignment="1" applyBorder="1" applyFill="1" applyFont="1">
      <alignment horizontal="center" readingOrder="0" shrinkToFit="0" vertical="center" wrapText="0"/>
    </xf>
    <xf borderId="3" fillId="31" fontId="10" numFmtId="0" xfId="0" applyAlignment="1" applyBorder="1" applyFill="1" applyFont="1">
      <alignment horizontal="center" shrinkToFit="0" vertical="center" wrapText="0"/>
    </xf>
    <xf borderId="3" fillId="31" fontId="10" numFmtId="49" xfId="0" applyAlignment="1" applyBorder="1" applyFill="1" applyFont="1" applyNumberFormat="1">
      <alignment horizontal="center" readingOrder="0" shrinkToFit="0" vertical="center" wrapText="0"/>
    </xf>
    <xf borderId="6" fillId="6" fontId="10" numFmtId="49" xfId="0" applyAlignment="1" applyBorder="1" applyFill="1" applyFont="1" applyNumberFormat="1">
      <alignment horizontal="center" readingOrder="0" shrinkToFit="0" vertical="center" wrapText="0"/>
    </xf>
    <xf borderId="3" fillId="31" fontId="9" numFmtId="0" xfId="0" applyAlignment="1" applyBorder="1" applyFill="1" applyFont="1">
      <alignment readingOrder="0" shrinkToFit="0" vertical="center" wrapText="1"/>
    </xf>
    <xf borderId="0" fillId="0" fontId="8" numFmtId="0" xfId="0" applyAlignment="1" applyFont="1">
      <alignment shrinkToFit="0" vertical="center" wrapText="0"/>
    </xf>
    <xf borderId="0" fillId="0" fontId="9" numFmtId="0" xfId="0" applyAlignment="1" applyFont="1">
      <alignment horizontal="right" shrinkToFit="0" vertical="center" wrapText="0"/>
    </xf>
    <xf borderId="0" fillId="31" fontId="11" numFmtId="0" xfId="0" applyAlignment="1" applyFill="1" applyFont="1">
      <alignment readingOrder="0" shrinkToFit="0" vertical="center" wrapText="1"/>
    </xf>
    <xf borderId="0" fillId="0" fontId="9" numFmtId="0" xfId="0" applyAlignment="1" applyFont="1">
      <alignment horizontal="center" readingOrder="0" shrinkToFit="0" vertical="center" wrapText="0"/>
    </xf>
    <xf borderId="0" fillId="0" fontId="9" numFmtId="0" xfId="0" applyAlignment="1" applyFont="1">
      <alignment horizontal="center" shrinkToFit="0" vertical="center" wrapText="0"/>
    </xf>
    <xf borderId="0" fillId="0" fontId="9" numFmtId="49" xfId="0" applyAlignment="1" applyFont="1" applyNumberFormat="1">
      <alignment horizontal="center" readingOrder="0" shrinkToFit="0" vertical="center" wrapText="0"/>
    </xf>
    <xf borderId="0" fillId="0" fontId="9" numFmtId="0" xfId="0" applyAlignment="1" applyFont="1">
      <alignment readingOrder="0" shrinkToFit="0" vertical="center" wrapText="1"/>
    </xf>
    <xf borderId="0" fillId="34" fontId="10" numFmtId="0" xfId="0" applyAlignment="1" applyFill="1" applyFont="1">
      <alignment horizontal="center" readingOrder="0" shrinkToFit="0" vertical="center" wrapText="0"/>
    </xf>
    <xf borderId="0" fillId="32" fontId="10" numFmtId="0" xfId="0" applyAlignment="1" applyFill="1" applyFont="1">
      <alignment horizontal="center" readingOrder="0" shrinkToFit="0" vertical="center" wrapText="0"/>
    </xf>
    <xf borderId="0" fillId="33" fontId="10" numFmtId="0" xfId="0" applyAlignment="1" applyFill="1" applyFont="1">
      <alignment horizontal="center" shrinkToFit="0" vertical="center" wrapText="0"/>
    </xf>
    <xf borderId="0" fillId="34" fontId="10" numFmtId="0" xfId="0" applyAlignment="1" applyFill="1" applyFont="1">
      <alignment horizontal="center" shrinkToFit="0" vertical="center" wrapText="0"/>
    </xf>
    <xf borderId="0" fillId="32" fontId="10" numFmtId="49" xfId="0" applyAlignment="1" applyFill="1" applyFont="1" applyNumberFormat="1">
      <alignment horizontal="center" shrinkToFit="0" vertical="center" wrapText="0"/>
    </xf>
    <xf borderId="5" fillId="33" fontId="10" numFmtId="0" xfId="0" applyAlignment="1" applyBorder="1" applyFill="1" applyFont="1">
      <alignment horizontal="center" shrinkToFit="0" vertical="center" wrapText="0"/>
    </xf>
    <xf borderId="3" fillId="31" fontId="10" numFmtId="49" xfId="0" applyAlignment="1" applyBorder="1" applyFill="1" applyFont="1" applyNumberFormat="1">
      <alignment horizontal="center" shrinkToFit="0" vertical="center" wrapText="0"/>
    </xf>
    <xf borderId="0" fillId="0" fontId="2" numFmtId="0" xfId="0" applyAlignment="1" applyFont="1">
      <alignment horizontal="left" readingOrder="0" shrinkToFit="0" vertical="center" wrapText="0"/>
    </xf>
    <xf borderId="0" fillId="0" fontId="2" numFmtId="2" xfId="0" applyAlignment="1" applyFont="1" applyNumberFormat="1">
      <alignment horizontal="left" readingOrder="0" shrinkToFit="0" vertical="center" wrapText="0"/>
    </xf>
    <xf borderId="0" fillId="0" fontId="2" numFmtId="4" xfId="0" applyAlignment="1" applyFont="1" applyNumberFormat="1">
      <alignment horizontal="left" readingOrder="0" shrinkToFit="0" vertical="center" wrapText="0"/>
    </xf>
    <xf borderId="0" fillId="0" fontId="2" numFmtId="49" xfId="0" applyAlignment="1" applyFont="1" applyNumberFormat="1">
      <alignment horizontal="left" readingOrder="0" shrinkToFit="0" vertical="center" wrapText="0"/>
    </xf>
    <xf borderId="0" fillId="0" fontId="2" numFmtId="2" xfId="0" applyAlignment="1" applyFont="1" applyNumberFormat="1">
      <alignment shrinkToFit="0" vertical="center" wrapText="0"/>
    </xf>
    <xf borderId="0" fillId="0" fontId="2" numFmtId="4" xfId="0" applyAlignment="1" applyFont="1" applyNumberFormat="1">
      <alignment shrinkToFit="0" vertical="center" wrapText="0"/>
    </xf>
    <xf borderId="0" fillId="0" fontId="9" numFmtId="49" xfId="0" applyAlignment="1" applyFont="1" applyNumberFormat="1">
      <alignment horizontal="center" shrinkToFit="0" vertical="center" wrapText="0"/>
    </xf>
    <xf borderId="0" fillId="0" fontId="2" numFmtId="4" xfId="0" applyAlignment="1" applyFont="1" applyNumberFormat="1">
      <alignment readingOrder="0" shrinkToFit="0" vertical="center" wrapText="0"/>
    </xf>
    <xf borderId="0" fillId="0" fontId="8" numFmtId="0" xfId="0" applyAlignment="1" applyFont="1">
      <alignment readingOrder="0" shrinkToFit="0" vertical="center" wrapText="0"/>
    </xf>
    <xf borderId="0" fillId="0" fontId="9" numFmtId="0" xfId="0" applyAlignment="1" applyFont="1">
      <alignment readingOrder="0" shrinkToFit="0" vertical="center" wrapText="0"/>
    </xf>
    <xf borderId="0" fillId="0" fontId="2" numFmtId="0" xfId="0" applyAlignment="1" applyFont="1">
      <alignment readingOrder="0"/>
    </xf>
    <xf borderId="0" fillId="0" fontId="2" numFmtId="2" xfId="0" applyAlignment="1" applyFont="1" applyNumberFormat="1">
      <alignment readingOrder="0" shrinkToFit="0" vertical="center" wrapText="0"/>
    </xf>
    <xf borderId="0" fillId="0" fontId="2" numFmtId="0" xfId="0" applyAlignment="1" applyFont="1">
      <alignment shrinkToFit="0" vertical="center" wrapText="0"/>
    </xf>
    <xf borderId="0" fillId="0" fontId="2" numFmtId="0" xfId="0" applyAlignment="1" applyFont="1">
      <alignment shrinkToFit="0" vertical="center" wrapText="0"/>
    </xf>
    <xf borderId="7" fillId="0" fontId="1" numFmtId="0" xfId="0" applyAlignment="1" applyBorder="1" applyFont="1">
      <alignment horizontal="center" readingOrder="0" shrinkToFit="0" vertical="center" wrapText="0"/>
    </xf>
    <xf borderId="7" fillId="0" fontId="1" numFmtId="0" xfId="0" applyAlignment="1" applyBorder="1" applyFont="1">
      <alignment horizontal="center" readingOrder="0" shrinkToFit="0" vertical="center" wrapText="0"/>
    </xf>
    <xf borderId="4" fillId="0" fontId="1" numFmtId="49" xfId="0" applyAlignment="1" applyBorder="1" applyFont="1" applyNumberFormat="1">
      <alignment horizontal="center" readingOrder="0" shrinkToFit="0" vertical="center" wrapText="0"/>
    </xf>
    <xf borderId="4" fillId="0" fontId="1" numFmtId="0" xfId="0" applyAlignment="1" applyBorder="1" applyFont="1">
      <alignment horizontal="center" readingOrder="0" shrinkToFit="0" vertical="center" wrapText="0"/>
    </xf>
    <xf borderId="0" fillId="0" fontId="1" numFmtId="49" xfId="0" applyAlignment="1" applyFont="1" applyNumberFormat="1">
      <alignment horizontal="center" shrinkToFit="0" vertical="center" wrapText="0"/>
    </xf>
    <xf borderId="0" fillId="0" fontId="2" numFmtId="49" xfId="0" applyAlignment="1" applyFont="1" applyNumberFormat="1">
      <alignment shrinkToFit="0" vertical="center" wrapText="0"/>
    </xf>
    <xf borderId="0" fillId="9" fontId="5" numFmtId="0" xfId="0" applyAlignment="1" applyFill="1" applyFont="1">
      <alignment readingOrder="0" shrinkToFit="0" vertical="center" wrapText="0"/>
    </xf>
    <xf borderId="0" fillId="0" fontId="1" numFmtId="0" xfId="0" applyAlignment="1" applyFont="1">
      <alignment horizontal="center" shrinkToFit="0" vertical="center" wrapText="0"/>
    </xf>
    <xf borderId="0" fillId="0" fontId="1" numFmtId="0" xfId="0" applyAlignment="1" applyFont="1">
      <alignment horizontal="center"/>
    </xf>
    <xf borderId="0" fillId="0" fontId="2" numFmtId="2" xfId="0" applyFont="1" applyNumberFormat="1"/>
    <xf borderId="0" fillId="0" fontId="2" numFmtId="1" xfId="0" applyFont="1" applyNumberFormat="1"/>
    <xf borderId="1" fillId="0" fontId="2" numFmtId="0" xfId="0" applyBorder="1" applyFont="1"/>
    <xf borderId="0" fillId="0" fontId="2" numFmtId="0" xfId="0" applyAlignment="1" applyFont="1">
      <alignment vertical="bottom"/>
    </xf>
    <xf borderId="1" fillId="0" fontId="2" numFmtId="0" xfId="0" applyAlignment="1" applyBorder="1" applyFont="1">
      <alignment vertical="bottom"/>
    </xf>
    <xf borderId="0" fillId="0" fontId="2" numFmtId="164" xfId="0" applyFont="1" applyNumberFormat="1"/>
    <xf borderId="0" fillId="0" fontId="6" numFmtId="0" xfId="0" applyFont="1"/>
  </cellXfs>
  <cellStyles count="1">
    <cellStyle xfId="0" name="Normal" builtinId="0"/>
  </cellStyles>
  <dxfs count="1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F8F9FA"/>
          <bgColor rgb="FFF8F9FA"/>
        </patternFill>
      </fill>
      <border/>
    </dxf>
    <dxf>
      <font/>
      <fill>
        <patternFill patternType="solid">
          <fgColor rgb="FF626E7A"/>
          <bgColor rgb="FF626E7A"/>
        </patternFill>
      </fill>
      <border/>
    </dxf>
    <dxf>
      <font/>
      <fill>
        <patternFill patternType="solid">
          <fgColor rgb="FF57BB8A"/>
          <bgColor rgb="FF57BB8A"/>
        </patternFill>
      </fill>
      <border/>
    </dxf>
    <dxf>
      <font/>
      <fill>
        <patternFill patternType="solid">
          <fgColor rgb="FF356854"/>
          <bgColor rgb="FF356854"/>
        </patternFill>
      </fill>
      <border/>
    </dxf>
    <dxf>
      <font/>
      <fill>
        <patternFill patternType="solid">
          <fgColor rgb="FFB7E1CD"/>
          <bgColor rgb="FFB7E1CD"/>
        </patternFill>
      </fill>
      <border/>
    </dxf>
    <dxf>
      <font/>
      <fill>
        <patternFill patternType="solid">
          <fgColor rgb="FF4A86E8"/>
          <bgColor rgb="FF4A86E8"/>
        </patternFill>
      </fill>
      <border/>
    </dxf>
    <dxf>
      <font/>
      <fill>
        <patternFill patternType="solid">
          <fgColor rgb="FF0000FF"/>
          <bgColor rgb="FF0000FF"/>
        </patternFill>
      </fill>
      <border/>
    </dxf>
    <dxf>
      <font/>
      <fill>
        <patternFill patternType="solid">
          <fgColor rgb="FFBF9000"/>
          <bgColor rgb="FFBF9000"/>
        </patternFill>
      </fill>
      <border/>
    </dxf>
    <dxf>
      <font/>
      <fill>
        <patternFill patternType="solid">
          <fgColor rgb="FFF4C7C3"/>
          <bgColor rgb="FFF4C7C3"/>
        </patternFill>
      </fill>
      <border/>
    </dxf>
    <dxf>
      <font>
        <color rgb="FFEFEFEF"/>
      </font>
      <fill>
        <patternFill patternType="none"/>
      </fill>
      <border/>
    </dxf>
  </dxfs>
  <tableStyles count="9">
    <tableStyle count="4" pivot="0" name="U2-style">
      <tableStyleElement dxfId="1" type="headerRow"/>
      <tableStyleElement dxfId="2" type="firstRowStripe"/>
      <tableStyleElement dxfId="3" type="secondRowStripe"/>
      <tableStyleElement dxfId="4" size="0" type="wholeTable"/>
    </tableStyle>
    <tableStyle count="4" pivot="0" name="Units-style">
      <tableStyleElement dxfId="1" type="headerRow"/>
      <tableStyleElement dxfId="2" type="firstRowStripe"/>
      <tableStyleElement dxfId="5" type="secondRowStripe"/>
      <tableStyleElement dxfId="4" size="0" type="wholeTable"/>
    </tableStyle>
    <tableStyle count="4" pivot="0" name="Meta-style">
      <tableStyleElement dxfId="6" type="headerRow"/>
      <tableStyleElement dxfId="2" type="firstRowStripe"/>
      <tableStyleElement dxfId="3" type="secondRowStripe"/>
      <tableStyleElement dxfId="4" size="0" type="wholeTable"/>
    </tableStyle>
    <tableStyle count="2" pivot="0" name="Lists-style">
      <tableStyleElement dxfId="2" type="firstRowStripe"/>
      <tableStyleElement dxfId="5" type="secondRowStripe"/>
    </tableStyle>
    <tableStyle count="4" pivot="0" name="Factions-style">
      <tableStyleElement dxfId="1" type="headerRow"/>
      <tableStyleElement dxfId="2" type="firstRowStripe"/>
      <tableStyleElement dxfId="3" type="secondRowStripe"/>
      <tableStyleElement dxfId="4" size="0" type="wholeTable"/>
    </tableStyle>
    <tableStyle count="4" pivot="0" name="Weapons-style">
      <tableStyleElement dxfId="1" type="headerRow"/>
      <tableStyleElement dxfId="2" type="firstRowStripe"/>
      <tableStyleElement dxfId="3" type="secondRowStripe"/>
      <tableStyleElement dxfId="4" size="0" type="wholeTable"/>
    </tableStyle>
    <tableStyle count="4" pivot="0" name="Suggestions-style">
      <tableStyleElement dxfId="1" type="headerRow"/>
      <tableStyleElement dxfId="2" type="firstRowStripe"/>
      <tableStyleElement dxfId="5" type="secondRowStripe"/>
      <tableStyleElement dxfId="4" size="0" type="wholeTable"/>
    </tableStyle>
    <tableStyle count="2" pivot="0" name="Suggestions-style 2">
      <tableStyleElement dxfId="3" type="firstRowStripe"/>
      <tableStyleElement dxfId="2" type="secondRowStripe"/>
    </tableStyle>
    <tableStyle count="4" pivot="0" name="Artillery-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2.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pivotCacheDefinition" Target="pivotCache/pivotCacheDefinition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Avg EHP, SUM of Avg Hits and SUM of M2+</a:t>
            </a:r>
          </a:p>
        </c:rich>
      </c:tx>
      <c:overlay val="0"/>
    </c:title>
    <c:plotArea>
      <c:layout/>
      <c:barChart>
        <c:barDir val="col"/>
        <c:ser>
          <c:idx val="0"/>
          <c:order val="0"/>
          <c:tx>
            <c:strRef>
              <c:f>Viewer!$B$1</c:f>
            </c:strRef>
          </c:tx>
          <c:spPr>
            <a:solidFill>
              <a:schemeClr val="accent1"/>
            </a:solidFill>
            <a:ln cmpd="sng">
              <a:noFill/>
            </a:ln>
          </c:spPr>
          <c:cat>
            <c:strRef>
              <c:f>Viewer!$A$2:$A$7</c:f>
            </c:strRef>
          </c:cat>
          <c:val>
            <c:numRef>
              <c:f>Viewer!$B$2:$B$7</c:f>
              <c:numCache/>
            </c:numRef>
          </c:val>
        </c:ser>
        <c:ser>
          <c:idx val="1"/>
          <c:order val="1"/>
          <c:tx>
            <c:strRef>
              <c:f>Viewer!$C$1</c:f>
            </c:strRef>
          </c:tx>
          <c:spPr>
            <a:solidFill>
              <a:schemeClr val="accent2"/>
            </a:solidFill>
            <a:ln cmpd="sng">
              <a:noFill/>
            </a:ln>
          </c:spPr>
          <c:cat>
            <c:strRef>
              <c:f>Viewer!$A$2:$A$7</c:f>
            </c:strRef>
          </c:cat>
          <c:val>
            <c:numRef>
              <c:f>Viewer!$C$2:$C$7</c:f>
              <c:numCache/>
            </c:numRef>
          </c:val>
        </c:ser>
        <c:ser>
          <c:idx val="2"/>
          <c:order val="2"/>
          <c:tx>
            <c:strRef>
              <c:f>Viewer!$D$1</c:f>
            </c:strRef>
          </c:tx>
          <c:spPr>
            <a:solidFill>
              <a:schemeClr val="accent3"/>
            </a:solidFill>
            <a:ln cmpd="sng">
              <a:noFill/>
            </a:ln>
          </c:spPr>
          <c:cat>
            <c:strRef>
              <c:f>Viewer!$A$2:$A$7</c:f>
            </c:strRef>
          </c:cat>
          <c:val>
            <c:numRef>
              <c:f>Viewer!$D$2:$D$7</c:f>
              <c:numCache/>
            </c:numRef>
          </c:val>
        </c:ser>
        <c:axId val="995559457"/>
        <c:axId val="240778050"/>
      </c:barChart>
      <c:catAx>
        <c:axId val="9955594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Faction</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40778050"/>
      </c:catAx>
      <c:valAx>
        <c:axId val="2407780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95559457"/>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percentStacked"/>
        <c:ser>
          <c:idx val="0"/>
          <c:order val="0"/>
          <c:tx>
            <c:strRef>
              <c:f>Viewer!$B$21</c:f>
            </c:strRef>
          </c:tx>
          <c:spPr>
            <a:solidFill>
              <a:srgbClr val="FF0000"/>
            </a:solidFill>
            <a:ln cmpd="sng">
              <a:noFill/>
            </a:ln>
          </c:spPr>
          <c:cat>
            <c:strRef>
              <c:f>Viewer!$A$22:$A$27</c:f>
            </c:strRef>
          </c:cat>
          <c:val>
            <c:numRef>
              <c:f>Viewer!$B$22:$B$27</c:f>
              <c:numCache/>
            </c:numRef>
          </c:val>
        </c:ser>
        <c:ser>
          <c:idx val="1"/>
          <c:order val="1"/>
          <c:tx>
            <c:strRef>
              <c:f>Viewer!$C$21</c:f>
            </c:strRef>
          </c:tx>
          <c:spPr>
            <a:solidFill>
              <a:srgbClr val="0000FF"/>
            </a:solidFill>
            <a:ln cmpd="sng">
              <a:noFill/>
            </a:ln>
          </c:spPr>
          <c:cat>
            <c:strRef>
              <c:f>Viewer!$A$22:$A$27</c:f>
            </c:strRef>
          </c:cat>
          <c:val>
            <c:numRef>
              <c:f>Viewer!$C$22:$C$27</c:f>
              <c:numCache/>
            </c:numRef>
          </c:val>
        </c:ser>
        <c:ser>
          <c:idx val="2"/>
          <c:order val="2"/>
          <c:tx>
            <c:strRef>
              <c:f>Viewer!$D$21</c:f>
            </c:strRef>
          </c:tx>
          <c:spPr>
            <a:solidFill>
              <a:srgbClr val="00FF00"/>
            </a:solidFill>
            <a:ln cmpd="sng">
              <a:noFill/>
            </a:ln>
          </c:spPr>
          <c:cat>
            <c:strRef>
              <c:f>Viewer!$A$22:$A$27</c:f>
            </c:strRef>
          </c:cat>
          <c:val>
            <c:numRef>
              <c:f>Viewer!$D$22:$D$27</c:f>
              <c:numCache/>
            </c:numRef>
          </c:val>
        </c:ser>
        <c:ser>
          <c:idx val="3"/>
          <c:order val="3"/>
          <c:tx>
            <c:strRef>
              <c:f>Viewer!$E$21</c:f>
            </c:strRef>
          </c:tx>
          <c:spPr>
            <a:solidFill>
              <a:srgbClr val="9900FF"/>
            </a:solidFill>
            <a:ln cmpd="sng">
              <a:noFill/>
            </a:ln>
          </c:spPr>
          <c:cat>
            <c:strRef>
              <c:f>Viewer!$A$22:$A$27</c:f>
            </c:strRef>
          </c:cat>
          <c:val>
            <c:numRef>
              <c:f>Viewer!$E$22:$E$27</c:f>
              <c:numCache/>
            </c:numRef>
          </c:val>
        </c:ser>
        <c:ser>
          <c:idx val="4"/>
          <c:order val="4"/>
          <c:tx>
            <c:strRef>
              <c:f>Viewer!$F$21</c:f>
            </c:strRef>
          </c:tx>
          <c:spPr>
            <a:solidFill>
              <a:srgbClr val="FFFF00"/>
            </a:solidFill>
            <a:ln cmpd="sng">
              <a:noFill/>
            </a:ln>
          </c:spPr>
          <c:cat>
            <c:strRef>
              <c:f>Viewer!$A$22:$A$27</c:f>
            </c:strRef>
          </c:cat>
          <c:val>
            <c:numRef>
              <c:f>Viewer!$F$22:$F$27</c:f>
              <c:numCache/>
            </c:numRef>
          </c:val>
        </c:ser>
        <c:ser>
          <c:idx val="5"/>
          <c:order val="5"/>
          <c:tx>
            <c:strRef>
              <c:f>Viewer!$G$21</c:f>
            </c:strRef>
          </c:tx>
          <c:cat>
            <c:strRef>
              <c:f>Viewer!$A$22:$A$27</c:f>
            </c:strRef>
          </c:cat>
          <c:val>
            <c:numRef>
              <c:f>Viewer!$G$22:$G$27</c:f>
              <c:numCache/>
            </c:numRef>
          </c:val>
        </c:ser>
        <c:overlap val="100"/>
        <c:axId val="1531672631"/>
        <c:axId val="2058669851"/>
      </c:barChart>
      <c:catAx>
        <c:axId val="153167263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58669851"/>
      </c:catAx>
      <c:valAx>
        <c:axId val="205866985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31672631"/>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200025</xdr:colOff>
      <xdr:row>0</xdr:row>
      <xdr:rowOff>123825</xdr:rowOff>
    </xdr:from>
    <xdr:ext cx="7858125" cy="48577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200025</xdr:colOff>
      <xdr:row>24</xdr:row>
      <xdr:rowOff>123825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4:AX68" sheet="Meta"/>
  </cacheSource>
  <cacheFields>
    <cacheField name="Id" numFmtId="0">
      <sharedItems containsBlank="1">
        <s v="01"/>
        <s v="02"/>
        <s v="03"/>
        <s v="04"/>
        <s v="05"/>
        <s v="06"/>
        <s v="07"/>
        <s v="08"/>
        <s v="09"/>
        <m/>
      </sharedItems>
    </cacheField>
    <cacheField name="Faction" numFmtId="0">
      <sharedItems containsBlank="1">
        <s v="Gobbo"/>
        <s v="Ratkin"/>
        <s v="Boneborn"/>
        <s v="Silk Court"/>
        <s v="Redspines"/>
        <s v="Coppersand"/>
        <s v="Scaled Empire"/>
        <s v="Disciples"/>
        <s v="Slimes"/>
        <m/>
      </sharedItems>
    </cacheField>
    <cacheField name="Tier">
      <sharedItems containsBlank="1" containsMixedTypes="1" containsNumber="1" containsInteger="1">
        <n v="1.0"/>
        <n v="2.0"/>
        <n v="3.0"/>
        <s v="All"/>
        <m/>
      </sharedItems>
    </cacheField>
    <cacheField name="Units" numFmtId="0">
      <sharedItems containsSemiMixedTypes="0" containsString="0" containsNumber="1" containsInteger="1">
        <n v="6.0"/>
        <n v="9.0"/>
        <n v="5.0"/>
        <n v="20.0"/>
        <n v="0.0"/>
        <n v="1.0"/>
      </sharedItems>
    </cacheField>
    <cacheField name="Warriors" numFmtId="0">
      <sharedItems containsSemiMixedTypes="0" containsString="0" containsNumber="1" containsInteger="1">
        <n v="1.0"/>
        <n v="0.0"/>
        <n v="2.0"/>
      </sharedItems>
    </cacheField>
    <cacheField name="Archers" numFmtId="0">
      <sharedItems containsSemiMixedTypes="0" containsString="0" containsNumber="1" containsInteger="1">
        <n v="1.0"/>
        <n v="0.0"/>
        <n v="2.0"/>
      </sharedItems>
    </cacheField>
    <cacheField name="Chaff" numFmtId="0">
      <sharedItems containsSemiMixedTypes="0" containsString="0" containsNumber="1" containsInteger="1">
        <n v="1.0"/>
        <n v="0.0"/>
        <n v="2.0"/>
      </sharedItems>
    </cacheField>
    <cacheField name="Infantry" numFmtId="0">
      <sharedItems containsSemiMixedTypes="0" containsString="0" containsNumber="1" containsInteger="1">
        <n v="1.0"/>
        <n v="0.0"/>
        <n v="2.0"/>
        <n v="3.0"/>
      </sharedItems>
    </cacheField>
    <cacheField name="Heavy Infantry" numFmtId="0">
      <sharedItems containsSemiMixedTypes="0" containsString="0" containsNumber="1" containsInteger="1">
        <n v="0.0"/>
        <n v="1.0"/>
        <n v="2.0"/>
        <n v="3.0"/>
      </sharedItems>
    </cacheField>
    <cacheField name="Attack Infantry" numFmtId="0">
      <sharedItems containsSemiMixedTypes="0" containsString="0" containsNumber="1" containsInteger="1">
        <n v="0.0"/>
        <n v="1.0"/>
      </sharedItems>
    </cacheField>
    <cacheField name="Fast Infantry" numFmtId="0">
      <sharedItems containsSemiMixedTypes="0" containsString="0" containsNumber="1" containsInteger="1">
        <n v="1.0"/>
        <n v="0.0"/>
        <n v="2.0"/>
      </sharedItems>
    </cacheField>
    <cacheField name="Light Cavalry" numFmtId="0">
      <sharedItems containsSemiMixedTypes="0" containsString="0" containsNumber="1" containsInteger="1">
        <n v="0.0"/>
        <n v="1.0"/>
        <n v="2.0"/>
      </sharedItems>
    </cacheField>
    <cacheField name="Heavy Cavalry" numFmtId="0">
      <sharedItems containsString="0" containsBlank="1">
        <m/>
      </sharedItems>
    </cacheField>
    <cacheField name="Chariot" numFmtId="0">
      <sharedItems containsSemiMixedTypes="0" containsString="0" containsNumber="1" containsInteger="1">
        <n v="0.0"/>
        <n v="2.0"/>
      </sharedItems>
    </cacheField>
    <cacheField name="Flyer" numFmtId="0">
      <sharedItems containsSemiMixedTypes="0" containsString="0" containsNumber="1" containsInteger="1">
        <n v="0.0"/>
        <n v="1.0"/>
        <n v="2.0"/>
      </sharedItems>
    </cacheField>
    <cacheField name="Monster" numFmtId="0">
      <sharedItems containsSemiMixedTypes="0" containsString="0" containsNumber="1" containsInteger="1">
        <n v="0.0"/>
        <n v="1.0"/>
        <n v="3.0"/>
        <n v="4.0"/>
      </sharedItems>
    </cacheField>
    <cacheField name="War Machine" numFmtId="0">
      <sharedItems containsSemiMixedTypes="0" containsString="0" containsNumber="1" containsInteger="1">
        <n v="0.0"/>
        <n v="2.0"/>
        <n v="3.0"/>
      </sharedItems>
    </cacheField>
    <cacheField name="Attack Mage" numFmtId="0">
      <sharedItems containsSemiMixedTypes="0" containsString="0" containsNumber="1" containsInteger="1">
        <n v="0.0"/>
        <n v="1.0"/>
      </sharedItems>
    </cacheField>
    <cacheField name="Support Mage" numFmtId="0">
      <sharedItems containsSemiMixedTypes="0" containsString="0" containsNumber="1" containsInteger="1">
        <n v="0.0"/>
        <n v="3.0"/>
        <n v="1.0"/>
        <n v="2.0"/>
      </sharedItems>
    </cacheField>
    <cacheField name="Unique" numFmtId="0">
      <sharedItems containsSemiMixedTypes="0" containsString="0" containsNumber="1" containsInteger="1">
        <n v="1.0"/>
        <n v="0.0"/>
        <n v="2.0"/>
        <n v="3.0"/>
      </sharedItems>
    </cacheField>
    <cacheField name="Mage Hero" numFmtId="0">
      <sharedItems containsSemiMixedTypes="0" containsString="0" containsNumber="1" containsInteger="1">
        <n v="0.0"/>
        <n v="1.0"/>
        <n v="2.0"/>
      </sharedItems>
    </cacheField>
    <cacheField name="Hybrid Mage Hero" numFmtId="0">
      <sharedItems containsSemiMixedTypes="0" containsString="0" containsNumber="1" containsInteger="1">
        <n v="0.0"/>
        <n v="1.0"/>
      </sharedItems>
    </cacheField>
    <cacheField name="Support Hero" numFmtId="0">
      <sharedItems containsSemiMixedTypes="0" containsString="0" containsNumber="1" containsInteger="1">
        <n v="0.0"/>
        <n v="1.0"/>
      </sharedItems>
    </cacheField>
    <cacheField name="Warrior Hero" numFmtId="0">
      <sharedItems containsSemiMixedTypes="0" containsString="0" containsNumber="1" containsInteger="1">
        <n v="0.0"/>
        <n v="1.0"/>
        <n v="2.0"/>
      </sharedItems>
    </cacheField>
    <cacheField name="Monster Hero" numFmtId="0">
      <sharedItems containsSemiMixedTypes="0" containsString="0" containsNumber="1" containsInteger="1">
        <n v="0.0"/>
        <n v="1.0"/>
        <n v="2.0"/>
      </sharedItems>
    </cacheField>
    <cacheField name="Cav Hero" numFmtId="0">
      <sharedItems containsSemiMixedTypes="0" containsString="0" containsNumber="1" containsInteger="1">
        <n v="0.0"/>
        <n v="1.0"/>
      </sharedItems>
    </cacheField>
    <cacheField name="War Machine Hero" numFmtId="0">
      <sharedItems containsSemiMixedTypes="0" containsString="0" containsNumber="1" containsInteger="1">
        <n v="0.0"/>
        <n v="1.0"/>
      </sharedItems>
    </cacheField>
    <cacheField name="Archer Hero" numFmtId="0">
      <sharedItems containsSemiMixedTypes="0" containsString="0" containsNumber="1" containsInteger="1">
        <n v="0.0"/>
        <n v="1.0"/>
      </sharedItems>
    </cacheField>
    <cacheField name="Unique Hero" numFmtId="0">
      <sharedItems containsSemiMixedTypes="0" containsString="0" containsNumber="1" containsInteger="1">
        <n v="0.0"/>
        <n v="1.0"/>
      </sharedItems>
    </cacheField>
    <cacheField name="All Infantry" numFmtId="0">
      <sharedItems containsSemiMixedTypes="0" containsString="0" containsNumber="1" containsInteger="1">
        <n v="4.0"/>
        <n v="3.0"/>
        <n v="0.0"/>
        <n v="7.0"/>
        <n v="5.0"/>
        <n v="8.0"/>
        <n v="1.0"/>
        <n v="2.0"/>
        <n v="6.0"/>
      </sharedItems>
    </cacheField>
    <cacheField name="All Mobile" numFmtId="0">
      <sharedItems containsSemiMixedTypes="0" containsString="0" containsNumber="1" containsInteger="1">
        <n v="0.0"/>
        <n v="2.0"/>
      </sharedItems>
    </cacheField>
    <cacheField name="All Ranged" numFmtId="0">
      <sharedItems containsSemiMixedTypes="0" containsString="0" containsNumber="1" containsInteger="1">
        <n v="1.0"/>
        <n v="2.0"/>
        <n v="0.0"/>
        <n v="3.0"/>
        <n v="4.0"/>
        <n v="5.0"/>
      </sharedItems>
    </cacheField>
    <cacheField name="All Other" numFmtId="0">
      <sharedItems containsSemiMixedTypes="0" containsString="0" containsNumber="1" containsInteger="1">
        <n v="1.0"/>
        <n v="2.0"/>
        <n v="0.0"/>
        <n v="3.0"/>
        <n v="4.0"/>
        <n v="5.0"/>
        <n v="6.0"/>
      </sharedItems>
    </cacheField>
    <cacheField name="C1" numFmtId="0">
      <sharedItems containsString="0" containsBlank="1" containsNumber="1" containsInteger="1">
        <n v="1.0"/>
        <n v="0.0"/>
        <n v="2.0"/>
        <m/>
      </sharedItems>
    </cacheField>
    <cacheField name="C2" numFmtId="0">
      <sharedItems containsString="0" containsBlank="1" containsNumber="1" containsInteger="1">
        <n v="3.0"/>
        <n v="0.0"/>
        <n v="2.0"/>
        <n v="4.0"/>
        <m/>
      </sharedItems>
    </cacheField>
    <cacheField name="C3" numFmtId="0">
      <sharedItems containsString="0" containsBlank="1" containsNumber="1" containsInteger="1">
        <n v="2.0"/>
        <n v="0.0"/>
        <n v="3.0"/>
        <m/>
      </sharedItems>
    </cacheField>
    <cacheField name="AC /" numFmtId="0">
      <sharedItems containsString="0" containsBlank="1" containsNumber="1" containsInteger="1">
        <n v="1.0"/>
        <n v="2.0"/>
        <n v="5.0"/>
        <n v="4.0"/>
        <n v="0.0"/>
        <m/>
      </sharedItems>
    </cacheField>
    <cacheField name="AC 6" numFmtId="0">
      <sharedItems containsString="0" containsBlank="1" containsNumber="1" containsInteger="1">
        <n v="3.0"/>
        <n v="2.0"/>
        <n v="0.0"/>
        <n v="5.0"/>
        <n v="4.0"/>
        <n v="1.0"/>
        <n v="6.0"/>
        <m/>
      </sharedItems>
    </cacheField>
    <cacheField name="AC 5" numFmtId="0">
      <sharedItems containsString="0" containsBlank="1" containsNumber="1" containsInteger="1">
        <n v="2.0"/>
        <n v="3.0"/>
        <n v="8.0"/>
        <n v="0.0"/>
        <n v="5.0"/>
        <n v="4.0"/>
        <n v="9.0"/>
        <n v="6.0"/>
        <n v="12.0"/>
        <n v="15.0"/>
        <n v="11.0"/>
        <m/>
      </sharedItems>
    </cacheField>
    <cacheField name="AC 4" numFmtId="0">
      <sharedItems containsString="0" containsBlank="1" containsNumber="1" containsInteger="1">
        <n v="0.0"/>
        <n v="1.0"/>
        <n v="2.0"/>
        <n v="4.0"/>
        <n v="3.0"/>
        <m/>
      </sharedItems>
    </cacheField>
    <cacheField name="AC 3" numFmtId="0">
      <sharedItems containsString="0" containsBlank="1" containsNumber="1" containsInteger="1">
        <n v="0.0"/>
        <n v="1.0"/>
        <m/>
      </sharedItems>
    </cacheField>
    <cacheField name="M2+" numFmtId="0">
      <sharedItems containsSemiMixedTypes="0" containsString="0" containsNumber="1" containsInteger="1">
        <n v="1.0"/>
        <n v="3.0"/>
        <n v="2.0"/>
        <n v="6.0"/>
        <n v="4.0"/>
        <n v="7.0"/>
        <n v="0.0"/>
        <n v="5.0"/>
      </sharedItems>
    </cacheField>
    <cacheField name="Maneuve." numFmtId="0">
      <sharedItems containsSemiMixedTypes="0" containsString="0" containsNumber="1" containsInteger="1">
        <n v="0.0"/>
      </sharedItems>
    </cacheField>
    <cacheField name="Avg HP">
      <sharedItems containsMixedTypes="1" containsNumber="1">
        <n v="1.0"/>
        <n v="2.7142857142857144"/>
        <n v="6.0"/>
        <n v="2.466666666666667"/>
        <n v="2.6666666666666665"/>
        <n v="3.6666666666666665"/>
        <n v="2.2"/>
        <n v="3.5714285714285716"/>
        <n v="6.666666666666667"/>
        <n v="3.1875"/>
        <n v="1.3333333333333333"/>
        <n v="6.5"/>
        <n v="1.9285714285714286"/>
        <n v="2.0"/>
        <n v="7.333333333333333"/>
        <n v="4.0"/>
        <n v="5.5"/>
        <n v="3.25"/>
        <n v="6.333333333333333"/>
        <n v="5.285714285714286"/>
        <n v="5.666666666666667"/>
        <n v="4.125"/>
        <e v="#DIV/0!"/>
      </sharedItems>
    </cacheField>
    <cacheField name="HP 2+" numFmtId="0">
      <sharedItems containsSemiMixedTypes="0" containsString="0" containsNumber="1" containsInteger="1">
        <n v="0.0"/>
        <n v="6.0"/>
        <n v="5.0"/>
        <n v="11.0"/>
        <n v="9.0"/>
        <n v="14.0"/>
        <n v="10.0"/>
        <n v="20.0"/>
      </sharedItems>
    </cacheField>
    <cacheField name="HP 3+" numFmtId="0">
      <sharedItems containsSemiMixedTypes="0" containsString="0" containsNumber="1" containsInteger="1">
        <n v="0.0"/>
        <n v="5.0"/>
        <n v="10.0"/>
        <n v="6.0"/>
        <n v="4.0"/>
        <n v="3.0"/>
        <n v="8.0"/>
        <n v="1.0"/>
        <n v="7.0"/>
        <n v="12.0"/>
        <n v="11.0"/>
      </sharedItems>
    </cacheField>
    <cacheField name="Avg Total HP">
      <sharedItems containsMixedTypes="1" containsNumber="1">
        <n v="6.0"/>
        <n v="6.285714285714286"/>
        <n v="6.133333333333334"/>
        <n v="9.0"/>
        <n v="6.666666666666667"/>
        <n v="4.666666666666667"/>
        <n v="7.2"/>
        <n v="8.428571428571429"/>
        <n v="7.1875"/>
        <n v="5.0"/>
        <n v="6.5"/>
        <n v="5.928571428571429"/>
        <n v="8.0"/>
        <n v="7.333333333333333"/>
        <n v="7.066666666666666"/>
        <n v="6.333333333333333"/>
        <n v="5.5"/>
        <n v="5.625"/>
        <n v="6.2"/>
        <n v="5.857142857142857"/>
        <n v="5.666666666666667"/>
        <n v="5.875"/>
        <e v="#DIV/0!"/>
        <n v="0.0"/>
      </sharedItems>
    </cacheField>
    <cacheField name="Avg EHP">
      <sharedItems containsMixedTypes="1" containsNumber="1">
        <n v="7.6000000000000005"/>
        <n v="10.428571428571429"/>
        <n v="7.5"/>
        <n v="8.906666666666666"/>
        <n v="9.6"/>
        <n v="9.35"/>
        <n v="7.833333333333333"/>
        <n v="9.146666666666667"/>
        <n v="9.700000000000001"/>
        <n v="12.485714285714286"/>
        <n v="11.0"/>
        <n v="11.1625"/>
        <n v="7.666666666666667"/>
        <n v="9.25"/>
        <n v="11.75"/>
        <n v="8.928571428571429"/>
        <n v="6.0"/>
        <n v="8.5"/>
        <n v="7.333333333333333"/>
        <n v="7.266666666666667"/>
        <n v="6.583333333333333"/>
        <n v="11.666666666666666"/>
        <n v="8.875"/>
        <n v="9.0625"/>
        <n v="8.6"/>
        <n v="10.5"/>
        <n v="9.379999999999999"/>
        <n v="9.357142857142858"/>
        <n v="7.0"/>
        <n v="8.59375"/>
        <e v="#DIV/0!"/>
        <n v="0.0"/>
      </sharedItems>
    </cacheField>
    <cacheField name="Avg Hits">
      <sharedItems containsMixedTypes="1" containsNumber="1">
        <n v="3.6666666666666665"/>
        <n v="4.714285714285714"/>
        <n v="4.666666666666667"/>
        <n v="4.288888888888889"/>
        <n v="2.5833333333333335"/>
        <n v="3.0833333333333335"/>
        <n v="3.0"/>
        <n v="2.1666666666666665"/>
        <n v="3.0476190476190474"/>
        <n v="2.8888888888888893"/>
        <n v="2.6875"/>
        <n v="2.361111111111111"/>
        <n v="3.0555555555555554"/>
        <n v="2.5"/>
        <n v="2.6785714285714293"/>
        <n v="3.3333333333333335"/>
        <n v="3.5277777777777772"/>
        <n v="3.8333333333333335"/>
        <n v="3.511111111111111"/>
        <n v="1.8055555555555556"/>
        <n v="2.8333333333333335"/>
        <n v="2.3645833333333335"/>
        <n v="2.6666666666666665"/>
        <n v="2.4444444444444446"/>
        <n v="2.555555555555556"/>
        <n v="2.75"/>
        <n v="2.4206349206349205"/>
        <n v="3.611111111111111"/>
        <n v="2.7673611111111107"/>
        <e v="#DIV/0!"/>
        <n v="0.0"/>
      </sharedItems>
    </cacheField>
    <cacheField name="None" numFmtId="0">
      <sharedItems containsString="0" containsBlank="1">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1030" sheet="Weapons"/>
  </cacheSource>
  <cacheFields>
    <cacheField name="Id" numFmtId="0">
      <sharedItems containsBlank="1">
        <s v="0-2-1-1"/>
        <s v="0-2-2-1"/>
        <s v="0-2-3-1"/>
        <s v="0-3-1-1"/>
        <s v="0-3-2-1"/>
        <s v="0-3-3-1"/>
        <s v="0-4-1-1"/>
        <s v="0-4-2-1"/>
        <s v="0-4-3-1"/>
        <s v="0-5-1-1"/>
        <s v="0-5-2-1"/>
        <s v="0-5-3-1"/>
        <s v="0-6-1-1"/>
        <s v="0-6-2-1"/>
        <s v="0-6-3-1"/>
        <s v="01-1-1-1-1"/>
        <s v="01-1-1-1-2"/>
        <s v="01-1-1-2-1"/>
        <s v="01-1-1-2-2"/>
        <s v="01-1-8-3-1"/>
        <s v="01-1-8-3-2"/>
        <s v="01-1-8-3-3"/>
        <s v="01-1-8-3-4"/>
        <s v="01-1-8-3-5"/>
        <s v="01-1-8-3-6"/>
        <s v="02-1-1-1-1"/>
        <s v="02-1-1-1-2"/>
        <s v="02-1-1-2-1"/>
        <s v="02-1-1-2-2"/>
        <s v="02-1-8-2-1"/>
        <s v="02-1-8-2-2"/>
        <s v="02-1-8-2-3"/>
        <s v="02-1-8-3-4"/>
        <s v="02-1-8-3-5"/>
        <s v="02-1-8-3-6"/>
        <s v="03-1-1-1-1"/>
        <s v="03-1-1-1-2"/>
        <s v="03-1-8-2-1"/>
        <s v="03-1-8-2-2"/>
        <s v="03-1-8-2-3"/>
        <s v="03-1-8-3-4"/>
        <s v="03-1-8-3-5"/>
        <s v="03-1-8-3-6"/>
        <s v="04-1-1-1-1"/>
        <s v="04-1-1-1-2"/>
        <s v="04-1-1-2-1"/>
        <s v="04-1-1-2-2"/>
        <s v="04-1-8-2-1"/>
        <s v="04-1-8-2-2"/>
        <s v="04-1-8-2-3"/>
        <s v="04-1-8-3-4"/>
        <s v="04-1-8-3-5"/>
        <s v="04-1-8-3-6"/>
        <s v="05-1-1-1-1"/>
        <s v="05-1-1-1-2"/>
        <s v="05-1-1-2-1"/>
        <s v="05-1-8-2-1"/>
        <s v="05-1-8-2-2"/>
        <s v="05-1-8-2-3"/>
        <s v="05-1-8-3-4"/>
        <s v="05-1-8-3-5"/>
        <s v="05-1-8-3-6"/>
        <s v="06-1-1-1-1"/>
        <s v="06-1-1-1-2"/>
        <s v="06-1-1-1-3"/>
        <s v="06-1-1-2-1"/>
        <s v="06-1-1-2-2"/>
        <s v="06-1-1-2-3"/>
        <s v="06-1-1-3-1"/>
        <s v="06-1-1-3-2"/>
        <s v="06-1-1-3-3"/>
        <s v="06-1-2-1-1"/>
        <s v="06-1-3-2-1"/>
        <s v="06-1-3-3-1"/>
        <s v="06-1-4-3-1"/>
        <s v="06-1-6-1-1"/>
        <s v="06-1-6-3-2"/>
        <s v="06-1-6-3-3"/>
        <s v="07-1-1-1-1"/>
        <s v="07-1-1-1-2"/>
        <s v="07-1-1-2-1"/>
        <s v="07-1-1-2-2"/>
        <s v="07-1-8-2-1"/>
        <s v="07-1-8-3-2"/>
        <s v="07-1-8-2-3"/>
        <s v="07-1-8-2-4"/>
        <s v="07-1-8-3-5"/>
        <s v="07-1-8-3-6"/>
        <s v="08-1-1-1-1"/>
        <s v="08-1-1-1-2"/>
        <s v="08-1-1-2-1"/>
        <s v="08-1-1-2-2"/>
        <s v="08-1-8-2-1"/>
        <s v="08-1-8-2-2"/>
        <s v="08-1-8-2-3"/>
        <s v="08-1-8-3-4"/>
        <s v="08-1-8-3-5"/>
        <s v="08-1-8-3-6"/>
        <m/>
      </sharedItems>
    </cacheField>
    <cacheField name="Partial_Id" numFmtId="0">
      <sharedItems containsString="0" containsBlank="1" containsNumber="1" containsInteger="1">
        <n v="1.0"/>
        <n v="2.0"/>
        <n v="3.0"/>
        <n v="4.0"/>
        <n v="5.0"/>
        <n v="6.0"/>
        <m/>
      </sharedItems>
    </cacheField>
    <cacheField name="Name" numFmtId="0">
      <sharedItems containsBlank="1">
        <s v="Spear"/>
        <s v="Pike"/>
        <s v="Magic Lance"/>
        <s v="Mace"/>
        <s v="Sledgehammer"/>
        <s v="The Greatmaul"/>
        <s v="Hand Axe"/>
        <s v="Battleaxe"/>
        <s v="Cleaver"/>
        <s v="Second Weapon"/>
        <s v="Dual Wielding"/>
        <s v="Parrying Dagger"/>
        <s v="Shield"/>
        <s v="Tower Shield"/>
        <s v="Shimmering Buckler"/>
        <s v="Twigbow"/>
        <s v="Extra Twigbow"/>
        <s v="Firecrackers"/>
        <s v="Bangbows"/>
        <s v="Weeerdbolt"/>
        <s v="Good Mojo"/>
        <s v="Wartex"/>
        <s v="Thunda"/>
        <s v="Madmaker"/>
        <s v="Pop"/>
        <s v="Rocks"/>
        <s v="Throwing Knives"/>
        <s v="Throwing Stars"/>
        <s v="Brace of Knives"/>
        <s v="Fly Cowards!"/>
        <s v="Pin Tails"/>
        <s v="Fester"/>
        <s v="Scamper"/>
        <s v="Field Promotion"/>
        <s v="Rattack Formation"/>
        <s v="Bone Knives"/>
        <s v="Bone Shortbow"/>
        <s v="Raise the Dead"/>
        <s v="Banshee's Wail"/>
        <s v="Furious Dead"/>
        <s v="Terrorbolt"/>
        <s v="Rattlebones"/>
        <s v="Corpse Explosion"/>
        <s v="Shortbow"/>
        <s v="Extra Shortbow"/>
        <s v="Longbow"/>
        <s v="Silkbow"/>
        <s v="Protective Cocoon"/>
        <s v="Poison Blood"/>
        <s v="Fatespin"/>
        <s v="Shapeweave"/>
        <s v="Silence"/>
        <s v="Envelop"/>
        <s v="Throwing Axes"/>
        <s v="Spare Throwing Axes"/>
        <s v="Javellins"/>
        <s v="Quill Spray"/>
        <s v="Transfuse"/>
        <s v="Ironspines"/>
        <s v="Vengeful Spirits"/>
        <s v="Battle Rage"/>
        <s v="Farspike"/>
        <s v="Musket"/>
        <s v="Extra Musket"/>
        <s v="Blunderbuss"/>
        <s v="Handcannon"/>
        <s v="Horsegun"/>
        <s v="Mine"/>
        <s v="Shieldbreaker"/>
        <s v="Thunderbolt"/>
        <s v="Grapeshot"/>
        <s v="Stakes"/>
        <s v="Rusting Hammer"/>
        <s v="Diamondcracker"/>
        <s v="Mechanical Axe"/>
        <s v="Pavise"/>
        <s v="Mobile Fortifications"/>
        <s v="Aegis"/>
        <s v="Grenade Launcher"/>
        <s v="Imperial Pistols"/>
        <s v="Shooting Star"/>
        <s v="Fireball"/>
        <s v="Wind Shield"/>
        <s v="Radiant Bolt"/>
        <s v="Elder's Glory"/>
        <s v="Convocation"/>
        <s v="Heavy Bow"/>
        <s v="Spare Bow"/>
        <s v="Greatbow"/>
        <s v="Snares"/>
        <s v="Slimeblooded"/>
        <s v="Scaly Skin"/>
        <s v="Scything Claws"/>
        <s v="Rearm"/>
        <s v="Envenom"/>
        <s v="Vilespines"/>
        <m/>
      </sharedItems>
    </cacheField>
    <cacheField name="Tier" numFmtId="0">
      <sharedItems containsString="0" containsBlank="1" containsNumber="1" containsInteger="1">
        <n v="1.0"/>
        <n v="2.0"/>
        <n v="3.0"/>
        <m/>
      </sharedItems>
    </cacheField>
    <cacheField name="Class" numFmtId="0">
      <sharedItems containsBlank="1">
        <s v="Spear"/>
        <s v="Blunt"/>
        <s v="Axe"/>
        <s v="Offhand"/>
        <s v="Shield"/>
        <s v="Ranged"/>
        <s v="Spell"/>
        <m/>
      </sharedItems>
    </cacheField>
    <cacheField name="Faction" numFmtId="0">
      <sharedItems containsBlank="1">
        <s v="Any"/>
        <s v="Gobbo"/>
        <s v="Ratkin"/>
        <s v="Boneborn"/>
        <s v="Silk Court"/>
        <s v="Redspines"/>
        <s v="Coppersand"/>
        <s v="Scaled Empire"/>
        <s v="Disciples"/>
        <m/>
      </sharedItems>
    </cacheField>
    <cacheField name="Cost" numFmtId="0">
      <sharedItems containsString="0" containsBlank="1" containsNumber="1" containsInteger="1">
        <n v="1.0"/>
        <n v="2.0"/>
        <n v="3.0"/>
        <n v="0.0"/>
        <m/>
      </sharedItems>
    </cacheField>
    <cacheField name="Casting Value" numFmtId="0">
      <sharedItems containsBlank="1">
        <m/>
        <s v="2+"/>
        <s v="4+"/>
        <s v="5+"/>
        <s v="3+"/>
      </sharedItems>
    </cacheField>
    <cacheField name="Spell Type" numFmtId="0">
      <sharedItems containsBlank="1">
        <m/>
        <s v="Attack"/>
        <s v="Buff"/>
        <s v="Move"/>
        <s v="Heal"/>
        <s v="Hex"/>
        <s v="Unique"/>
      </sharedItems>
    </cacheField>
    <cacheField name="Range">
      <sharedItems containsBlank="1" containsMixedTypes="1" containsNumber="1" containsInteger="1">
        <m/>
        <n v="3.0"/>
        <n v="2.0"/>
        <s v="Special"/>
        <n v="4.0"/>
        <s v="Infinite"/>
        <n v="1.0"/>
        <n v="0.0"/>
        <n v="6.0"/>
      </sharedItems>
    </cacheField>
    <cacheField name="Power" numFmtId="0">
      <sharedItems containsBlank="1">
        <s v="&lt;b&gt;Readied&lt;/b&gt; - Strikes first when charged in the front"/>
        <s v="&lt;b&gt;Readied&lt;/b&gt; - Strikes first when charged in the front&#10;&lt;b&gt;Charge Defense&lt;/b&gt; - When a unit moves into the square in front of this unit, this unit attacks them. They fight in combat as normal. This counts towards combat resolution."/>
        <s v="&lt;b&gt;Impact Hits d3&lt;/b&gt; - If you get a charge bonus, do d3 attacks hitting on 4+. These count towards who won combat."/>
        <s v="&lt;b&gt;AP 1&lt;/b&gt; - Reduce block rolls by 1"/>
        <s v="&lt;b&gt;AP 2&lt;/b&gt; - Reduce block rolls by 2."/>
        <s v="&lt;b&gt;Armourbane&lt;/b&gt; - Gain +1 to hit against units with at least 5 block.&#10;&lt;b&gt;AP 3&lt;/b&gt; - Reduce block rolls by 2.&#10;&lt;b&gt;Multiwound 2&lt;/b&gt; - Each hit does 2 wounds to a single model.&#10;&lt;b&gt;Slow&lt;/b&gt; - Strikes last in combat."/>
        <s v="&lt;b&gt;Multiwound 2&lt;/b&gt; - Each hit does 2 wounds to a single model"/>
        <s v="&lt;b&gt;Multiwound 3&lt;/b&gt; - Each hit does 3 wounds to a single model&#10;&lt;b&gt;AP 1&lt;/b&gt; - Reduce block rolls by 1"/>
        <s v="&lt;b&gt;Cleave&lt;/b&gt; - Each hit does 2 wounds that can be split across multiple models."/>
        <s v="&lt;b&gt;Offhand&lt;/b&gt; - Double the number of attacks. Can't equip a shield&#10;&lt;b&gt;Unwieldy&lt;/b&gt; - Your rolls to hit in melee are reduced by 1"/>
        <s v="&lt;b&gt;Offhand&lt;/b&gt; - Double the number of attacks. Can't equip a shield"/>
        <s v="&lt;b&gt;Offhand&lt;/b&gt; - Double the number of attacks. Can't equip a shield&#10;&lt;b&gt;Unwieldy&lt;/b&gt; - Your rolls to hit in melee are reduced by 1&#10;&lt;b&gt;Block 1&lt;/b&gt; - Improve the model's block by 1"/>
        <s v="&lt;b&gt;Block 1&lt;/b&gt; - Improve the model's block by 1"/>
        <s v="&lt;b&gt;Block 2&lt;/b&gt; - Improve the model's block by 2&#10;&lt;b&gt;Unwieldy&lt;/b&gt; - Your rolls to hit in melee are reduced by 1"/>
        <s v="&lt;b&gt;Uncanny Protection&lt;/b&gt; - Block may not be reduced beneath 5."/>
        <s v="&lt;b&gt;Range 3&lt;/b&gt; - Hits targets up to 3 squares away"/>
        <s v="&lt;b&gt;Range 2&lt;/b&gt; - Hits targets up to 2 squares away&#10;&lt;b&gt;Friendly Fire&lt;/b&gt; - Can fire into combat or at friendly units&#10;&lt;b&gt;Single Use&lt;/b&gt; - Can only be used once&#10;&lt;b&gt;Fire on the Move&lt;/b&gt; - Can be used after walking&#10;&lt;b&gt;Doubleshot&lt;/b&gt; - Fires twice"/>
        <s v="&lt;b&gt;Range 3&lt;/b&gt; - Hits targets up to 3 squares away&#10;&lt;b&gt;Random Wounds d3&lt;/b&gt; - Each hit does d3 wounds to a single model. Owner determines the order they are applied."/>
        <s v="&lt;b&gt;Spell&lt;/b&gt; - All parameters of this spell match the casting roll. Target unit within X takes X attacks hitting on X+. This must target a unit if possible. It may not target a unit in combat, but can target a friendly unit. It cannot target the caster. &#10;"/>
        <s v="&lt;b&gt;Spell&lt;/b&gt; - Target a friendly unit within 3, which can include the caster. This can target a unit in combat. The chosen unit rolls a d6 and gets the following effect:&#10;6 - +1 attack this turn&#10;5 - +1 to hit rolls this turn&#10;4 - +1 to block this turn&#10;3 - T"/>
        <s v="&lt;b&gt;Spell&lt;/b&gt; - Target a combat with at least one combatant in range 3. Roll a die for each model in combat, they take a hit on a 5+ with AP1. &#10;&lt;b&gt;Ranged Spell&lt;/b&gt; - Can't be cast while in combat."/>
        <s v="&lt;b&gt;Spell&lt;/b&gt; - Target a unit within 2. Any unit that is affected takes 3 attacks hitting on 5+. If any attacks hit (they can be blocked), the spell chains to a new unit that is adjacent to them. Repeat this process until either all attacks miss a unit, or"/>
        <s v="&lt;b&gt;Spell&lt;/b&gt; - Target a unit within 4 that is not in combat. It moves directly forward d3 spaces until it hits an obstacle or a board edge. They strike first this turn but lose the ability to block this turn.&#10;&lt;b&gt;Ranged Spell&lt;/b&gt; - Can't be cast while in c"/>
        <s v="&lt;b&gt;Spell&lt;/b&gt; - Target friendly unit within 3 becomes explosive this turn. This can target a unit in combat. They gain +1 attack per model, hit on 2+, AP4, and die at the end of this turn. They are considered explosive.&#10;&lt;b&gt;Ranged Spell&lt;/b&gt; - Can't be cast "/>
        <s v="&lt;b&gt;Range 2&lt;/b&gt; - Hits targets 2 squares away&#10;&lt;b&gt;Single Use&lt;/b&gt; - Can only be used once&#10;&lt;b&gt;Fire on the Move&lt;/b&gt; - Can be used after walking"/>
        <s v="&lt;b&gt;Range 2&lt;/b&gt; - Hits targets 2 squares away&#10;&lt;b&gt;Fire on the Move&lt;/b&gt; - Can be used after walking"/>
        <s v="&lt;b&gt;Range 2&lt;/b&gt; - Hits targets 2 squares away&#10;&lt;b&gt;Poison&lt;/b&gt; - 6s to hit can't be saved by armour&#10;&lt;b&gt;AP 1&lt;/b&gt; - Reduce block rolls by 1&#10;&lt;b&gt;Fire on the Move&lt;/b&gt; - Can be used after walking"/>
        <s v="&lt;b&gt;Range 2&lt;/b&gt; - Hits targets 2 squares away&#10;&lt;b&gt;Doubleshot&lt;/b&gt; - Fires twice&#10;&lt;b&gt;Unbalanced&lt;/b&gt; - Your rolls to hit at range are reduced by 1&#10;&lt;b&gt;Fire on the Move&lt;/b&gt; - Can be used after walking"/>
        <s v="&lt;b&gt;Spell&lt;/b&gt; - Target a friendly unit within 3. It moves back 1 square as a free action. This can cause a unit to leave combat."/>
        <s v="&lt;b&gt;Spell&lt;/b&gt; - Target a friendly unit within 4. It automatically passes fear tests and cannot move until your next turn. It can still rotate."/>
        <s v="&lt;b&gt;Spell&lt;/b&gt; - Target an enemy unit within 3. It takes 3 attacks hitting on 5+ with poison. This can't target a unit in combat.&#10;&lt;b&gt;Ranged Spell&lt;/b&gt; - Can't be cast while in combat."/>
        <s v="&lt;b&gt;Spell&lt;/b&gt; - Target a friendly unit within 3 in combat. Move it to the flank of a unit in the same combat, facing that unit."/>
        <s v="&lt;b&gt;Spell&lt;/b&gt; - Target a friendly unit within 2. It dies. Heal another friendly unit by the same number of wounds. This can resurrect models."/>
        <s v="&lt;b&gt;Spell&lt;/b&gt; - Target a friendly unit within 2. It immediately makes a full attack. It can still fight in combat.&#10;&lt;b&gt;Ranged Spell&lt;/b&gt; - Can't be cast while in combat."/>
        <s v="&lt;b&gt;Range 2&lt;/b&gt; - Hits targets up to 2 squares away"/>
        <s v="&lt;b&gt;Spell&lt;/b&gt; - Choose an undead unit in range 3 and heal 2 wounds. This can resurrect models. Limited to the starting number of units/wounds.&#10;&lt;b&gt;Cantrip&lt;/b&gt; - This does not count towards the limit of how many spells per turn&#10;&lt;b&gt;Ranged Spell&lt;/b&gt; - Can't be"/>
        <s v="&lt;b&gt;Spell&lt;/b&gt; - All enemy models in combat with the caster roll a flee dice. Any models that fail, take 1 wound. Any units that take at least 1 wound must roll to flee."/>
        <s v="&lt;b&gt;Spell&lt;/b&gt; - Target a friendly unit within 3 that is not in combat. They can take a second move action this turn."/>
        <s v="&lt;b&gt;Spell&lt;/b&gt; - Target an enemy unit within 3 that is not in combat. It takes one attack hitting on 2+ with AP2. If the target takes a wound, it must roll to flee.&#10;&lt;b&gt;Ranged Spell&lt;/b&gt; - Can't be cast while in combat."/>
        <s v="&lt;b&gt;Spell&lt;/b&gt; - Target a friendly unit within 3. This turn it may reroll block rolls, and block rolls always succeed on a 5+."/>
        <s v="&lt;b&gt;Spell&lt;/b&gt; - Target an enemy unit in combat. After all combats have been resolved this turn, the unit suffers a ranged hit for each model (friendly and enemy) that died in the combat, hitting on 4+.&#10;&lt;b&gt;Ranged Spell&lt;/b&gt; - Can't be cast while in combat."/>
        <s v="&lt;b&gt;Range 4&lt;/b&gt; - Hits targets up to 4 squares away"/>
        <s v="&lt;b&gt;Range 3&lt;/b&gt; - Hits targets up to 3 squares away&#10;&lt;b&gt;Fire on the Move&lt;/b&gt; - Can be used after walking"/>
        <s v="&lt;b&gt;Spell&lt;/b&gt; - Target a friendly unit in combat within 2. Until your next turn, it gains a 1+ save (rolls of 1 still wound), can't move, can't attack, and ignores flee rolls."/>
        <s v="&lt;b&gt;Spell&lt;/b&gt; - Target a friendly unit within 2. Until your next turn, it gains poison blood. For every melee attack that hits the unit (does not need to wound), return an attack that hits on 6 with poison."/>
        <s v="&lt;b&gt;Spell&lt;/b&gt; - Replace the next die you roll with a 6."/>
        <s v="&lt;b&gt;Spell&lt;/b&gt; - Target a friendly unit within 3. Remove the unit from the board. At the start of your next turn, place them on any board edge. They may not take an action this turn, but can fight in combat.&#10;&lt;b&gt;Ranged Spell&lt;/b&gt; - Can't be cast while in comb"/>
        <s v="&lt;b&gt;Spell&lt;/b&gt; - Target an enemy unit within 3. It loses all perks (including weapon perks) until your next turn.&#10;&lt;b&gt;Ranged Spell&lt;/b&gt; - Can't be cast while in combat."/>
        <s v="&lt;b&gt;Spell&lt;/b&gt; - Target an enemy unit within 3. Until your next turn it may not take an action. It can still fight in combat.&#10;&lt;b&gt;Ranged Spell&lt;/b&gt; - Can't be cast while in combat."/>
        <s v="&lt;b&gt;Range 2&lt;/b&gt; - Hits targets 2 squares away&#10;&lt;b&gt;Fire on the Move&lt;/b&gt; - Can be used after walking&#10;&lt;b&gt;Friendly Fire&lt;/b&gt; - Can fire into combat or at friendly units"/>
        <s v="&lt;b&gt;Spell&lt;/b&gt; - Target an enemy unit in this unit's flank or rear. It takes 4 attacks hitting on 3+. This can target a unit in combat."/>
        <s v="&lt;b&gt;Spell&lt;/b&gt; - Target an enemy unit in the same combat. It takes 2 attacks hitting on 3+ and AP1. For each wound dealt, heal a friendly unit in range 2 by 1. This can ressurect models. May target the caster.&#10;&lt;b&gt;Combat Spell&lt;/b&gt; - May only be cast while in"/>
        <s v="&lt;b&gt;Spell&lt;/b&gt; - Target a friendly unit in range 2 with Vengence. Until your next turn, it gets +1 block and whenever it blocks, it doesn't take a wound. May target the caster."/>
        <s v="&lt;b&gt;Spell&lt;/b&gt; - Target a friendly unit in range 2. Until your next turn, dead models in the unit roll to attack. If the unit is wiped out in combat, it can still make its attacks. Treat the unit as full strength for fear checks."/>
        <s v="&lt;b&gt;Spell&lt;/b&gt; - Gain 3 attacks, +1 to hit, AP1, and Multiwound 2 this turn.&#10;&lt;b&gt;Combat Spell&lt;/b&gt; - May only be cast while in combat."/>
        <s v="&lt;b&gt;Spell&lt;/b&gt; - Until the start of your next turn, when a friendly unit blocks a ranged attack or a spell, the shooter/caster takes 2 wounds."/>
        <s v="&lt;b&gt;Range 2&lt;/b&gt; - Hits targets up to 2 squares away&#10;&lt;b&gt;Scattershot&lt;/b&gt; - May hit a second target in an adjacent firing line"/>
        <s v="&lt;b&gt;Range 3&lt;/b&gt; - Hits targets up to 3 squares away&#10;&lt;b&gt;AP 1&lt;/b&gt; - Reduce block rolls by 1"/>
        <s v="&lt;b&gt;Range 3&lt;/b&gt; - Hits targets up to 3 squares away&#10;&lt;b&gt;Cripple&lt;/b&gt; - Targets that take 1 or more wounds may move a maximum of 1 square until your next turn."/>
        <s v="&lt;b&gt;Sidearm&lt;/b&gt; - Can be equipped alongside another ranged weapon&#10;&lt;b&gt;Single Use&lt;/b&gt; - Can only be used once&#10;&lt;b&gt;Mine&lt;/b&gt; - Place a mine on any empty square in range 2. The first unit to enter that tile takes d6 attacks hitting on 2+ with AP2."/>
        <s v="&lt;b&gt;Range 3&lt;/b&gt; - Hits targets up to 3 squares away&#10;&lt;b&gt;AP 1&lt;/b&gt; - Reduce block rolls by 1&#10;&lt;b&gt;Shieldbreaker&lt;/b&gt; - If a target equipped with a shield takes damage from this, destroy the shield."/>
        <s v="&lt;b&gt;Range 3&lt;/b&gt; - Hits targets up to 3 squares away&#10;&lt;b&gt;Foe Piercing&lt;/b&gt; - May also attack a unit within range directly behind the target, hitting with a -1 penalty."/>
        <s v="&lt;b&gt;Range 2&lt;/b&gt; - Hits targets up to 3 squares away&#10;&lt;b&gt;Scattershot&lt;/b&gt; - May hit a target in each firing line"/>
        <s v="&lt;b&gt;Deployed&lt;/b&gt; - Reveal this when an enemy unit moves in front of this unit. Each model in the unit is hit on a 5+. These wounds count to combat resolution.&#10;&lt;b&gt;Single Use&lt;/b&gt; - Can only be used once"/>
        <s v="&lt;b&gt;AP 1&lt;/b&gt; - Reduce block rolls by 4.&#10;&lt;b&gt;Armourbane&lt;/b&gt; - Gain +1 to hit against units with at least 5 block."/>
        <s v="&lt;b&gt;AP 6&lt;/b&gt; - Reduce block rolls by 6."/>
        <s v="&lt;b&gt;Multiwound d6&lt;/b&gt; - Each hit does d6 wounds to a single model. Roll and apply hits one at a time."/>
        <s v="&lt;b&gt;Ranged Block 2&lt;/b&gt; - Improve the model's block by 2, unless in combat"/>
        <s v="&lt;b&gt;Block 3&lt;/b&gt; - Improve the model's block by 3&#10;&lt;b&gt;Extremely Unwieldy&lt;/b&gt; - This unit's rolls to hit in combat and at range only succeed on a 6.&#10;&lt;b&gt;Immobile&lt;/b&gt; - If the unit moves while this is revealed, destroy this item."/>
        <s v="&lt;b&gt;Block 1&lt;/b&gt; - Improve the model's block by 1&#10;&lt;b&gt;Fighting Chance&lt;/b&gt; - Ignore all wounds that do not allow an a block save (e.g. poison)"/>
        <s v="&lt;b&gt;Range 3&lt;/b&gt; - Hits targets up to 3 squares away&#10;&lt;b&gt;AP 2&lt;/b&gt; - Reduce block rolls by 2"/>
        <s v="&lt;b&gt;Range 2&lt;/b&gt; - Hits targets up to 2 squares away&#10;&lt;b&gt;Quickfire&lt;/b&gt; - Can be fired while in combat. Wounds done this way contribute to who won combat."/>
        <s v="&lt;b&gt;Spell&lt;/b&gt; - Target an enemy unit within 3. It takes 3 attacks hitting on 4+ with AP 1. This can't target a unit in combat.&#10;&lt;b&gt;Ranged Spell&lt;/b&gt; - Can't be cast while in combat."/>
        <s v="&lt;b&gt;Spell&lt;/b&gt; - Pick a target square within 6 and roll a die. &#10;4, 5 or 6 - Direct hit&#10;3 - Off by one, your choice&#10;2 - Miss&#10;1 - Off by up to two, opponent's choice &#10;5 attacks on 4+, AP 1&#10;&lt;b&gt;Ranged Spell&lt;/b&gt; - Can't be cast while in combat."/>
        <s v="&lt;b&gt;Spell&lt;/b&gt; - Target a friendly unit within 3. That unit and any friendly units in its flanks gain a +2 bonus to block against ranged weapons."/>
        <s v="&lt;b&gt;Spell&lt;/b&gt; - Target an enemy unit within 4. It takes 1 hit with no armour saves allowed. Can't target a unit in combat."/>
        <s v="&lt;b&gt;Spell&lt;/b&gt; - Target a friendly unit within 2. Until your next turn, it can reroll missed hits in melee."/>
        <s v="&lt;b&gt;Spell&lt;/b&gt; - Each friendly unit may immediately move one square towards the caster without changing their facing. This can cause them to move backwards or sidestep. This can cause them to leave combat."/>
        <s v="&lt;b&gt;Range 3&lt;/b&gt; - Hits targets up to 3 squares away&#10;&lt;b&gt;Multiwound 2&lt;/b&gt; - Each hit does 2 wounds to a single model"/>
        <s v="&lt;b&gt;Range 2&lt;/b&gt; - Hits targets up to 2 squares away&#10;&lt;b&gt;Snare&lt;/b&gt; - Targets that take 1 or more wounds may not move on their next turn. They may still turn and act."/>
        <s v="&lt;b&gt;Spell&lt;/b&gt; - Target a friendly unit within range 2. Until your next turn, it gains &lt;b&gt;Eager Regeneration 1&lt;/b&gt; - Heal 1 at the start of each player's turn. This may not ressurect models.&#10;&#10;&lt;b&gt;Graft&lt;/b&gt; - If this is successfully cast again, it is removed "/>
        <s v="&lt;b&gt;Spell&lt;/b&gt; - Target a friendly unit within range 2. Until your next turn, it ignores Multiwound. Improve block by 1.&#10;&#10;&lt;b&gt;Graft&lt;/b&gt; - If this is successfully cast again, it is removed from the effected unit."/>
        <s v="&lt;b&gt;Spell&lt;/b&gt; - Target a friendly unit within range 2. Until your next turn, it gains &lt;b&gt;Multiwound 2&lt;/b&gt; - Each hit does 2 wounds to a single model, and &lt;b&gt;AP 1&lt;/b&gt; - Reduce block rolls by 1.&#10;&#10;&lt;b&gt;Graft&lt;/b&gt; - If this is successfully cast again, it is remov"/>
        <s v="&lt;b&gt;Spell&lt;/b&gt; - Target a friendly unit within range 2. Until your next turn, it makes a total of 9 attacks in combat, which can't be changed. The unit automatically flees from combat.&#10;&#10;&lt;b&gt;Graft&lt;/b&gt; - If this is successfully cast again, it is removed from t"/>
        <s v="&lt;b&gt;Spell&lt;/b&gt; - Target a friendly unit within range 2. Until your next turn, it gains &lt;b&gt;Aggressive Poison&lt;/b&gt; - 5s and 6s to hit can't be saved. Has no affect if the attack misses.&#10;&#10;&lt;b&gt;Graft&lt;/b&gt; - If this is successfully cast again, it is removed from the"/>
        <s v="&lt;b&gt;Spell&lt;/b&gt; - Target a friendly unit within range 2. Until your next turn, when this unit blocks in combat, the unit that attacked it takes the wounds instead.&#10;&#10;&lt;b&gt;Graft&lt;/b&gt; - If this is successfully cast again, it is removed from the effected unit."/>
        <m/>
      </sharedItems>
    </cacheField>
    <cacheField name="Image" numFmtId="0">
      <sharedItems containsBlank="1">
        <s v="./assets/weapons/1/spear.png"/>
        <s v="./assets/weapons/2/spear.png"/>
        <s v="./assets/weapons/3/spear.png"/>
        <s v="./assets/weapons/1/blunt.png"/>
        <s v="./assets/weapons/2/blunt.png"/>
        <s v="./assets/weapons/3/blunt.png"/>
        <s v="./assets/weapons/1/axe.png"/>
        <s v="./assets/weapons/2/axe.png"/>
        <s v="./assets/weapons/3/axe.png"/>
        <s v="./assets/weapons/1/offhand.png"/>
        <s v="./assets/weapons/2/offhand.png"/>
        <s v="./assets/weapons/3/offhand.png"/>
        <s v="./assets/weapons/1/shield.png"/>
        <s v="./assets/weapons/2/shield.png"/>
        <s v="./assets/weapons/3/shield.png"/>
        <s v="./assets/weapons/1/ranged.png"/>
        <s v="./assets/weapons/2/ranged.png"/>
        <s v="./assets/weapons/3/spell.png"/>
        <s v="./assets/weapons/2/spell.png"/>
        <s v="./assets/weapons/3/ranged.png"/>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Viewer" cacheId="0" dataCaption="" compact="0" compactData="0">
  <location ref="A4:D13" firstHeaderRow="0" firstDataRow="2" firstDataCol="0" rowPageCount="2" colPageCount="1"/>
  <pivotFields>
    <pivotField name="Id" compact="0" outline="0" multipleItemSelectionAllowed="1" showAll="0">
      <items>
        <item x="0"/>
        <item x="1"/>
        <item x="2"/>
        <item x="3"/>
        <item x="4"/>
        <item x="5"/>
        <item x="6"/>
        <item x="7"/>
        <item x="8"/>
        <item x="9"/>
        <item t="default"/>
      </items>
    </pivotField>
    <pivotField name="Faction" axis="axisRow" compact="0" outline="0" multipleItemSelectionAllowed="1" showAll="0" sortType="ascending">
      <items>
        <item x="9"/>
        <item x="2"/>
        <item x="5"/>
        <item x="7"/>
        <item x="0"/>
        <item x="1"/>
        <item x="4"/>
        <item x="6"/>
        <item x="3"/>
        <item x="8"/>
        <item t="default"/>
      </items>
    </pivotField>
    <pivotField name="Tier" axis="axisPage" compact="0" outline="0" multipleItemSelectionAllowed="1" showAll="0">
      <items>
        <item h="1" x="0"/>
        <item h="1" x="1"/>
        <item h="1" x="2"/>
        <item x="3"/>
        <item h="1" x="4"/>
        <item t="default"/>
      </items>
    </pivotField>
    <pivotField name="Units" axis="axisPage" compact="0" outline="0" multipleItemSelectionAllowed="1" showAll="0">
      <items>
        <item x="0"/>
        <item x="1"/>
        <item h="1" x="2"/>
        <item x="3"/>
        <item h="1" x="4"/>
        <item h="1" x="5"/>
        <item t="default"/>
      </items>
    </pivotField>
    <pivotField name="Warriors" compact="0" outline="0" multipleItemSelectionAllowed="1" showAll="0">
      <items>
        <item x="0"/>
        <item x="1"/>
        <item x="2"/>
        <item t="default"/>
      </items>
    </pivotField>
    <pivotField name="Archers" compact="0" outline="0" multipleItemSelectionAllowed="1" showAll="0">
      <items>
        <item x="0"/>
        <item x="1"/>
        <item x="2"/>
        <item t="default"/>
      </items>
    </pivotField>
    <pivotField name="Chaff" compact="0" outline="0" multipleItemSelectionAllowed="1" showAll="0">
      <items>
        <item x="0"/>
        <item x="1"/>
        <item x="2"/>
        <item t="default"/>
      </items>
    </pivotField>
    <pivotField name="Infantry" compact="0" outline="0" multipleItemSelectionAllowed="1" showAll="0">
      <items>
        <item x="0"/>
        <item x="1"/>
        <item x="2"/>
        <item x="3"/>
        <item t="default"/>
      </items>
    </pivotField>
    <pivotField name="Heavy Infantry" compact="0" outline="0" multipleItemSelectionAllowed="1" showAll="0">
      <items>
        <item x="0"/>
        <item x="1"/>
        <item x="2"/>
        <item x="3"/>
        <item t="default"/>
      </items>
    </pivotField>
    <pivotField name="Attack Infantry" compact="0" outline="0" multipleItemSelectionAllowed="1" showAll="0">
      <items>
        <item x="0"/>
        <item x="1"/>
        <item t="default"/>
      </items>
    </pivotField>
    <pivotField name="Fast Infantry" compact="0" outline="0" multipleItemSelectionAllowed="1" showAll="0">
      <items>
        <item x="0"/>
        <item x="1"/>
        <item x="2"/>
        <item t="default"/>
      </items>
    </pivotField>
    <pivotField name="Light Cavalry" compact="0" outline="0" multipleItemSelectionAllowed="1" showAll="0">
      <items>
        <item x="0"/>
        <item x="1"/>
        <item x="2"/>
        <item t="default"/>
      </items>
    </pivotField>
    <pivotField name="Heavy Cavalry" compact="0" outline="0" multipleItemSelectionAllowed="1" showAll="0">
      <items>
        <item x="0"/>
        <item t="default"/>
      </items>
    </pivotField>
    <pivotField name="Chariot" compact="0" outline="0" multipleItemSelectionAllowed="1" showAll="0">
      <items>
        <item x="0"/>
        <item x="1"/>
        <item t="default"/>
      </items>
    </pivotField>
    <pivotField name="Flyer" compact="0" outline="0" multipleItemSelectionAllowed="1" showAll="0">
      <items>
        <item x="0"/>
        <item x="1"/>
        <item x="2"/>
        <item t="default"/>
      </items>
    </pivotField>
    <pivotField name="Monster" compact="0" outline="0" multipleItemSelectionAllowed="1" showAll="0">
      <items>
        <item x="0"/>
        <item x="1"/>
        <item x="2"/>
        <item x="3"/>
        <item t="default"/>
      </items>
    </pivotField>
    <pivotField name="War Machine" compact="0" outline="0" multipleItemSelectionAllowed="1" showAll="0">
      <items>
        <item x="0"/>
        <item x="1"/>
        <item x="2"/>
        <item t="default"/>
      </items>
    </pivotField>
    <pivotField name="Attack Mage" compact="0" outline="0" multipleItemSelectionAllowed="1" showAll="0">
      <items>
        <item x="0"/>
        <item x="1"/>
        <item t="default"/>
      </items>
    </pivotField>
    <pivotField name="Support Mage" compact="0" outline="0" multipleItemSelectionAllowed="1" showAll="0">
      <items>
        <item x="0"/>
        <item x="1"/>
        <item x="2"/>
        <item x="3"/>
        <item t="default"/>
      </items>
    </pivotField>
    <pivotField name="Unique" compact="0" outline="0" multipleItemSelectionAllowed="1" showAll="0">
      <items>
        <item x="0"/>
        <item x="1"/>
        <item x="2"/>
        <item x="3"/>
        <item t="default"/>
      </items>
    </pivotField>
    <pivotField name="Mage Hero" compact="0" outline="0" multipleItemSelectionAllowed="1" showAll="0">
      <items>
        <item x="0"/>
        <item x="1"/>
        <item x="2"/>
        <item t="default"/>
      </items>
    </pivotField>
    <pivotField name="Hybrid Mage Hero" compact="0" outline="0" multipleItemSelectionAllowed="1" showAll="0">
      <items>
        <item x="0"/>
        <item x="1"/>
        <item t="default"/>
      </items>
    </pivotField>
    <pivotField name="Support Hero" compact="0" outline="0" multipleItemSelectionAllowed="1" showAll="0">
      <items>
        <item x="0"/>
        <item x="1"/>
        <item t="default"/>
      </items>
    </pivotField>
    <pivotField name="Warrior Hero" compact="0" outline="0" multipleItemSelectionAllowed="1" showAll="0">
      <items>
        <item x="0"/>
        <item x="1"/>
        <item x="2"/>
        <item t="default"/>
      </items>
    </pivotField>
    <pivotField name="Monster Hero" compact="0" outline="0" multipleItemSelectionAllowed="1" showAll="0">
      <items>
        <item x="0"/>
        <item x="1"/>
        <item x="2"/>
        <item t="default"/>
      </items>
    </pivotField>
    <pivotField name="Cav Hero" compact="0" outline="0" multipleItemSelectionAllowed="1" showAll="0">
      <items>
        <item x="0"/>
        <item x="1"/>
        <item t="default"/>
      </items>
    </pivotField>
    <pivotField name="War Machine Hero" compact="0" outline="0" multipleItemSelectionAllowed="1" showAll="0">
      <items>
        <item x="0"/>
        <item x="1"/>
        <item t="default"/>
      </items>
    </pivotField>
    <pivotField name="Archer Hero" compact="0" outline="0" multipleItemSelectionAllowed="1" showAll="0">
      <items>
        <item x="0"/>
        <item x="1"/>
        <item t="default"/>
      </items>
    </pivotField>
    <pivotField name="Unique Hero" compact="0" outline="0" multipleItemSelectionAllowed="1" showAll="0">
      <items>
        <item x="0"/>
        <item x="1"/>
        <item t="default"/>
      </items>
    </pivotField>
    <pivotField name="All Infantry" compact="0" outline="0" multipleItemSelectionAllowed="1" showAll="0">
      <items>
        <item x="0"/>
        <item x="1"/>
        <item x="2"/>
        <item x="3"/>
        <item x="4"/>
        <item x="5"/>
        <item x="6"/>
        <item x="7"/>
        <item x="8"/>
        <item t="default"/>
      </items>
    </pivotField>
    <pivotField name="All Mobile" compact="0" outline="0" multipleItemSelectionAllowed="1" showAll="0">
      <items>
        <item x="0"/>
        <item x="1"/>
        <item t="default"/>
      </items>
    </pivotField>
    <pivotField name="All Ranged" compact="0" outline="0" multipleItemSelectionAllowed="1" showAll="0">
      <items>
        <item x="0"/>
        <item x="1"/>
        <item x="2"/>
        <item x="3"/>
        <item x="4"/>
        <item x="5"/>
        <item t="default"/>
      </items>
    </pivotField>
    <pivotField name="All Other" compact="0" outline="0" multipleItemSelectionAllowed="1" showAll="0">
      <items>
        <item x="0"/>
        <item x="1"/>
        <item x="2"/>
        <item x="3"/>
        <item x="4"/>
        <item x="5"/>
        <item x="6"/>
        <item t="default"/>
      </items>
    </pivotField>
    <pivotField name="C1" compact="0" outline="0" multipleItemSelectionAllowed="1" showAll="0">
      <items>
        <item x="0"/>
        <item x="1"/>
        <item x="2"/>
        <item x="3"/>
        <item t="default"/>
      </items>
    </pivotField>
    <pivotField name="C2" compact="0" outline="0" multipleItemSelectionAllowed="1" showAll="0">
      <items>
        <item x="0"/>
        <item x="1"/>
        <item x="2"/>
        <item x="3"/>
        <item x="4"/>
        <item t="default"/>
      </items>
    </pivotField>
    <pivotField name="C3" compact="0" outline="0" multipleItemSelectionAllowed="1" showAll="0">
      <items>
        <item x="0"/>
        <item x="1"/>
        <item x="2"/>
        <item x="3"/>
        <item t="default"/>
      </items>
    </pivotField>
    <pivotField name="AC /" compact="0" outline="0" multipleItemSelectionAllowed="1" showAll="0">
      <items>
        <item x="0"/>
        <item x="1"/>
        <item x="2"/>
        <item x="3"/>
        <item x="4"/>
        <item x="5"/>
        <item t="default"/>
      </items>
    </pivotField>
    <pivotField name="AC 6" compact="0" outline="0" multipleItemSelectionAllowed="1" showAll="0">
      <items>
        <item x="0"/>
        <item x="1"/>
        <item x="2"/>
        <item x="3"/>
        <item x="4"/>
        <item x="5"/>
        <item x="6"/>
        <item x="7"/>
        <item t="default"/>
      </items>
    </pivotField>
    <pivotField name="AC 5" compact="0" outline="0" multipleItemSelectionAllowed="1" showAll="0">
      <items>
        <item x="0"/>
        <item x="1"/>
        <item x="2"/>
        <item x="3"/>
        <item x="4"/>
        <item x="5"/>
        <item x="6"/>
        <item x="7"/>
        <item x="8"/>
        <item x="9"/>
        <item x="10"/>
        <item x="11"/>
        <item t="default"/>
      </items>
    </pivotField>
    <pivotField name="AC 4" compact="0" outline="0" multipleItemSelectionAllowed="1" showAll="0">
      <items>
        <item x="0"/>
        <item x="1"/>
        <item x="2"/>
        <item x="3"/>
        <item x="4"/>
        <item x="5"/>
        <item t="default"/>
      </items>
    </pivotField>
    <pivotField name="AC 3" compact="0" outline="0" multipleItemSelectionAllowed="1" showAll="0">
      <items>
        <item x="0"/>
        <item x="1"/>
        <item x="2"/>
        <item t="default"/>
      </items>
    </pivotField>
    <pivotField name="M2+" dataField="1" compact="0" outline="0" multipleItemSelectionAllowed="1" showAll="0">
      <items>
        <item x="0"/>
        <item x="1"/>
        <item x="2"/>
        <item x="3"/>
        <item x="4"/>
        <item x="5"/>
        <item x="6"/>
        <item x="7"/>
        <item t="default"/>
      </items>
    </pivotField>
    <pivotField name="Maneuve." compact="0" outline="0" multipleItemSelectionAllowed="1" showAll="0">
      <items>
        <item x="0"/>
        <item t="default"/>
      </items>
    </pivotField>
    <pivotField name="Avg HP"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HP 2+" compact="0" outline="0" multipleItemSelectionAllowed="1" showAll="0">
      <items>
        <item x="0"/>
        <item x="1"/>
        <item x="2"/>
        <item x="3"/>
        <item x="4"/>
        <item x="5"/>
        <item x="6"/>
        <item x="7"/>
        <item t="default"/>
      </items>
    </pivotField>
    <pivotField name="HP 3+" compact="0" outline="0" multipleItemSelectionAllowed="1" showAll="0">
      <items>
        <item x="0"/>
        <item x="1"/>
        <item x="2"/>
        <item x="3"/>
        <item x="4"/>
        <item x="5"/>
        <item x="6"/>
        <item x="7"/>
        <item x="8"/>
        <item x="9"/>
        <item x="10"/>
        <item t="default"/>
      </items>
    </pivotField>
    <pivotField name="Avg Total HP"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vg EHP"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Avg Hit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None" compact="0" outline="0" multipleItemSelectionAllowed="1" showAll="0">
      <items>
        <item x="0"/>
        <item t="default"/>
      </items>
    </pivotField>
  </pivotFields>
  <rowFields>
    <field x="1"/>
  </rowFields>
  <colFields>
    <field x="-2"/>
  </colFields>
  <pageFields>
    <pageField fld="2"/>
    <pageField fld="3"/>
  </pageFields>
  <dataFields>
    <dataField name="SUM of Avg EHP" fld="47" showDataAs="percentOfCol" baseField="0" numFmtId="10"/>
    <dataField name="SUM of Avg Hits" fld="48" showDataAs="percentOfCol" baseField="0" numFmtId="10"/>
    <dataField name="SUM of M2+" fld="41" showDataAs="percentOfCol" baseField="0" numFmtId="10"/>
  </dataFields>
</pivotTableDefinition>
</file>

<file path=xl/pivotTables/pivotTable2.xml><?xml version="1.0" encoding="utf-8"?>
<pivotTableDefinition xmlns="http://schemas.openxmlformats.org/spreadsheetml/2006/main" name="Viewer 2" cacheId="1" dataCaption="" compact="0" compactData="0">
  <location ref="A20:H29" firstHeaderRow="0" firstDataRow="1" firstDataCol="1" rowPageCount="1" colPageCount="1"/>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name="Partial_Id" compact="0" outline="0" multipleItemSelectionAllowed="1" showAll="0">
      <items>
        <item x="0"/>
        <item x="1"/>
        <item x="2"/>
        <item x="3"/>
        <item x="4"/>
        <item x="5"/>
        <item x="6"/>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name="Tier" compact="0" outline="0" multipleItemSelectionAllowed="1" showAll="0">
      <items>
        <item x="0"/>
        <item x="1"/>
        <item x="2"/>
        <item x="3"/>
        <item t="default"/>
      </items>
    </pivotField>
    <pivotField name="Class" axis="axisPage" compact="0" outline="0" multipleItemSelectionAllowed="1" showAll="0">
      <items>
        <item h="1" x="0"/>
        <item h="1" x="1"/>
        <item h="1" x="2"/>
        <item h="1" x="3"/>
        <item h="1" x="4"/>
        <item h="1" x="5"/>
        <item x="6"/>
        <item h="1" x="7"/>
        <item t="default"/>
      </items>
    </pivotField>
    <pivotField name="Faction" axis="axisRow" compact="0" outline="0" multipleItemSelectionAllowed="1" showAll="0" sortType="ascending">
      <items>
        <item x="9"/>
        <item x="0"/>
        <item x="3"/>
        <item x="6"/>
        <item x="8"/>
        <item x="1"/>
        <item x="2"/>
        <item x="5"/>
        <item x="7"/>
        <item x="4"/>
        <item t="default"/>
      </items>
    </pivotField>
    <pivotField name="Cost" compact="0" outline="0" multipleItemSelectionAllowed="1" showAll="0">
      <items>
        <item x="0"/>
        <item x="1"/>
        <item x="2"/>
        <item x="3"/>
        <item x="4"/>
        <item t="default"/>
      </items>
    </pivotField>
    <pivotField name="Casting Value" compact="0" outline="0" multipleItemSelectionAllowed="1" showAll="0">
      <items>
        <item x="0"/>
        <item x="1"/>
        <item x="2"/>
        <item x="3"/>
        <item x="4"/>
        <item t="default"/>
      </items>
    </pivotField>
    <pivotField name="Spell Type" axis="axisCol" compact="0" outline="0" multipleItemSelectionAllowed="1" showAll="0" sortType="ascending">
      <items>
        <item x="0"/>
        <item x="1"/>
        <item x="2"/>
        <item x="4"/>
        <item x="5"/>
        <item x="3"/>
        <item x="6"/>
        <item t="default"/>
      </items>
    </pivotField>
    <pivotField name="Range" compact="0" outline="0" multipleItemSelectionAllowed="1" showAll="0">
      <items>
        <item x="0"/>
        <item x="1"/>
        <item x="2"/>
        <item x="3"/>
        <item x="4"/>
        <item x="5"/>
        <item x="6"/>
        <item x="7"/>
        <item x="8"/>
        <item t="default"/>
      </items>
    </pivotField>
    <pivotField name="Pow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Image"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s>
  <rowFields>
    <field x="5"/>
  </rowFields>
  <colFields>
    <field x="8"/>
  </colFields>
  <pageFields>
    <pageField fld="4"/>
  </pageFields>
  <dataFields>
    <dataField name="COUNTA of Id" fld="0" subtotal="count" baseField="0"/>
  </dataFields>
</pivotTableDefinition>
</file>

<file path=xl/tables/table1.xml><?xml version="1.0" encoding="utf-8"?>
<table xmlns="http://schemas.openxmlformats.org/spreadsheetml/2006/main" ref="A1:AY175" displayName="Table1" name="Table1" id="2">
  <autoFilter ref="$A$1:$AY$175">
    <filterColumn colId="4">
      <filters blank="1">
        <filter val="Boneborn"/>
        <filter val="Slimes"/>
        <filter val="Castaways"/>
      </filters>
    </filterColumn>
    <filterColumn colId="8">
      <filters blank="1">
        <filter val="1"/>
        <filter val="2"/>
      </filters>
    </filterColumn>
    <filterColumn colId="3">
      <filters>
        <filter val="TRUE"/>
      </filters>
    </filterColumn>
  </autoFilter>
  <tableColumns count="51">
    <tableColumn name="Id" id="1"/>
    <tableColumn name="Name" id="2"/>
    <tableColumn name="Unit" id="3"/>
    <tableColumn name="Include" id="4"/>
    <tableColumn name="Faction" id="5"/>
    <tableColumn name="Class" id="6"/>
    <tableColumn name="Comparison Class" id="7"/>
    <tableColumn name="Base Block" id="8"/>
    <tableColumn name="Tier" id="9"/>
    <tableColumn name="Cost" id="10"/>
    <tableColumn name="Equips" id="11"/>
    <tableColumn name="Number" id="12"/>
    <tableColumn name="Movement" id="13"/>
    <tableColumn name="Melee Hit" id="14"/>
    <tableColumn name="Ranged Hit" id="15"/>
    <tableColumn name="Attacks" id="16"/>
    <tableColumn name="HP" id="17"/>
    <tableColumn name="Block" id="18"/>
    <tableColumn name="Powers" id="19"/>
    <tableColumn name="TCR" id="20"/>
    <tableColumn name="Example Equip Powers" id="21"/>
    <tableColumn name="SNCPS" id="22"/>
    <tableColumn name="Spells" id="23"/>
    <tableColumn name="Banners" id="24"/>
    <tableColumn name="Spears" id="25"/>
    <tableColumn name="Axes" id="26"/>
    <tableColumn name="Clubs" id="27"/>
    <tableColumn name="Offhand" id="28"/>
    <tableColumn name="Shields" id="29"/>
    <tableColumn name="Ranged" id="30"/>
    <tableColumn name="Move Colour" id="31"/>
    <tableColumn name="Melee Colour" id="32"/>
    <tableColumn name="Ranged Colour" id="33"/>
    <tableColumn name="Attacks Colour" id="34"/>
    <tableColumn name="HP Colour" id="35"/>
    <tableColumn name="Block Colour" id="36"/>
    <tableColumn name="L1 Colour" id="37"/>
    <tableColumn name="L2 Colour" id="38"/>
    <tableColumn name="L1 Text Colour" id="39"/>
    <tableColumn name="L2 Text Colour" id="40"/>
    <tableColumn name="Faction Icon" id="41"/>
    <tableColumn name="Min Speed" id="42"/>
    <tableColumn name="Total Wounds" id="43"/>
    <tableColumn name="Predicted Hits to Kill" id="44"/>
    <tableColumn name="EAPM" id="45"/>
    <tableColumn name="EAPR" id="46"/>
    <tableColumn name="Poison Mult" id="47"/>
    <tableColumn name="Ret Bonus" id="48"/>
    <tableColumn name="Predicted Hits per Round" id="49"/>
    <tableColumn name="Base Score" id="50"/>
    <tableColumn name="Exclude From Averages" id="51"/>
  </tableColumns>
  <tableStyleInfo name="Units-style" showColumnStripes="0" showFirstColumn="1" showLastColumn="1" showRowStripes="1"/>
</table>
</file>

<file path=xl/tables/table2.xml><?xml version="1.0" encoding="utf-8"?>
<table xmlns="http://schemas.openxmlformats.org/spreadsheetml/2006/main" ref="A1:O45" displayName="Table7" name="Table7" id="1">
  <autoFilter ref="$A$1:$O$45">
    <filterColumn colId="3">
      <filters>
        <filter val="1"/>
        <filter val="2"/>
      </filters>
    </filterColumn>
  </autoFilter>
  <tableColumns count="15">
    <tableColumn name="Faction" id="1"/>
    <tableColumn name="Unit" id="2"/>
    <tableColumn name="Family" id="3"/>
    <tableColumn name="Tier" id="4"/>
    <tableColumn name="Count" id="5"/>
    <tableColumn name="Hp" id="6"/>
    <tableColumn name="Type" id="7"/>
    <tableColumn name="Weapon" id="8"/>
    <tableColumn name="Armour" id="9"/>
    <tableColumn name="Unique" id="10"/>
    <tableColumn name="S1" id="11"/>
    <tableColumn name="S2" id="12"/>
    <tableColumn name="S3" id="13"/>
    <tableColumn name="S4" id="14"/>
    <tableColumn name="Column 15" id="15"/>
  </tableColumns>
  <tableStyleInfo name="U2-style" showColumnStripes="0" showFirstColumn="1" showLastColumn="1" showRowStripes="1"/>
</table>
</file>

<file path=xl/tables/table3.xml><?xml version="1.0" encoding="utf-8"?>
<table xmlns="http://schemas.openxmlformats.org/spreadsheetml/2006/main" ref="A4:AX68" displayName="Table4" name="Table4" id="3">
  <autoFilter ref="$A$4:$AX$68">
    <filterColumn colId="2">
      <filters>
        <filter val="All"/>
      </filters>
    </filterColumn>
  </autoFilter>
  <tableColumns count="50">
    <tableColumn name="Id" id="1"/>
    <tableColumn name="Faction" id="2"/>
    <tableColumn name="Tier" id="3"/>
    <tableColumn name="Units" id="4"/>
    <tableColumn name="Warriors" id="5"/>
    <tableColumn name="Archers" id="6"/>
    <tableColumn name="Chaff" id="7"/>
    <tableColumn name="Infantry" id="8"/>
    <tableColumn name="Heavy Infantry" id="9"/>
    <tableColumn name="Attack Infantry" id="10"/>
    <tableColumn name="Fast Infantry" id="11"/>
    <tableColumn name="Light Cavalry" id="12"/>
    <tableColumn name="Heavy Cavalry" id="13"/>
    <tableColumn name="Chariot" id="14"/>
    <tableColumn name="Flyer" id="15"/>
    <tableColumn name="Monster" id="16"/>
    <tableColumn name="War Machine" id="17"/>
    <tableColumn name="Attack Mage" id="18"/>
    <tableColumn name="Support Mage" id="19"/>
    <tableColumn name="Unique" id="20"/>
    <tableColumn name="Mage Hero" id="21"/>
    <tableColumn name="Hybrid Mage Hero" id="22"/>
    <tableColumn name="Support Hero" id="23"/>
    <tableColumn name="Warrior Hero" id="24"/>
    <tableColumn name="Monster Hero" id="25"/>
    <tableColumn name="Cav Hero" id="26"/>
    <tableColumn name="War Machine Hero" id="27"/>
    <tableColumn name="Archer Hero" id="28"/>
    <tableColumn name="Unique Hero" id="29"/>
    <tableColumn name="All Infantry" id="30"/>
    <tableColumn name="All Mobile" id="31"/>
    <tableColumn name="All Ranged" id="32"/>
    <tableColumn name="All Other" id="33"/>
    <tableColumn name="C1" id="34"/>
    <tableColumn name="C2" id="35"/>
    <tableColumn name="C3" id="36"/>
    <tableColumn name="AC /" id="37"/>
    <tableColumn name="AC 6" id="38"/>
    <tableColumn name="AC 5" id="39"/>
    <tableColumn name="AC 4" id="40"/>
    <tableColumn name="AC 3" id="41"/>
    <tableColumn name="M2+" id="42"/>
    <tableColumn name="Maneuve." id="43"/>
    <tableColumn name="Avg HP" id="44"/>
    <tableColumn name="HP 2+" id="45"/>
    <tableColumn name="HP 3+" id="46"/>
    <tableColumn name="Avg Total HP" id="47"/>
    <tableColumn name="Avg EHP" id="48"/>
    <tableColumn name="Avg Hits" id="49"/>
    <tableColumn name="None" id="50"/>
  </tableColumns>
  <tableStyleInfo name="Meta-style" showColumnStripes="0" showFirstColumn="1" showLastColumn="1" showRowStripes="1"/>
</table>
</file>

<file path=xl/tables/table4.xml><?xml version="1.0" encoding="utf-8"?>
<table xmlns="http://schemas.openxmlformats.org/spreadsheetml/2006/main" headerRowCount="0" ref="E1:F107" displayName="Table_1" name="Table_1" id="4">
  <tableColumns count="2">
    <tableColumn name="Column1" id="1"/>
    <tableColumn name="Column2" id="2"/>
  </tableColumns>
  <tableStyleInfo name="Lists-style" showColumnStripes="0" showFirstColumn="1" showLastColumn="1" showRowStripes="1"/>
</table>
</file>

<file path=xl/tables/table5.xml><?xml version="1.0" encoding="utf-8"?>
<table xmlns="http://schemas.openxmlformats.org/spreadsheetml/2006/main" ref="A1:P13" displayName="Table2" name="Table2" id="5">
  <tableColumns count="16">
    <tableColumn name="Id" id="1"/>
    <tableColumn name="Name" id="2"/>
    <tableColumn name="L1 Colour" id="3"/>
    <tableColumn name="L2 Colour" id="4"/>
    <tableColumn name="L1 Text Colour" id="5"/>
    <tableColumn name="L2 Text Colour" id="6"/>
    <tableColumn name="Icon" id="7"/>
    <tableColumn name="Description" id="8"/>
    <tableColumn name="Inspiration" id="9"/>
    <tableColumn name="Racial Trait" id="10"/>
    <tableColumn name="Racial Stats" id="11"/>
    <tableColumn name="Themes" id="12"/>
    <tableColumn name="Traits" id="13"/>
    <tableColumn name="Skills" id="14"/>
    <tableColumn name="Flaws" id="15"/>
    <tableColumn name="Flavour" id="16"/>
  </tableColumns>
  <tableStyleInfo name="Factions-style" showColumnStripes="0" showFirstColumn="1" showLastColumn="1" showRowStripes="1"/>
</table>
</file>

<file path=xl/tables/table6.xml><?xml version="1.0" encoding="utf-8"?>
<table xmlns="http://schemas.openxmlformats.org/spreadsheetml/2006/main" ref="A1:L99" displayName="Table5" name="Table5" id="6">
  <autoFilter ref="$A$1:$L$99"/>
  <tableColumns count="12">
    <tableColumn name="Id" id="1"/>
    <tableColumn name="Partial_Id" id="2"/>
    <tableColumn name="Name" id="3"/>
    <tableColumn name="Tier" id="4"/>
    <tableColumn name="Class" id="5"/>
    <tableColumn name="Faction" id="6"/>
    <tableColumn name="Cost" id="7"/>
    <tableColumn name="Casting Value" id="8"/>
    <tableColumn name="Spell Type" id="9"/>
    <tableColumn name="Range" id="10"/>
    <tableColumn name="Power" id="11"/>
    <tableColumn name="Image" id="12"/>
  </tableColumns>
  <tableStyleInfo name="Weapons-style" showColumnStripes="0" showFirstColumn="1" showLastColumn="1" showRowStripes="1"/>
</table>
</file>

<file path=xl/tables/table7.xml><?xml version="1.0" encoding="utf-8"?>
<table xmlns="http://schemas.openxmlformats.org/spreadsheetml/2006/main" ref="A2:Y24" displayName="Table3" name="Table3" id="7">
  <tableColumns count="25">
    <tableColumn name="Name" id="1"/>
    <tableColumn name="Faction" id="2"/>
    <tableColumn name="WB Note" id="3"/>
    <tableColumn name="Single Class" id="4"/>
    <tableColumn name="Base Block" id="5"/>
    <tableColumn name="Tier" id="6"/>
    <tableColumn name="C1" id="7"/>
    <tableColumn name="N1" id="8"/>
    <tableColumn name="Movement" id="9"/>
    <tableColumn name="Melee Hit" id="10"/>
    <tableColumn name="Ranged Hit" id="11"/>
    <tableColumn name="Front Line" id="12"/>
    <tableColumn name="Attacks" id="13"/>
    <tableColumn name="HP" id="14"/>
    <tableColumn name="Block" id="15"/>
    <tableColumn name="Powers" id="16"/>
    <tableColumn name="Spells" id="17"/>
    <tableColumn name="Banners" id="18"/>
    <tableColumn name="Spears" id="19"/>
    <tableColumn name="Axes" id="20"/>
    <tableColumn name="Clubs" id="21"/>
    <tableColumn name="Offhand" id="22"/>
    <tableColumn name="Shields" id="23"/>
    <tableColumn name="Ranged" id="24"/>
    <tableColumn name="Comments" id="25"/>
  </tableColumns>
  <tableStyleInfo name="Suggestions-style" showColumnStripes="0" showFirstColumn="1" showLastColumn="1" showRowStripes="1"/>
</table>
</file>

<file path=xl/tables/table8.xml><?xml version="1.0" encoding="utf-8"?>
<table xmlns="http://schemas.openxmlformats.org/spreadsheetml/2006/main" headerRowCount="0" ref="J31:P36" displayName="Table_2" name="Table_2" id="8">
  <tableColumns count="7">
    <tableColumn name="Column1" id="1"/>
    <tableColumn name="Column2" id="2"/>
    <tableColumn name="Column3" id="3"/>
    <tableColumn name="Column4" id="4"/>
    <tableColumn name="Column5" id="5"/>
    <tableColumn name="Column6" id="6"/>
    <tableColumn name="Column7" id="7"/>
  </tableColumns>
  <tableStyleInfo name="Suggestions-style 2" showColumnStripes="0" showFirstColumn="1" showLastColumn="1" showRowStripes="1"/>
</table>
</file>

<file path=xl/tables/table9.xml><?xml version="1.0" encoding="utf-8"?>
<table xmlns="http://schemas.openxmlformats.org/spreadsheetml/2006/main" ref="A1:Q2991" displayName="Table6" name="Table6" id="9">
  <autoFilter ref="$A$1:$Q$2991"/>
  <tableColumns count="17">
    <tableColumn name="Unit" id="1"/>
    <tableColumn name="Power" id="2"/>
    <tableColumn name="Range" id="3"/>
    <tableColumn name="Type" id="4"/>
    <tableColumn name="Volley" id="5"/>
    <tableColumn name="Max Range" id="6"/>
    <tableColumn name="Avg Range" id="7"/>
    <tableColumn name="Chance Hit" id="8"/>
    <tableColumn name="Chance 1 Off" id="9"/>
    <tableColumn name="Chance Misfire" id="10"/>
    <tableColumn name="Attacks" id="11"/>
    <tableColumn name="Hits" id="12"/>
    <tableColumn name="Effective Hits" id="13"/>
    <tableColumn name="Hits to target" id="14"/>
    <tableColumn name="Hits to near" id="15"/>
    <tableColumn name="AP" id="16"/>
    <tableColumn name="Effect" id="17"/>
  </tableColumns>
  <tableStyleInfo name="Artiller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4" Type="http://schemas.openxmlformats.org/officeDocument/2006/relationships/table" Target="../tables/table7.xml"/><Relationship Id="rId5"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8.25"/>
    <col customWidth="1" min="2" max="2" width="19.13"/>
    <col customWidth="1" min="3" max="3" width="19.5"/>
    <col customWidth="1" min="4" max="4" width="11.0"/>
    <col customWidth="1" min="5" max="5" width="14.88"/>
    <col customWidth="1" min="6" max="6" width="12.88"/>
    <col customWidth="1" min="7" max="7" width="22.38"/>
    <col customWidth="1" min="8" max="8" width="10.0"/>
    <col customWidth="1" min="9" max="9" width="9.75"/>
    <col customWidth="1" min="10" max="10" width="12.25"/>
    <col customWidth="1" min="11" max="11" width="10.5"/>
    <col customWidth="1" min="12" max="12" width="14.75"/>
    <col customWidth="1" min="13" max="13" width="16.75"/>
    <col customWidth="1" min="14" max="14" width="16.0"/>
    <col customWidth="1" min="15" max="15" width="13.75"/>
    <col customWidth="1" min="16" max="16" width="14.5"/>
    <col customWidth="1" min="17" max="17" width="11.0"/>
    <col customWidth="1" min="18" max="18" width="13.0"/>
    <col customWidth="1" min="19" max="19" width="96.88"/>
    <col customWidth="1" min="20" max="20" width="8.63"/>
    <col customWidth="1" min="43" max="43" width="15.63"/>
    <col customWidth="1" min="44" max="44" width="19.38"/>
    <col customWidth="1" min="46" max="46" width="13.0"/>
    <col customWidth="1" min="47" max="48" width="13.13"/>
    <col customWidth="1" min="49" max="49" width="11.63"/>
    <col customWidth="1" min="50" max="50" width="17.25"/>
  </cols>
  <sheetData>
    <row r="1" ht="48.0" customHeight="1">
      <c r="A1" s="10" t="s">
        <v>83</v>
      </c>
      <c r="B1" s="11" t="s">
        <v>84</v>
      </c>
      <c r="C1" s="10" t="s">
        <v>1</v>
      </c>
      <c r="D1" s="11" t="s">
        <v>85</v>
      </c>
      <c r="E1" s="10" t="s">
        <v>68</v>
      </c>
      <c r="F1" s="10" t="s">
        <v>86</v>
      </c>
      <c r="G1" s="11" t="s">
        <v>87</v>
      </c>
      <c r="H1" s="12" t="s">
        <v>88</v>
      </c>
      <c r="I1" s="13" t="s">
        <v>70</v>
      </c>
      <c r="J1" s="13" t="s">
        <v>89</v>
      </c>
      <c r="K1" s="14" t="s">
        <v>90</v>
      </c>
      <c r="L1" s="13" t="s">
        <v>91</v>
      </c>
      <c r="M1" s="13" t="s">
        <v>92</v>
      </c>
      <c r="N1" s="15" t="s">
        <v>93</v>
      </c>
      <c r="O1" s="13" t="s">
        <v>94</v>
      </c>
      <c r="P1" s="13" t="s">
        <v>95</v>
      </c>
      <c r="Q1" s="13" t="s">
        <v>96</v>
      </c>
      <c r="R1" s="13" t="s">
        <v>97</v>
      </c>
      <c r="S1" s="10" t="s">
        <v>98</v>
      </c>
      <c r="T1" s="16" t="s">
        <v>99</v>
      </c>
      <c r="U1" s="16" t="s">
        <v>100</v>
      </c>
      <c r="V1" s="16" t="s">
        <v>101</v>
      </c>
      <c r="W1" s="16" t="s">
        <v>102</v>
      </c>
      <c r="X1" s="16" t="s">
        <v>103</v>
      </c>
      <c r="Y1" s="16" t="s">
        <v>104</v>
      </c>
      <c r="Z1" s="16" t="s">
        <v>105</v>
      </c>
      <c r="AA1" s="16" t="s">
        <v>107</v>
      </c>
      <c r="AB1" s="16" t="s">
        <v>108</v>
      </c>
      <c r="AC1" s="16" t="s">
        <v>109</v>
      </c>
      <c r="AD1" s="16" t="s">
        <v>110</v>
      </c>
      <c r="AE1" s="11" t="s">
        <v>111</v>
      </c>
      <c r="AF1" s="11" t="s">
        <v>112</v>
      </c>
      <c r="AG1" s="11" t="s">
        <v>113</v>
      </c>
      <c r="AH1" s="11" t="s">
        <v>114</v>
      </c>
      <c r="AI1" s="11" t="s">
        <v>115</v>
      </c>
      <c r="AJ1" s="11" t="s">
        <v>116</v>
      </c>
      <c r="AK1" s="10" t="s">
        <v>118</v>
      </c>
      <c r="AL1" s="11" t="s">
        <v>120</v>
      </c>
      <c r="AM1" s="11" t="s">
        <v>121</v>
      </c>
      <c r="AN1" s="11" t="s">
        <v>122</v>
      </c>
      <c r="AO1" s="27" t="s">
        <v>124</v>
      </c>
      <c r="AP1" s="30" t="s">
        <v>126</v>
      </c>
      <c r="AQ1" s="30" t="s">
        <v>127</v>
      </c>
      <c r="AR1" s="30" t="s">
        <v>128</v>
      </c>
      <c r="AS1" s="32" t="s">
        <v>129</v>
      </c>
      <c r="AT1" s="33" t="s">
        <v>130</v>
      </c>
      <c r="AU1" s="33" t="s">
        <v>131</v>
      </c>
      <c r="AV1" s="33" t="s">
        <v>132</v>
      </c>
      <c r="AW1" s="35" t="s">
        <v>133</v>
      </c>
      <c r="AX1" s="35" t="s">
        <v>134</v>
      </c>
      <c r="AY1" s="35" t="s">
        <v>135</v>
      </c>
      <c r="AZ1" s="39"/>
      <c r="BA1" s="39"/>
      <c r="BB1" s="39"/>
      <c r="BC1" s="39"/>
      <c r="BD1" s="39"/>
      <c r="BE1" s="39"/>
      <c r="BF1" s="39"/>
      <c r="BG1" s="39"/>
    </row>
    <row r="2" ht="22.5" customHeight="1">
      <c r="A2" s="44" t="s">
        <v>136</v>
      </c>
      <c r="B2" s="44" t="s">
        <v>137</v>
      </c>
      <c r="C2" s="44" t="str">
        <f t="shared" ref="C2:C164" si="1">concatenate(E2," ",B2)</f>
        <v>Boneborn Fodder</v>
      </c>
      <c r="D2" s="44" t="b">
        <v>1</v>
      </c>
      <c r="E2" s="57" t="s">
        <v>138</v>
      </c>
      <c r="F2" s="44" t="s">
        <v>139</v>
      </c>
      <c r="G2" s="57" t="s">
        <v>140</v>
      </c>
      <c r="H2" s="60">
        <v>6.0</v>
      </c>
      <c r="I2" s="62">
        <v>1.0</v>
      </c>
      <c r="J2" s="62">
        <v>1.0</v>
      </c>
      <c r="K2" s="62"/>
      <c r="L2" s="62">
        <v>6.0</v>
      </c>
      <c r="M2" s="62">
        <v>1.0</v>
      </c>
      <c r="N2" s="62">
        <v>6.0</v>
      </c>
      <c r="O2" s="64" t="s">
        <v>147</v>
      </c>
      <c r="P2" s="66" t="s">
        <v>150</v>
      </c>
      <c r="Q2" s="62">
        <v>1.0</v>
      </c>
      <c r="R2" s="66" t="s">
        <v>153</v>
      </c>
      <c r="S2" s="67" t="s">
        <v>155</v>
      </c>
      <c r="T2" s="6">
        <v>3.0</v>
      </c>
      <c r="U2" s="6"/>
      <c r="V2" s="6"/>
      <c r="W2" s="6"/>
      <c r="X2" s="6"/>
      <c r="Y2" s="6"/>
      <c r="Z2" s="6"/>
      <c r="AA2" s="6"/>
      <c r="AB2" s="6"/>
      <c r="AC2" s="6"/>
      <c r="AD2" s="6"/>
      <c r="AE2" s="68" t="s">
        <v>167</v>
      </c>
      <c r="AF2" s="69" t="s">
        <v>171</v>
      </c>
      <c r="AG2" s="68" t="s">
        <v>167</v>
      </c>
      <c r="AH2" s="68" t="s">
        <v>167</v>
      </c>
      <c r="AI2" s="68" t="s">
        <v>167</v>
      </c>
      <c r="AJ2" s="68" t="s">
        <v>167</v>
      </c>
      <c r="AK2" s="76" t="str">
        <f t="array" ref="AK2">INDEX(Factions!C:C, MATCH(E2, Factions!B:B, 0))</f>
        <v>#e0e0d3</v>
      </c>
      <c r="AL2" s="6" t="str">
        <f t="array" ref="AL2">INDEX(Factions!D:D, MATCH(E2, Factions!B:B, 0))</f>
        <v>#4d4d4d</v>
      </c>
      <c r="AM2" s="6" t="str">
        <f t="array" ref="AM2">INDEX(Factions!E:E, MATCH(E2, Factions!B:B, 0))</f>
        <v>#000000</v>
      </c>
      <c r="AN2" s="76" t="str">
        <f t="array" ref="AN2">INDEX(Factions!F:F, MATCH(E2, Factions!B:B, 0))</f>
        <v>#ffffff</v>
      </c>
      <c r="AO2" s="76" t="str">
        <f t="array" ref="AO2">concat(INDEX(Factions!G:G, MATCH(E2, Factions!B:B, 0)),".png")</f>
        <v>skellies.png</v>
      </c>
      <c r="AP2" s="84">
        <f>IFERROR(__xludf.DUMMYFUNCTION("MIN(FILTER(M2:M1098, F2:F1098=F2))"),1.0)</f>
        <v>1</v>
      </c>
      <c r="AQ2" s="76">
        <f t="shared" ref="AQ2:AQ175" si="2">Q2*L2</f>
        <v>6</v>
      </c>
      <c r="AR2" s="86">
        <f>IFERROR(__xludf.DUMMYFUNCTION("IF(and(REGEXMATCH(S2,""Vengence""),not(REGEXMATCH(S2, ""Protective Markings""))),AQ2,AQ2 * 6 / iferror(R2-1,6))"),9.0)</f>
        <v>9</v>
      </c>
      <c r="AS2" s="88">
        <f t="shared" ref="AS2:AS174" si="3">0 + if(P2="2d6",7,if(P2="d6",3.5,if(P2="d3",1.5,if(P2="2x2",4,if(P2="2x3",6,P2)))))</f>
        <v>1</v>
      </c>
      <c r="AT2" s="89">
        <f t="shared" ref="AT2:AT175" si="4">AS2*L2</f>
        <v>6</v>
      </c>
      <c r="AU2" s="86">
        <f>IFERROR(__xludf.DUMMYFUNCTION("IF(REGEXMATCH(S2,""&lt;b&gt;Poison&lt;/b&gt;""),1+((1/(7-N2))/3),1)"),1.0)</f>
        <v>1</v>
      </c>
      <c r="AV2" s="86">
        <f>IFERROR(__xludf.DUMMYFUNCTION("IF(REGEXMATCH(S2,""Vengence""),(7 - R2) / 3,0)"),0.0)</f>
        <v>0</v>
      </c>
      <c r="AW2" s="86">
        <f t="shared" ref="AW2:AW175" si="5">AV2 + (AT2*(7-N2)/6)*AU2</f>
        <v>1</v>
      </c>
      <c r="AX2" s="84">
        <f t="shared" ref="AX2:AX175" si="6">AR2+(AW2*1.5)</f>
        <v>10.5</v>
      </c>
      <c r="AY2" s="76" t="b">
        <f>IFERROR(__xludf.DUMMYFUNCTION("if(regexmatch(G2,""Mage|War Machine""),true,false)"),FALSE)</f>
        <v>0</v>
      </c>
    </row>
    <row r="3" ht="22.5" customHeight="1">
      <c r="A3" s="44" t="s">
        <v>192</v>
      </c>
      <c r="B3" s="44" t="s">
        <v>193</v>
      </c>
      <c r="C3" s="44" t="str">
        <f t="shared" si="1"/>
        <v>Boneborn Shieldbearers</v>
      </c>
      <c r="D3" s="44" t="b">
        <v>1</v>
      </c>
      <c r="E3" s="57" t="s">
        <v>138</v>
      </c>
      <c r="F3" s="44" t="s">
        <v>139</v>
      </c>
      <c r="G3" s="57" t="s">
        <v>144</v>
      </c>
      <c r="H3" s="60">
        <v>6.0</v>
      </c>
      <c r="I3" s="62">
        <v>1.0</v>
      </c>
      <c r="J3" s="62">
        <v>2.0</v>
      </c>
      <c r="K3" s="62"/>
      <c r="L3" s="62">
        <v>6.0</v>
      </c>
      <c r="M3" s="62">
        <v>1.0</v>
      </c>
      <c r="N3" s="62">
        <v>5.0</v>
      </c>
      <c r="O3" s="64" t="s">
        <v>147</v>
      </c>
      <c r="P3" s="66" t="s">
        <v>150</v>
      </c>
      <c r="Q3" s="62">
        <v>1.0</v>
      </c>
      <c r="R3" s="66" t="s">
        <v>194</v>
      </c>
      <c r="S3" s="67" t="s">
        <v>155</v>
      </c>
      <c r="T3" s="6">
        <v>4.0</v>
      </c>
      <c r="U3" s="6"/>
      <c r="V3" s="6"/>
      <c r="W3" s="6"/>
      <c r="X3" s="6"/>
      <c r="Y3" s="6">
        <v>1.0</v>
      </c>
      <c r="Z3" s="6"/>
      <c r="AA3" s="6"/>
      <c r="AB3" s="6"/>
      <c r="AC3" s="6">
        <v>1.0</v>
      </c>
      <c r="AD3" s="6"/>
      <c r="AE3" s="68" t="s">
        <v>167</v>
      </c>
      <c r="AF3" s="69" t="s">
        <v>171</v>
      </c>
      <c r="AG3" s="68" t="s">
        <v>167</v>
      </c>
      <c r="AH3" s="68" t="s">
        <v>167</v>
      </c>
      <c r="AI3" s="68" t="s">
        <v>167</v>
      </c>
      <c r="AJ3" s="90" t="s">
        <v>195</v>
      </c>
      <c r="AK3" s="76" t="str">
        <f t="array" ref="AK3">INDEX(Factions!C:C, MATCH(E3, Factions!B:B, 0))</f>
        <v>#e0e0d3</v>
      </c>
      <c r="AL3" s="6" t="str">
        <f t="array" ref="AL3">INDEX(Factions!D:D, MATCH(E3, Factions!B:B, 0))</f>
        <v>#4d4d4d</v>
      </c>
      <c r="AM3" s="6" t="str">
        <f t="array" ref="AM3">INDEX(Factions!E:E, MATCH(E3, Factions!B:B, 0))</f>
        <v>#000000</v>
      </c>
      <c r="AN3" s="76" t="str">
        <f t="array" ref="AN3">INDEX(Factions!F:F, MATCH(E3, Factions!B:B, 0))</f>
        <v>#ffffff</v>
      </c>
      <c r="AO3" s="76" t="str">
        <f t="array" ref="AO3">concat(INDEX(Factions!G:G, MATCH(E3, Factions!B:B, 0)),".png")</f>
        <v>skellies.png</v>
      </c>
      <c r="AP3" s="84">
        <f>IFERROR(__xludf.DUMMYFUNCTION("MIN(FILTER(M3:M1098, F3:F1098=F3))"),1.0)</f>
        <v>1</v>
      </c>
      <c r="AQ3" s="76">
        <f t="shared" si="2"/>
        <v>6</v>
      </c>
      <c r="AR3" s="86">
        <f>IFERROR(__xludf.DUMMYFUNCTION("IF(and(REGEXMATCH(S3,""Vengence""),not(REGEXMATCH(S3, ""Protective Markings""))),AQ3,AQ3 * 6 / iferror(R3-1,6))"),12.0)</f>
        <v>12</v>
      </c>
      <c r="AS3" s="88">
        <f t="shared" si="3"/>
        <v>1</v>
      </c>
      <c r="AT3" s="89">
        <f t="shared" si="4"/>
        <v>6</v>
      </c>
      <c r="AU3" s="86">
        <f>IFERROR(__xludf.DUMMYFUNCTION("IF(REGEXMATCH(S3,""&lt;b&gt;Poison&lt;/b&gt;""),1+((1/(7-N3))/3),1)"),1.0)</f>
        <v>1</v>
      </c>
      <c r="AV3" s="86">
        <f>IFERROR(__xludf.DUMMYFUNCTION("IF(REGEXMATCH(S3,""Vengence""),(7 - R3) / 3,0)"),0.0)</f>
        <v>0</v>
      </c>
      <c r="AW3" s="86">
        <f t="shared" si="5"/>
        <v>2</v>
      </c>
      <c r="AX3" s="84">
        <f t="shared" si="6"/>
        <v>15</v>
      </c>
      <c r="AY3" s="76" t="b">
        <f>IFERROR(__xludf.DUMMYFUNCTION("if(regexmatch(G3,""Mage|War Machine""),true,false)"),FALSE)</f>
        <v>0</v>
      </c>
    </row>
    <row r="4" ht="22.5" customHeight="1">
      <c r="A4" s="44" t="s">
        <v>197</v>
      </c>
      <c r="B4" s="44" t="s">
        <v>81</v>
      </c>
      <c r="C4" s="44" t="str">
        <f t="shared" si="1"/>
        <v>Boneborn Warriors</v>
      </c>
      <c r="D4" s="44" t="b">
        <v>1</v>
      </c>
      <c r="E4" s="57" t="s">
        <v>138</v>
      </c>
      <c r="F4" s="44" t="s">
        <v>139</v>
      </c>
      <c r="G4" s="57" t="s">
        <v>81</v>
      </c>
      <c r="H4" s="60">
        <v>6.0</v>
      </c>
      <c r="I4" s="64">
        <v>1.0</v>
      </c>
      <c r="J4" s="64">
        <v>2.0</v>
      </c>
      <c r="K4" s="62"/>
      <c r="L4" s="64">
        <v>6.0</v>
      </c>
      <c r="M4" s="64">
        <v>1.0</v>
      </c>
      <c r="N4" s="62">
        <v>4.0</v>
      </c>
      <c r="O4" s="64" t="s">
        <v>147</v>
      </c>
      <c r="P4" s="66" t="s">
        <v>150</v>
      </c>
      <c r="Q4" s="64">
        <v>1.0</v>
      </c>
      <c r="R4" s="66" t="s">
        <v>153</v>
      </c>
      <c r="S4" s="67" t="s">
        <v>155</v>
      </c>
      <c r="T4" s="6">
        <v>4.0</v>
      </c>
      <c r="U4" s="6"/>
      <c r="V4" s="6"/>
      <c r="W4" s="6"/>
      <c r="X4" s="6"/>
      <c r="Y4" s="6">
        <v>1.0</v>
      </c>
      <c r="Z4" s="6">
        <v>1.0</v>
      </c>
      <c r="AA4" s="6">
        <v>1.0</v>
      </c>
      <c r="AB4" s="6">
        <v>1.0</v>
      </c>
      <c r="AC4" s="6">
        <v>1.0</v>
      </c>
      <c r="AD4" s="76"/>
      <c r="AE4" s="68" t="s">
        <v>167</v>
      </c>
      <c r="AF4" s="68" t="s">
        <v>167</v>
      </c>
      <c r="AG4" s="68" t="s">
        <v>167</v>
      </c>
      <c r="AH4" s="68" t="s">
        <v>167</v>
      </c>
      <c r="AI4" s="68" t="s">
        <v>167</v>
      </c>
      <c r="AJ4" s="68" t="s">
        <v>167</v>
      </c>
      <c r="AK4" s="76" t="str">
        <f t="array" ref="AK4">INDEX(Factions!C:C, MATCH(E4, Factions!B:B, 0))</f>
        <v>#e0e0d3</v>
      </c>
      <c r="AL4" s="6" t="str">
        <f t="array" ref="AL4">INDEX(Factions!D:D, MATCH(E4, Factions!B:B, 0))</f>
        <v>#4d4d4d</v>
      </c>
      <c r="AM4" s="6" t="str">
        <f t="array" ref="AM4">INDEX(Factions!E:E, MATCH(E4, Factions!B:B, 0))</f>
        <v>#000000</v>
      </c>
      <c r="AN4" s="76" t="str">
        <f t="array" ref="AN4">INDEX(Factions!F:F, MATCH(E4, Factions!B:B, 0))</f>
        <v>#ffffff</v>
      </c>
      <c r="AO4" s="76" t="str">
        <f t="array" ref="AO4">concat(INDEX(Factions!G:G, MATCH(E4, Factions!B:B, 0)),".png")</f>
        <v>skellies.png</v>
      </c>
      <c r="AP4" s="76">
        <f>IFERROR(__xludf.DUMMYFUNCTION("MIN(FILTER(M4:M1098, F4:F1098=F4))"),1.0)</f>
        <v>1</v>
      </c>
      <c r="AQ4" s="76">
        <f t="shared" si="2"/>
        <v>6</v>
      </c>
      <c r="AR4" s="86">
        <f>IFERROR(__xludf.DUMMYFUNCTION("IF(and(REGEXMATCH(S4,""Vengence""),not(REGEXMATCH(S4, ""Protective Markings""))),AQ4,AQ4 * 6 / iferror(R4-1,6))"),9.0)</f>
        <v>9</v>
      </c>
      <c r="AS4" s="88">
        <f t="shared" si="3"/>
        <v>1</v>
      </c>
      <c r="AT4" s="89">
        <f t="shared" si="4"/>
        <v>6</v>
      </c>
      <c r="AU4" s="86">
        <f>IFERROR(__xludf.DUMMYFUNCTION("IF(REGEXMATCH(S4,""&lt;b&gt;Poison&lt;/b&gt;""),1+((1/(7-N4))/3),1)"),1.0)</f>
        <v>1</v>
      </c>
      <c r="AV4" s="86">
        <f>IFERROR(__xludf.DUMMYFUNCTION("IF(REGEXMATCH(S4,""Vengence""),(7 - R4) / 3,0)"),0.0)</f>
        <v>0</v>
      </c>
      <c r="AW4" s="86">
        <f t="shared" si="5"/>
        <v>3</v>
      </c>
      <c r="AX4" s="84">
        <f t="shared" si="6"/>
        <v>13.5</v>
      </c>
      <c r="AY4" s="76" t="b">
        <f>IFERROR(__xludf.DUMMYFUNCTION("if(regexmatch(G4,""Mage|War Machine""),true,false)"),FALSE)</f>
        <v>0</v>
      </c>
    </row>
    <row r="5" ht="22.5" customHeight="1">
      <c r="A5" s="44" t="s">
        <v>215</v>
      </c>
      <c r="B5" s="44" t="s">
        <v>142</v>
      </c>
      <c r="C5" s="44" t="str">
        <f t="shared" si="1"/>
        <v>Boneborn Archers</v>
      </c>
      <c r="D5" s="44" t="b">
        <v>1</v>
      </c>
      <c r="E5" s="57" t="s">
        <v>138</v>
      </c>
      <c r="F5" s="44" t="s">
        <v>139</v>
      </c>
      <c r="G5" s="57" t="s">
        <v>142</v>
      </c>
      <c r="H5" s="60">
        <v>6.0</v>
      </c>
      <c r="I5" s="64">
        <v>1.0</v>
      </c>
      <c r="J5" s="64">
        <v>2.0</v>
      </c>
      <c r="K5" s="62"/>
      <c r="L5" s="64">
        <v>6.0</v>
      </c>
      <c r="M5" s="64">
        <v>1.0</v>
      </c>
      <c r="N5" s="62">
        <v>5.0</v>
      </c>
      <c r="O5" s="64">
        <v>4.0</v>
      </c>
      <c r="P5" s="66" t="s">
        <v>150</v>
      </c>
      <c r="Q5" s="64">
        <v>1.0</v>
      </c>
      <c r="R5" s="66" t="s">
        <v>217</v>
      </c>
      <c r="S5" s="67" t="s">
        <v>155</v>
      </c>
      <c r="T5" s="6">
        <v>3.0</v>
      </c>
      <c r="U5" s="76"/>
      <c r="V5" s="76"/>
      <c r="W5" s="76"/>
      <c r="X5" s="76"/>
      <c r="Y5" s="76"/>
      <c r="Z5" s="76"/>
      <c r="AA5" s="76"/>
      <c r="AB5" s="76"/>
      <c r="AC5" s="76"/>
      <c r="AD5" s="6">
        <v>1.0</v>
      </c>
      <c r="AE5" s="68" t="s">
        <v>167</v>
      </c>
      <c r="AF5" s="69" t="s">
        <v>171</v>
      </c>
      <c r="AG5" s="90" t="s">
        <v>195</v>
      </c>
      <c r="AH5" s="68" t="s">
        <v>167</v>
      </c>
      <c r="AI5" s="68" t="s">
        <v>167</v>
      </c>
      <c r="AJ5" s="69" t="s">
        <v>171</v>
      </c>
      <c r="AK5" s="76" t="str">
        <f t="array" ref="AK5">INDEX(Factions!C:C, MATCH(E5, Factions!B:B, 0))</f>
        <v>#e0e0d3</v>
      </c>
      <c r="AL5" s="6" t="str">
        <f t="array" ref="AL5">INDEX(Factions!D:D, MATCH(E5, Factions!B:B, 0))</f>
        <v>#4d4d4d</v>
      </c>
      <c r="AM5" s="6" t="str">
        <f t="array" ref="AM5">INDEX(Factions!E:E, MATCH(E5, Factions!B:B, 0))</f>
        <v>#000000</v>
      </c>
      <c r="AN5" s="76" t="str">
        <f t="array" ref="AN5">INDEX(Factions!F:F, MATCH(E5, Factions!B:B, 0))</f>
        <v>#ffffff</v>
      </c>
      <c r="AO5" s="76" t="str">
        <f t="array" ref="AO5">concat(INDEX(Factions!G:G, MATCH(E5, Factions!B:B, 0)),".png")</f>
        <v>skellies.png</v>
      </c>
      <c r="AP5" s="76">
        <f>IFERROR(__xludf.DUMMYFUNCTION("MIN(FILTER(M5:M1098, F5:F1098=F5))"),1.0)</f>
        <v>1</v>
      </c>
      <c r="AQ5" s="76">
        <f t="shared" si="2"/>
        <v>6</v>
      </c>
      <c r="AR5" s="86">
        <f>IFERROR(__xludf.DUMMYFUNCTION("IF(and(REGEXMATCH(S5,""Vengence""),not(REGEXMATCH(S5, ""Protective Markings""))),AQ5,AQ5 * 6 / iferror(R5-1,6))"),7.2)</f>
        <v>7.2</v>
      </c>
      <c r="AS5" s="88">
        <f t="shared" si="3"/>
        <v>1</v>
      </c>
      <c r="AT5" s="89">
        <f t="shared" si="4"/>
        <v>6</v>
      </c>
      <c r="AU5" s="86">
        <f>IFERROR(__xludf.DUMMYFUNCTION("IF(REGEXMATCH(S5,""&lt;b&gt;Poison&lt;/b&gt;""),1+((1/(7-N5))/3),1)"),1.0)</f>
        <v>1</v>
      </c>
      <c r="AV5" s="86">
        <f>IFERROR(__xludf.DUMMYFUNCTION("IF(REGEXMATCH(S5,""Vengence""),(7 - R5) / 3,0)"),0.0)</f>
        <v>0</v>
      </c>
      <c r="AW5" s="86">
        <f t="shared" si="5"/>
        <v>2</v>
      </c>
      <c r="AX5" s="84">
        <f t="shared" si="6"/>
        <v>10.2</v>
      </c>
      <c r="AY5" s="76" t="b">
        <f>IFERROR(__xludf.DUMMYFUNCTION("if(regexmatch(G5,""Mage|War Machine""),true,false)"),FALSE)</f>
        <v>0</v>
      </c>
    </row>
    <row r="6" ht="22.5" customHeight="1">
      <c r="A6" s="44" t="s">
        <v>219</v>
      </c>
      <c r="B6" s="44" t="s">
        <v>220</v>
      </c>
      <c r="C6" s="44" t="str">
        <f t="shared" si="1"/>
        <v>Boneborn Wights</v>
      </c>
      <c r="D6" s="44" t="b">
        <v>1</v>
      </c>
      <c r="E6" s="57" t="s">
        <v>138</v>
      </c>
      <c r="F6" s="44" t="s">
        <v>139</v>
      </c>
      <c r="G6" s="57" t="s">
        <v>144</v>
      </c>
      <c r="H6" s="60">
        <v>6.0</v>
      </c>
      <c r="I6" s="64">
        <v>1.0</v>
      </c>
      <c r="J6" s="62">
        <v>3.0</v>
      </c>
      <c r="K6" s="62"/>
      <c r="L6" s="64">
        <v>6.0</v>
      </c>
      <c r="M6" s="64">
        <v>1.0</v>
      </c>
      <c r="N6" s="62">
        <v>5.0</v>
      </c>
      <c r="O6" s="64" t="s">
        <v>147</v>
      </c>
      <c r="P6" s="66" t="s">
        <v>150</v>
      </c>
      <c r="Q6" s="64">
        <v>1.0</v>
      </c>
      <c r="R6" s="66" t="s">
        <v>194</v>
      </c>
      <c r="S6" s="67" t="s">
        <v>223</v>
      </c>
      <c r="T6" s="6">
        <v>5.0</v>
      </c>
      <c r="U6" s="6"/>
      <c r="V6" s="6"/>
      <c r="W6" s="6"/>
      <c r="X6" s="6"/>
      <c r="Y6" s="6">
        <v>1.0</v>
      </c>
      <c r="Z6" s="6">
        <v>1.0</v>
      </c>
      <c r="AA6" s="6">
        <v>1.0</v>
      </c>
      <c r="AB6" s="6">
        <v>1.0</v>
      </c>
      <c r="AC6" s="6">
        <v>1.0</v>
      </c>
      <c r="AD6" s="76"/>
      <c r="AE6" s="68" t="s">
        <v>167</v>
      </c>
      <c r="AF6" s="69" t="s">
        <v>171</v>
      </c>
      <c r="AG6" s="68" t="s">
        <v>167</v>
      </c>
      <c r="AH6" s="68" t="s">
        <v>167</v>
      </c>
      <c r="AI6" s="68" t="s">
        <v>167</v>
      </c>
      <c r="AJ6" s="90" t="s">
        <v>195</v>
      </c>
      <c r="AK6" s="76" t="str">
        <f t="array" ref="AK6">INDEX(Factions!C:C, MATCH(E6, Factions!B:B, 0))</f>
        <v>#e0e0d3</v>
      </c>
      <c r="AL6" s="6" t="str">
        <f t="array" ref="AL6">INDEX(Factions!D:D, MATCH(E6, Factions!B:B, 0))</f>
        <v>#4d4d4d</v>
      </c>
      <c r="AM6" s="6" t="str">
        <f t="array" ref="AM6">INDEX(Factions!E:E, MATCH(E6, Factions!B:B, 0))</f>
        <v>#000000</v>
      </c>
      <c r="AN6" s="76" t="str">
        <f t="array" ref="AN6">INDEX(Factions!F:F, MATCH(E6, Factions!B:B, 0))</f>
        <v>#ffffff</v>
      </c>
      <c r="AO6" s="76" t="str">
        <f t="array" ref="AO6">concat(INDEX(Factions!G:G, MATCH(E6, Factions!B:B, 0)),".png")</f>
        <v>skellies.png</v>
      </c>
      <c r="AP6" s="76">
        <f>IFERROR(__xludf.DUMMYFUNCTION("MIN(FILTER(M6:M1098, F6:F1098=F6))"),1.0)</f>
        <v>1</v>
      </c>
      <c r="AQ6" s="76">
        <f t="shared" si="2"/>
        <v>6</v>
      </c>
      <c r="AR6" s="86">
        <f>IFERROR(__xludf.DUMMYFUNCTION("IF(and(REGEXMATCH(S6,""Vengence""),not(REGEXMATCH(S6, ""Protective Markings""))),AQ6,AQ6 * 6 / iferror(R6-1,6))"),12.0)</f>
        <v>12</v>
      </c>
      <c r="AS6" s="88">
        <f t="shared" si="3"/>
        <v>1</v>
      </c>
      <c r="AT6" s="89">
        <f t="shared" si="4"/>
        <v>6</v>
      </c>
      <c r="AU6" s="86">
        <f>IFERROR(__xludf.DUMMYFUNCTION("IF(REGEXMATCH(S6,""&lt;b&gt;Poison&lt;/b&gt;""),1+((1/(7-N6))/3),1)"),1.0)</f>
        <v>1</v>
      </c>
      <c r="AV6" s="86">
        <f>IFERROR(__xludf.DUMMYFUNCTION("IF(REGEXMATCH(S6,""Vengence""),(7 - R6) / 3,0)"),0.0)</f>
        <v>0</v>
      </c>
      <c r="AW6" s="86">
        <f t="shared" si="5"/>
        <v>2</v>
      </c>
      <c r="AX6" s="84">
        <f t="shared" si="6"/>
        <v>15</v>
      </c>
      <c r="AY6" s="76" t="b">
        <f>IFERROR(__xludf.DUMMYFUNCTION("if(regexmatch(G6,""Mage|War Machine""),true,false)"),FALSE)</f>
        <v>0</v>
      </c>
    </row>
    <row r="7" ht="22.5" customHeight="1">
      <c r="A7" s="44" t="s">
        <v>229</v>
      </c>
      <c r="B7" s="44" t="s">
        <v>50</v>
      </c>
      <c r="C7" s="44" t="str">
        <f t="shared" si="1"/>
        <v>Boneborn Revenants</v>
      </c>
      <c r="D7" s="44" t="b">
        <v>1</v>
      </c>
      <c r="E7" s="57" t="s">
        <v>138</v>
      </c>
      <c r="F7" s="44" t="s">
        <v>139</v>
      </c>
      <c r="G7" s="57" t="s">
        <v>143</v>
      </c>
      <c r="H7" s="60">
        <v>6.0</v>
      </c>
      <c r="I7" s="64">
        <v>1.0</v>
      </c>
      <c r="J7" s="64">
        <v>3.0</v>
      </c>
      <c r="K7" s="62"/>
      <c r="L7" s="64">
        <v>6.0</v>
      </c>
      <c r="M7" s="64">
        <v>1.0</v>
      </c>
      <c r="N7" s="62">
        <v>4.0</v>
      </c>
      <c r="O7" s="64" t="s">
        <v>147</v>
      </c>
      <c r="P7" s="66" t="s">
        <v>150</v>
      </c>
      <c r="Q7" s="64">
        <v>1.0</v>
      </c>
      <c r="R7" s="66" t="s">
        <v>153</v>
      </c>
      <c r="S7" s="67" t="s">
        <v>230</v>
      </c>
      <c r="T7" s="6">
        <v>5.0</v>
      </c>
      <c r="U7" s="76"/>
      <c r="V7" s="76"/>
      <c r="W7" s="76"/>
      <c r="X7" s="76"/>
      <c r="Y7" s="76"/>
      <c r="Z7" s="6">
        <v>1.0</v>
      </c>
      <c r="AA7" s="6">
        <v>1.0</v>
      </c>
      <c r="AB7" s="6">
        <v>1.0</v>
      </c>
      <c r="AC7" s="6">
        <v>1.0</v>
      </c>
      <c r="AD7" s="76"/>
      <c r="AE7" s="68" t="s">
        <v>167</v>
      </c>
      <c r="AF7" s="68" t="s">
        <v>167</v>
      </c>
      <c r="AG7" s="68" t="s">
        <v>167</v>
      </c>
      <c r="AH7" s="68" t="s">
        <v>167</v>
      </c>
      <c r="AI7" s="68" t="s">
        <v>167</v>
      </c>
      <c r="AJ7" s="68" t="s">
        <v>167</v>
      </c>
      <c r="AK7" s="76" t="str">
        <f t="array" ref="AK7">INDEX(Factions!C:C, MATCH(E7, Factions!B:B, 0))</f>
        <v>#e0e0d3</v>
      </c>
      <c r="AL7" s="6" t="str">
        <f t="array" ref="AL7">INDEX(Factions!D:D, MATCH(E7, Factions!B:B, 0))</f>
        <v>#4d4d4d</v>
      </c>
      <c r="AM7" s="6" t="str">
        <f t="array" ref="AM7">INDEX(Factions!E:E, MATCH(E7, Factions!B:B, 0))</f>
        <v>#000000</v>
      </c>
      <c r="AN7" s="76" t="str">
        <f t="array" ref="AN7">INDEX(Factions!F:F, MATCH(E7, Factions!B:B, 0))</f>
        <v>#ffffff</v>
      </c>
      <c r="AO7" s="76" t="str">
        <f t="array" ref="AO7">concat(INDEX(Factions!G:G, MATCH(E7, Factions!B:B, 0)),".png")</f>
        <v>skellies.png</v>
      </c>
      <c r="AP7" s="76">
        <f>IFERROR(__xludf.DUMMYFUNCTION("MIN(FILTER(M7:M1098, F7:F1098=F7))"),1.0)</f>
        <v>1</v>
      </c>
      <c r="AQ7" s="76">
        <f t="shared" si="2"/>
        <v>6</v>
      </c>
      <c r="AR7" s="86">
        <f>IFERROR(__xludf.DUMMYFUNCTION("IF(and(REGEXMATCH(S7,""Vengence""),not(REGEXMATCH(S7, ""Protective Markings""))),AQ7,AQ7 * 6 / iferror(R7-1,6))"),9.0)</f>
        <v>9</v>
      </c>
      <c r="AS7" s="88">
        <f t="shared" si="3"/>
        <v>1</v>
      </c>
      <c r="AT7" s="89">
        <f t="shared" si="4"/>
        <v>6</v>
      </c>
      <c r="AU7" s="86">
        <f>IFERROR(__xludf.DUMMYFUNCTION("IF(REGEXMATCH(S7,""&lt;b&gt;Poison&lt;/b&gt;""),1+((1/(7-N7))/3),1)"),1.0)</f>
        <v>1</v>
      </c>
      <c r="AV7" s="86">
        <f>IFERROR(__xludf.DUMMYFUNCTION("IF(REGEXMATCH(S7,""Vengence""),(7 - R7) / 3,0)"),0.0)</f>
        <v>0</v>
      </c>
      <c r="AW7" s="86">
        <f t="shared" si="5"/>
        <v>3</v>
      </c>
      <c r="AX7" s="84">
        <f t="shared" si="6"/>
        <v>13.5</v>
      </c>
      <c r="AY7" s="76" t="b">
        <f>IFERROR(__xludf.DUMMYFUNCTION("if(regexmatch(G7,""Mage|War Machine""),true,false)"),FALSE)</f>
        <v>0</v>
      </c>
    </row>
    <row r="8" ht="22.5" customHeight="1">
      <c r="A8" s="44" t="s">
        <v>234</v>
      </c>
      <c r="B8" s="44" t="s">
        <v>235</v>
      </c>
      <c r="C8" s="44" t="str">
        <f t="shared" si="1"/>
        <v>Boneborn Tomb Titan</v>
      </c>
      <c r="D8" s="44" t="b">
        <v>1</v>
      </c>
      <c r="E8" s="57" t="s">
        <v>138</v>
      </c>
      <c r="F8" s="44" t="s">
        <v>236</v>
      </c>
      <c r="G8" s="57" t="s">
        <v>154</v>
      </c>
      <c r="H8" s="60">
        <v>5.0</v>
      </c>
      <c r="I8" s="64">
        <v>2.0</v>
      </c>
      <c r="J8" s="62"/>
      <c r="K8" s="62"/>
      <c r="L8" s="62">
        <v>1.0</v>
      </c>
      <c r="M8" s="62">
        <v>1.0</v>
      </c>
      <c r="N8" s="62">
        <v>3.0</v>
      </c>
      <c r="O8" s="64" t="s">
        <v>147</v>
      </c>
      <c r="P8" s="66" t="s">
        <v>153</v>
      </c>
      <c r="Q8" s="62">
        <v>5.0</v>
      </c>
      <c r="R8" s="66" t="s">
        <v>194</v>
      </c>
      <c r="S8" s="67" t="s">
        <v>237</v>
      </c>
      <c r="T8" s="6">
        <v>6.0</v>
      </c>
      <c r="U8" s="6" t="s">
        <v>238</v>
      </c>
      <c r="V8" s="6"/>
      <c r="W8" s="6"/>
      <c r="X8" s="6"/>
      <c r="Y8" s="6"/>
      <c r="Z8" s="6">
        <v>2.0</v>
      </c>
      <c r="AA8" s="6">
        <v>2.0</v>
      </c>
      <c r="AB8" s="6"/>
      <c r="AC8" s="6"/>
      <c r="AD8" s="76"/>
      <c r="AE8" s="68" t="s">
        <v>167</v>
      </c>
      <c r="AF8" s="90" t="s">
        <v>195</v>
      </c>
      <c r="AG8" s="68" t="s">
        <v>167</v>
      </c>
      <c r="AH8" s="90" t="s">
        <v>195</v>
      </c>
      <c r="AI8" s="90" t="s">
        <v>195</v>
      </c>
      <c r="AJ8" s="90" t="s">
        <v>195</v>
      </c>
      <c r="AK8" s="76" t="str">
        <f t="array" ref="AK8">INDEX(Factions!C:C, MATCH(E8, Factions!B:B, 0))</f>
        <v>#e0e0d3</v>
      </c>
      <c r="AL8" s="6" t="str">
        <f t="array" ref="AL8">INDEX(Factions!D:D, MATCH(E8, Factions!B:B, 0))</f>
        <v>#4d4d4d</v>
      </c>
      <c r="AM8" s="6" t="str">
        <f t="array" ref="AM8">INDEX(Factions!E:E, MATCH(E8, Factions!B:B, 0))</f>
        <v>#000000</v>
      </c>
      <c r="AN8" s="76" t="str">
        <f t="array" ref="AN8">INDEX(Factions!F:F, MATCH(E8, Factions!B:B, 0))</f>
        <v>#ffffff</v>
      </c>
      <c r="AO8" s="76" t="str">
        <f t="array" ref="AO8">concat(INDEX(Factions!G:G, MATCH(E8, Factions!B:B, 0)),".png")</f>
        <v>skellies.png</v>
      </c>
      <c r="AP8" s="84">
        <f>IFERROR(__xludf.DUMMYFUNCTION("MIN(FILTER(M8:M1098, F8:F1098=F8))"),1.0)</f>
        <v>1</v>
      </c>
      <c r="AQ8" s="76">
        <f t="shared" si="2"/>
        <v>5</v>
      </c>
      <c r="AR8" s="86">
        <f>IFERROR(__xludf.DUMMYFUNCTION("IF(and(REGEXMATCH(S8,""Vengence""),not(REGEXMATCH(S8, ""Protective Markings""))),AQ8,AQ8 * 6 / iferror(R8-1,6))"),10.0)</f>
        <v>10</v>
      </c>
      <c r="AS8" s="88">
        <f t="shared" si="3"/>
        <v>5</v>
      </c>
      <c r="AT8" s="89">
        <f t="shared" si="4"/>
        <v>5</v>
      </c>
      <c r="AU8" s="86">
        <f>IFERROR(__xludf.DUMMYFUNCTION("IF(REGEXMATCH(S8,""&lt;b&gt;Poison&lt;/b&gt;""),1+((1/(7-N8))/3),1)"),1.0)</f>
        <v>1</v>
      </c>
      <c r="AV8" s="86">
        <f>IFERROR(__xludf.DUMMYFUNCTION("IF(REGEXMATCH(S8,""Vengence""),(7 - R8) / 3,0)"),0.0)</f>
        <v>0</v>
      </c>
      <c r="AW8" s="86">
        <f t="shared" si="5"/>
        <v>3.333333333</v>
      </c>
      <c r="AX8" s="84">
        <f t="shared" si="6"/>
        <v>15</v>
      </c>
      <c r="AY8" s="76" t="b">
        <f>IFERROR(__xludf.DUMMYFUNCTION("if(regexmatch(G8,""Mage|War Machine""),true,false)"),FALSE)</f>
        <v>0</v>
      </c>
    </row>
    <row r="9" ht="22.5" customHeight="1">
      <c r="A9" s="44" t="s">
        <v>268</v>
      </c>
      <c r="B9" s="44" t="s">
        <v>271</v>
      </c>
      <c r="C9" s="44" t="str">
        <f t="shared" si="1"/>
        <v>Boneborn Grave Beast</v>
      </c>
      <c r="D9" s="44" t="b">
        <v>1</v>
      </c>
      <c r="E9" s="57" t="s">
        <v>138</v>
      </c>
      <c r="F9" s="44" t="s">
        <v>236</v>
      </c>
      <c r="G9" s="57" t="s">
        <v>154</v>
      </c>
      <c r="H9" s="60">
        <v>5.0</v>
      </c>
      <c r="I9" s="62">
        <v>2.0</v>
      </c>
      <c r="J9" s="62"/>
      <c r="K9" s="62"/>
      <c r="L9" s="62">
        <v>1.0</v>
      </c>
      <c r="M9" s="62">
        <v>1.0</v>
      </c>
      <c r="N9" s="62">
        <v>4.0</v>
      </c>
      <c r="O9" s="64" t="s">
        <v>147</v>
      </c>
      <c r="P9" s="66" t="s">
        <v>194</v>
      </c>
      <c r="Q9" s="62">
        <v>7.0</v>
      </c>
      <c r="R9" s="66" t="s">
        <v>153</v>
      </c>
      <c r="S9" s="67" t="s">
        <v>283</v>
      </c>
      <c r="T9" s="6">
        <v>7.0</v>
      </c>
      <c r="U9" s="76"/>
      <c r="V9" s="76"/>
      <c r="W9" s="76"/>
      <c r="X9" s="76"/>
      <c r="Y9" s="76"/>
      <c r="Z9" s="6">
        <v>2.0</v>
      </c>
      <c r="AA9" s="6">
        <v>2.0</v>
      </c>
      <c r="AB9" s="6">
        <v>2.0</v>
      </c>
      <c r="AC9" s="76"/>
      <c r="AD9" s="76"/>
      <c r="AE9" s="68" t="s">
        <v>167</v>
      </c>
      <c r="AF9" s="68" t="s">
        <v>167</v>
      </c>
      <c r="AG9" s="68" t="s">
        <v>167</v>
      </c>
      <c r="AH9" s="68" t="s">
        <v>167</v>
      </c>
      <c r="AI9" s="90" t="s">
        <v>195</v>
      </c>
      <c r="AJ9" s="68" t="s">
        <v>167</v>
      </c>
      <c r="AK9" s="76" t="str">
        <f t="array" ref="AK9">INDEX(Factions!C:C, MATCH(E9, Factions!B:B, 0))</f>
        <v>#e0e0d3</v>
      </c>
      <c r="AL9" s="6" t="str">
        <f t="array" ref="AL9">INDEX(Factions!D:D, MATCH(E9, Factions!B:B, 0))</f>
        <v>#4d4d4d</v>
      </c>
      <c r="AM9" s="6" t="str">
        <f t="array" ref="AM9">INDEX(Factions!E:E, MATCH(E9, Factions!B:B, 0))</f>
        <v>#000000</v>
      </c>
      <c r="AN9" s="76" t="str">
        <f t="array" ref="AN9">INDEX(Factions!F:F, MATCH(E9, Factions!B:B, 0))</f>
        <v>#ffffff</v>
      </c>
      <c r="AO9" s="76" t="str">
        <f t="array" ref="AO9">concat(INDEX(Factions!G:G, MATCH(E9, Factions!B:B, 0)),".png")</f>
        <v>skellies.png</v>
      </c>
      <c r="AP9" s="84">
        <f>IFERROR(__xludf.DUMMYFUNCTION("MIN(FILTER(M9:M1098, F9:F1098=F9))"),1.0)</f>
        <v>1</v>
      </c>
      <c r="AQ9" s="76">
        <f t="shared" si="2"/>
        <v>7</v>
      </c>
      <c r="AR9" s="86">
        <f>IFERROR(__xludf.DUMMYFUNCTION("IF(and(REGEXMATCH(S9,""Vengence""),not(REGEXMATCH(S9, ""Protective Markings""))),AQ9,AQ9 * 6 / iferror(R9-1,6))"),10.5)</f>
        <v>10.5</v>
      </c>
      <c r="AS9" s="88">
        <f t="shared" si="3"/>
        <v>4</v>
      </c>
      <c r="AT9" s="89">
        <f t="shared" si="4"/>
        <v>4</v>
      </c>
      <c r="AU9" s="86">
        <f>IFERROR(__xludf.DUMMYFUNCTION("IF(REGEXMATCH(S9,""&lt;b&gt;Poison&lt;/b&gt;""),1+((1/(7-N9))/3),1)"),1.0)</f>
        <v>1</v>
      </c>
      <c r="AV9" s="86">
        <f>IFERROR(__xludf.DUMMYFUNCTION("IF(REGEXMATCH(S9,""Vengence""),(7 - R9) / 3,0)"),0.0)</f>
        <v>0</v>
      </c>
      <c r="AW9" s="86">
        <f t="shared" si="5"/>
        <v>2</v>
      </c>
      <c r="AX9" s="84">
        <f t="shared" si="6"/>
        <v>13.5</v>
      </c>
      <c r="AY9" s="76" t="b">
        <f>IFERROR(__xludf.DUMMYFUNCTION("if(regexmatch(G9,""Mage|War Machine""),true,false)"),FALSE)</f>
        <v>0</v>
      </c>
    </row>
    <row r="10" ht="22.5" customHeight="1">
      <c r="A10" s="44" t="s">
        <v>334</v>
      </c>
      <c r="B10" s="44" t="s">
        <v>335</v>
      </c>
      <c r="C10" s="44" t="str">
        <f t="shared" si="1"/>
        <v>Boneborn Skullclops</v>
      </c>
      <c r="D10" s="44" t="b">
        <v>1</v>
      </c>
      <c r="E10" s="57" t="s">
        <v>138</v>
      </c>
      <c r="F10" s="44" t="s">
        <v>236</v>
      </c>
      <c r="G10" s="57" t="s">
        <v>154</v>
      </c>
      <c r="H10" s="60">
        <v>5.0</v>
      </c>
      <c r="I10" s="62">
        <v>2.0</v>
      </c>
      <c r="J10" s="62"/>
      <c r="K10" s="62"/>
      <c r="L10" s="62">
        <v>1.0</v>
      </c>
      <c r="M10" s="62">
        <v>1.0</v>
      </c>
      <c r="N10" s="62">
        <v>3.0</v>
      </c>
      <c r="O10" s="64">
        <v>3.0</v>
      </c>
      <c r="P10" s="66" t="s">
        <v>194</v>
      </c>
      <c r="Q10" s="62">
        <v>5.0</v>
      </c>
      <c r="R10" s="66" t="s">
        <v>153</v>
      </c>
      <c r="S10" s="67" t="s">
        <v>349</v>
      </c>
      <c r="T10" s="6">
        <v>4.0</v>
      </c>
      <c r="U10" s="76"/>
      <c r="V10" s="76"/>
      <c r="W10" s="76"/>
      <c r="X10" s="76"/>
      <c r="Y10" s="76"/>
      <c r="Z10" s="6">
        <v>2.0</v>
      </c>
      <c r="AA10" s="6">
        <v>2.0</v>
      </c>
      <c r="AB10" s="6"/>
      <c r="AC10" s="76"/>
      <c r="AD10" s="76"/>
      <c r="AE10" s="68" t="s">
        <v>167</v>
      </c>
      <c r="AF10" s="90" t="s">
        <v>195</v>
      </c>
      <c r="AG10" s="129" t="s">
        <v>354</v>
      </c>
      <c r="AH10" s="68" t="s">
        <v>167</v>
      </c>
      <c r="AI10" s="90" t="s">
        <v>195</v>
      </c>
      <c r="AJ10" s="68" t="s">
        <v>167</v>
      </c>
      <c r="AK10" s="76" t="str">
        <f t="array" ref="AK10">INDEX(Factions!C:C, MATCH(E10, Factions!B:B, 0))</f>
        <v>#e0e0d3</v>
      </c>
      <c r="AL10" s="6" t="str">
        <f t="array" ref="AL10">INDEX(Factions!D:D, MATCH(E10, Factions!B:B, 0))</f>
        <v>#4d4d4d</v>
      </c>
      <c r="AM10" s="6" t="str">
        <f t="array" ref="AM10">INDEX(Factions!E:E, MATCH(E10, Factions!B:B, 0))</f>
        <v>#000000</v>
      </c>
      <c r="AN10" s="76" t="str">
        <f t="array" ref="AN10">INDEX(Factions!F:F, MATCH(E10, Factions!B:B, 0))</f>
        <v>#ffffff</v>
      </c>
      <c r="AO10" s="76" t="str">
        <f t="array" ref="AO10">concat(INDEX(Factions!G:G, MATCH(E10, Factions!B:B, 0)),".png")</f>
        <v>skellies.png</v>
      </c>
      <c r="AP10" s="84">
        <f>IFERROR(__xludf.DUMMYFUNCTION("MIN(FILTER(M10:M1098, F10:F1098=F10))"),1.0)</f>
        <v>1</v>
      </c>
      <c r="AQ10" s="76">
        <f t="shared" si="2"/>
        <v>5</v>
      </c>
      <c r="AR10" s="86">
        <f>IFERROR(__xludf.DUMMYFUNCTION("IF(and(REGEXMATCH(S10,""Vengence""),not(REGEXMATCH(S10, ""Protective Markings""))),AQ10,AQ10 * 6 / iferror(R10-1,6))"),7.5)</f>
        <v>7.5</v>
      </c>
      <c r="AS10" s="88">
        <f t="shared" si="3"/>
        <v>4</v>
      </c>
      <c r="AT10" s="89">
        <f t="shared" si="4"/>
        <v>4</v>
      </c>
      <c r="AU10" s="86">
        <f>IFERROR(__xludf.DUMMYFUNCTION("IF(REGEXMATCH(S10,""&lt;b&gt;Poison&lt;/b&gt;""),1+((1/(7-N10))/3),1)"),1.0)</f>
        <v>1</v>
      </c>
      <c r="AV10" s="86">
        <f>IFERROR(__xludf.DUMMYFUNCTION("IF(REGEXMATCH(S10,""Vengence""),(7 - R10) / 3,0)"),0.0)</f>
        <v>0</v>
      </c>
      <c r="AW10" s="86">
        <f t="shared" si="5"/>
        <v>2.666666667</v>
      </c>
      <c r="AX10" s="84">
        <f t="shared" si="6"/>
        <v>11.5</v>
      </c>
      <c r="AY10" s="76" t="b">
        <f>IFERROR(__xludf.DUMMYFUNCTION("if(regexmatch(G10,""Mage|War Machine""),true,false)"),FALSE)</f>
        <v>0</v>
      </c>
    </row>
    <row r="11" ht="22.5" customHeight="1">
      <c r="A11" s="44" t="s">
        <v>367</v>
      </c>
      <c r="B11" s="44" t="s">
        <v>368</v>
      </c>
      <c r="C11" s="44" t="str">
        <f t="shared" si="1"/>
        <v>Boneborn Terrormancers</v>
      </c>
      <c r="D11" s="44" t="b">
        <v>1</v>
      </c>
      <c r="E11" s="57" t="s">
        <v>138</v>
      </c>
      <c r="F11" s="44" t="s">
        <v>369</v>
      </c>
      <c r="G11" s="57" t="s">
        <v>157</v>
      </c>
      <c r="H11" s="60">
        <v>6.0</v>
      </c>
      <c r="I11" s="62">
        <v>2.0</v>
      </c>
      <c r="J11" s="62"/>
      <c r="K11" s="62"/>
      <c r="L11" s="62">
        <v>3.0</v>
      </c>
      <c r="M11" s="62">
        <v>1.0</v>
      </c>
      <c r="N11" s="62">
        <v>4.0</v>
      </c>
      <c r="O11" s="64">
        <v>4.0</v>
      </c>
      <c r="P11" s="66" t="s">
        <v>372</v>
      </c>
      <c r="Q11" s="62">
        <v>2.0</v>
      </c>
      <c r="R11" s="66" t="s">
        <v>153</v>
      </c>
      <c r="S11" s="67" t="s">
        <v>373</v>
      </c>
      <c r="T11" s="6">
        <v>3.0</v>
      </c>
      <c r="U11" s="6"/>
      <c r="V11" s="6"/>
      <c r="W11" s="6">
        <v>2.0</v>
      </c>
      <c r="X11" s="76"/>
      <c r="Y11" s="76"/>
      <c r="Z11" s="76"/>
      <c r="AA11" s="76"/>
      <c r="AB11" s="76"/>
      <c r="AC11" s="76"/>
      <c r="AD11" s="76"/>
      <c r="AE11" s="68" t="s">
        <v>167</v>
      </c>
      <c r="AF11" s="68" t="s">
        <v>167</v>
      </c>
      <c r="AG11" s="90" t="s">
        <v>195</v>
      </c>
      <c r="AH11" s="68" t="s">
        <v>167</v>
      </c>
      <c r="AI11" s="68" t="s">
        <v>167</v>
      </c>
      <c r="AJ11" s="68" t="s">
        <v>167</v>
      </c>
      <c r="AK11" s="76" t="str">
        <f t="array" ref="AK11">INDEX(Factions!C:C, MATCH(E11, Factions!B:B, 0))</f>
        <v>#e0e0d3</v>
      </c>
      <c r="AL11" s="6" t="str">
        <f t="array" ref="AL11">INDEX(Factions!D:D, MATCH(E11, Factions!B:B, 0))</f>
        <v>#4d4d4d</v>
      </c>
      <c r="AM11" s="6" t="str">
        <f t="array" ref="AM11">INDEX(Factions!E:E, MATCH(E11, Factions!B:B, 0))</f>
        <v>#000000</v>
      </c>
      <c r="AN11" s="76" t="str">
        <f t="array" ref="AN11">INDEX(Factions!F:F, MATCH(E11, Factions!B:B, 0))</f>
        <v>#ffffff</v>
      </c>
      <c r="AO11" s="76" t="str">
        <f t="array" ref="AO11">concat(INDEX(Factions!G:G, MATCH(E11, Factions!B:B, 0)),".png")</f>
        <v>skellies.png</v>
      </c>
      <c r="AP11" s="84">
        <f>IFERROR(__xludf.DUMMYFUNCTION("MIN(FILTER(M11:M1098, F11:F1098=F11))"),1.0)</f>
        <v>1</v>
      </c>
      <c r="AQ11" s="76">
        <f t="shared" si="2"/>
        <v>6</v>
      </c>
      <c r="AR11" s="86">
        <f>IFERROR(__xludf.DUMMYFUNCTION("IF(and(REGEXMATCH(S11,""Vengence""),not(REGEXMATCH(S11, ""Protective Markings""))),AQ11,AQ11 * 6 / iferror(R11-1,6))"),9.0)</f>
        <v>9</v>
      </c>
      <c r="AS11" s="88">
        <f t="shared" si="3"/>
        <v>2</v>
      </c>
      <c r="AT11" s="89">
        <f t="shared" si="4"/>
        <v>6</v>
      </c>
      <c r="AU11" s="86">
        <f>IFERROR(__xludf.DUMMYFUNCTION("IF(REGEXMATCH(S11,""&lt;b&gt;Poison&lt;/b&gt;""),1+((1/(7-N11))/3),1)"),1.0)</f>
        <v>1</v>
      </c>
      <c r="AV11" s="86">
        <f>IFERROR(__xludf.DUMMYFUNCTION("IF(REGEXMATCH(S11,""Vengence""),(7 - R11) / 3,0)"),0.0)</f>
        <v>0</v>
      </c>
      <c r="AW11" s="86">
        <f t="shared" si="5"/>
        <v>3</v>
      </c>
      <c r="AX11" s="84">
        <f t="shared" si="6"/>
        <v>13.5</v>
      </c>
      <c r="AY11" s="76" t="b">
        <f>IFERROR(__xludf.DUMMYFUNCTION("if(regexmatch(G11,""Mage|War Machine""),true,false)"),TRUE)</f>
        <v>1</v>
      </c>
    </row>
    <row r="12" ht="22.5" customHeight="1">
      <c r="A12" s="44" t="s">
        <v>377</v>
      </c>
      <c r="B12" s="44" t="s">
        <v>378</v>
      </c>
      <c r="C12" s="44" t="str">
        <f t="shared" si="1"/>
        <v>Boneborn Blood Mages</v>
      </c>
      <c r="D12" s="44" t="b">
        <v>1</v>
      </c>
      <c r="E12" s="57" t="s">
        <v>138</v>
      </c>
      <c r="F12" s="44" t="s">
        <v>369</v>
      </c>
      <c r="G12" s="57" t="s">
        <v>145</v>
      </c>
      <c r="H12" s="60">
        <v>6.0</v>
      </c>
      <c r="I12" s="62">
        <v>2.0</v>
      </c>
      <c r="J12" s="62"/>
      <c r="K12" s="62"/>
      <c r="L12" s="62">
        <v>3.0</v>
      </c>
      <c r="M12" s="62">
        <v>1.0</v>
      </c>
      <c r="N12" s="62">
        <v>3.0</v>
      </c>
      <c r="O12" s="64" t="s">
        <v>147</v>
      </c>
      <c r="P12" s="66" t="s">
        <v>380</v>
      </c>
      <c r="Q12" s="62">
        <v>2.0</v>
      </c>
      <c r="R12" s="66" t="s">
        <v>153</v>
      </c>
      <c r="S12" s="67" t="s">
        <v>381</v>
      </c>
      <c r="T12" s="6">
        <v>6.0</v>
      </c>
      <c r="U12" s="6"/>
      <c r="V12" s="6"/>
      <c r="W12" s="6">
        <v>2.0</v>
      </c>
      <c r="X12" s="76"/>
      <c r="Y12" s="76"/>
      <c r="Z12" s="76"/>
      <c r="AA12" s="76"/>
      <c r="AB12" s="76"/>
      <c r="AC12" s="76"/>
      <c r="AD12" s="76"/>
      <c r="AE12" s="68" t="s">
        <v>167</v>
      </c>
      <c r="AF12" s="90" t="s">
        <v>195</v>
      </c>
      <c r="AG12" s="68" t="s">
        <v>167</v>
      </c>
      <c r="AH12" s="90" t="s">
        <v>195</v>
      </c>
      <c r="AI12" s="68" t="s">
        <v>167</v>
      </c>
      <c r="AJ12" s="68" t="s">
        <v>167</v>
      </c>
      <c r="AK12" s="76" t="str">
        <f t="array" ref="AK12">INDEX(Factions!C:C, MATCH(E12, Factions!B:B, 0))</f>
        <v>#e0e0d3</v>
      </c>
      <c r="AL12" s="6" t="str">
        <f t="array" ref="AL12">INDEX(Factions!D:D, MATCH(E12, Factions!B:B, 0))</f>
        <v>#4d4d4d</v>
      </c>
      <c r="AM12" s="6" t="str">
        <f t="array" ref="AM12">INDEX(Factions!E:E, MATCH(E12, Factions!B:B, 0))</f>
        <v>#000000</v>
      </c>
      <c r="AN12" s="76" t="str">
        <f t="array" ref="AN12">INDEX(Factions!F:F, MATCH(E12, Factions!B:B, 0))</f>
        <v>#ffffff</v>
      </c>
      <c r="AO12" s="76" t="str">
        <f t="array" ref="AO12">concat(INDEX(Factions!G:G, MATCH(E12, Factions!B:B, 0)),".png")</f>
        <v>skellies.png</v>
      </c>
      <c r="AP12" s="84">
        <f>IFERROR(__xludf.DUMMYFUNCTION("MIN(FILTER(M12:M1098, F12:F1098=F12))"),1.0)</f>
        <v>1</v>
      </c>
      <c r="AQ12" s="76">
        <f t="shared" si="2"/>
        <v>6</v>
      </c>
      <c r="AR12" s="86">
        <f>IFERROR(__xludf.DUMMYFUNCTION("IF(and(REGEXMATCH(S12,""Vengence""),not(REGEXMATCH(S12, ""Protective Markings""))),AQ12,AQ12 * 6 / iferror(R12-1,6))"),9.0)</f>
        <v>9</v>
      </c>
      <c r="AS12" s="88">
        <f t="shared" si="3"/>
        <v>3</v>
      </c>
      <c r="AT12" s="89">
        <f t="shared" si="4"/>
        <v>9</v>
      </c>
      <c r="AU12" s="86">
        <f>IFERROR(__xludf.DUMMYFUNCTION("IF(REGEXMATCH(S12,""&lt;b&gt;Poison&lt;/b&gt;""),1+((1/(7-N12))/3),1)"),1.0)</f>
        <v>1</v>
      </c>
      <c r="AV12" s="86">
        <f>IFERROR(__xludf.DUMMYFUNCTION("IF(REGEXMATCH(S12,""Vengence""),(7 - R12) / 3,0)"),0.0)</f>
        <v>0</v>
      </c>
      <c r="AW12" s="86">
        <f t="shared" si="5"/>
        <v>6</v>
      </c>
      <c r="AX12" s="84">
        <f t="shared" si="6"/>
        <v>18</v>
      </c>
      <c r="AY12" s="76" t="b">
        <f>IFERROR(__xludf.DUMMYFUNCTION("if(regexmatch(G12,""Mage|War Machine""),true,false)"),FALSE)</f>
        <v>0</v>
      </c>
    </row>
    <row r="13" ht="22.5" customHeight="1">
      <c r="A13" s="44" t="s">
        <v>383</v>
      </c>
      <c r="B13" s="44" t="s">
        <v>384</v>
      </c>
      <c r="C13" s="44" t="str">
        <f t="shared" si="1"/>
        <v>Boneborn Wall of Flesh</v>
      </c>
      <c r="D13" s="44" t="b">
        <v>1</v>
      </c>
      <c r="E13" s="57" t="s">
        <v>138</v>
      </c>
      <c r="F13" s="44" t="s">
        <v>385</v>
      </c>
      <c r="G13" s="57" t="s">
        <v>144</v>
      </c>
      <c r="H13" s="60">
        <v>6.0</v>
      </c>
      <c r="I13" s="64">
        <v>2.0</v>
      </c>
      <c r="J13" s="62"/>
      <c r="K13" s="62"/>
      <c r="L13" s="62">
        <v>6.0</v>
      </c>
      <c r="M13" s="62">
        <v>1.0</v>
      </c>
      <c r="N13" s="62">
        <v>5.0</v>
      </c>
      <c r="O13" s="64" t="s">
        <v>147</v>
      </c>
      <c r="P13" s="66" t="s">
        <v>150</v>
      </c>
      <c r="Q13" s="62">
        <v>2.0</v>
      </c>
      <c r="R13" s="66" t="s">
        <v>153</v>
      </c>
      <c r="S13" s="67" t="s">
        <v>386</v>
      </c>
      <c r="T13" s="6">
        <v>7.25</v>
      </c>
      <c r="U13" s="6"/>
      <c r="V13" s="6"/>
      <c r="W13" s="6"/>
      <c r="X13" s="6"/>
      <c r="Y13" s="6">
        <v>2.0</v>
      </c>
      <c r="Z13" s="6">
        <v>2.0</v>
      </c>
      <c r="AA13" s="6">
        <v>2.0</v>
      </c>
      <c r="AB13" s="76"/>
      <c r="AC13" s="6">
        <v>2.0</v>
      </c>
      <c r="AD13" s="76"/>
      <c r="AE13" s="68" t="s">
        <v>167</v>
      </c>
      <c r="AF13" s="69" t="s">
        <v>171</v>
      </c>
      <c r="AG13" s="68" t="s">
        <v>167</v>
      </c>
      <c r="AH13" s="68" t="s">
        <v>167</v>
      </c>
      <c r="AI13" s="90" t="s">
        <v>195</v>
      </c>
      <c r="AJ13" s="68" t="s">
        <v>167</v>
      </c>
      <c r="AK13" s="76" t="str">
        <f t="array" ref="AK13">INDEX(Factions!C:C, MATCH(E13, Factions!B:B, 0))</f>
        <v>#e0e0d3</v>
      </c>
      <c r="AL13" s="6" t="str">
        <f t="array" ref="AL13">INDEX(Factions!D:D, MATCH(E13, Factions!B:B, 0))</f>
        <v>#4d4d4d</v>
      </c>
      <c r="AM13" s="6" t="str">
        <f t="array" ref="AM13">INDEX(Factions!E:E, MATCH(E13, Factions!B:B, 0))</f>
        <v>#000000</v>
      </c>
      <c r="AN13" s="76" t="str">
        <f t="array" ref="AN13">INDEX(Factions!F:F, MATCH(E13, Factions!B:B, 0))</f>
        <v>#ffffff</v>
      </c>
      <c r="AO13" s="76" t="str">
        <f t="array" ref="AO13">concat(INDEX(Factions!G:G, MATCH(E13, Factions!B:B, 0)),".png")</f>
        <v>skellies.png</v>
      </c>
      <c r="AP13" s="84">
        <f>IFERROR(__xludf.DUMMYFUNCTION("MIN(FILTER(M13:M1098, F13:F1098=F13))"),1.0)</f>
        <v>1</v>
      </c>
      <c r="AQ13" s="76">
        <f t="shared" si="2"/>
        <v>12</v>
      </c>
      <c r="AR13" s="86">
        <f>IFERROR(__xludf.DUMMYFUNCTION("IF(and(REGEXMATCH(S13,""Vengence""),not(REGEXMATCH(S13, ""Protective Markings""))),AQ13,AQ13 * 6 / iferror(R13-1,6))"),18.0)</f>
        <v>18</v>
      </c>
      <c r="AS13" s="88">
        <f t="shared" si="3"/>
        <v>1</v>
      </c>
      <c r="AT13" s="89">
        <f t="shared" si="4"/>
        <v>6</v>
      </c>
      <c r="AU13" s="86">
        <f>IFERROR(__xludf.DUMMYFUNCTION("IF(REGEXMATCH(S13,""&lt;b&gt;Poison&lt;/b&gt;""),1+((1/(7-N13))/3),1)"),1.0)</f>
        <v>1</v>
      </c>
      <c r="AV13" s="86">
        <f>IFERROR(__xludf.DUMMYFUNCTION("IF(REGEXMATCH(S13,""Vengence""),(7 - R13) / 3,0)"),0.0)</f>
        <v>0</v>
      </c>
      <c r="AW13" s="86">
        <f t="shared" si="5"/>
        <v>2</v>
      </c>
      <c r="AX13" s="84">
        <f t="shared" si="6"/>
        <v>21</v>
      </c>
      <c r="AY13" s="76" t="b">
        <f>IFERROR(__xludf.DUMMYFUNCTION("if(regexmatch(G13,""Mage|War Machine""),true,false)"),FALSE)</f>
        <v>0</v>
      </c>
    </row>
    <row r="14" ht="22.5" customHeight="1">
      <c r="A14" s="44" t="s">
        <v>387</v>
      </c>
      <c r="B14" s="44" t="s">
        <v>388</v>
      </c>
      <c r="C14" s="44" t="str">
        <f t="shared" si="1"/>
        <v>Boneborn Rotting Dead</v>
      </c>
      <c r="D14" s="44" t="b">
        <v>1</v>
      </c>
      <c r="E14" s="57" t="s">
        <v>138</v>
      </c>
      <c r="F14" s="44" t="s">
        <v>385</v>
      </c>
      <c r="G14" s="57" t="s">
        <v>75</v>
      </c>
      <c r="H14" s="60">
        <v>6.0</v>
      </c>
      <c r="I14" s="62">
        <v>2.0</v>
      </c>
      <c r="J14" s="62"/>
      <c r="K14" s="62"/>
      <c r="L14" s="62">
        <v>6.0</v>
      </c>
      <c r="M14" s="62">
        <v>1.0</v>
      </c>
      <c r="N14" s="62">
        <v>5.0</v>
      </c>
      <c r="O14" s="64" t="s">
        <v>147</v>
      </c>
      <c r="P14" s="66" t="s">
        <v>150</v>
      </c>
      <c r="Q14" s="62">
        <v>2.0</v>
      </c>
      <c r="R14" s="66" t="s">
        <v>153</v>
      </c>
      <c r="S14" s="67" t="s">
        <v>389</v>
      </c>
      <c r="T14" s="6">
        <v>6.0</v>
      </c>
      <c r="U14" s="6"/>
      <c r="V14" s="6"/>
      <c r="W14" s="6"/>
      <c r="X14" s="6"/>
      <c r="Y14" s="6">
        <v>2.0</v>
      </c>
      <c r="Z14" s="6">
        <v>2.0</v>
      </c>
      <c r="AA14" s="6">
        <v>2.0</v>
      </c>
      <c r="AB14" s="6">
        <v>2.0</v>
      </c>
      <c r="AC14" s="6">
        <v>2.0</v>
      </c>
      <c r="AD14" s="76"/>
      <c r="AE14" s="68" t="s">
        <v>167</v>
      </c>
      <c r="AF14" s="69" t="s">
        <v>171</v>
      </c>
      <c r="AG14" s="68" t="s">
        <v>167</v>
      </c>
      <c r="AH14" s="68" t="s">
        <v>167</v>
      </c>
      <c r="AI14" s="90" t="s">
        <v>195</v>
      </c>
      <c r="AJ14" s="68" t="s">
        <v>167</v>
      </c>
      <c r="AK14" s="76" t="str">
        <f t="array" ref="AK14">INDEX(Factions!C:C, MATCH(E14, Factions!B:B, 0))</f>
        <v>#e0e0d3</v>
      </c>
      <c r="AL14" s="6" t="str">
        <f t="array" ref="AL14">INDEX(Factions!D:D, MATCH(E14, Factions!B:B, 0))</f>
        <v>#4d4d4d</v>
      </c>
      <c r="AM14" s="6" t="str">
        <f t="array" ref="AM14">INDEX(Factions!E:E, MATCH(E14, Factions!B:B, 0))</f>
        <v>#000000</v>
      </c>
      <c r="AN14" s="76" t="str">
        <f t="array" ref="AN14">INDEX(Factions!F:F, MATCH(E14, Factions!B:B, 0))</f>
        <v>#ffffff</v>
      </c>
      <c r="AO14" s="76" t="str">
        <f t="array" ref="AO14">concat(INDEX(Factions!G:G, MATCH(E14, Factions!B:B, 0)),".png")</f>
        <v>skellies.png</v>
      </c>
      <c r="AP14" s="84">
        <f>IFERROR(__xludf.DUMMYFUNCTION("MIN(FILTER(M14:M1098, F14:F1098=F14))"),1.0)</f>
        <v>1</v>
      </c>
      <c r="AQ14" s="76">
        <f t="shared" si="2"/>
        <v>12</v>
      </c>
      <c r="AR14" s="86">
        <f>IFERROR(__xludf.DUMMYFUNCTION("IF(and(REGEXMATCH(S14,""Vengence""),not(REGEXMATCH(S14, ""Protective Markings""))),AQ14,AQ14 * 6 / iferror(R14-1,6))"),18.0)</f>
        <v>18</v>
      </c>
      <c r="AS14" s="88">
        <f t="shared" si="3"/>
        <v>1</v>
      </c>
      <c r="AT14" s="89">
        <f t="shared" si="4"/>
        <v>6</v>
      </c>
      <c r="AU14" s="86">
        <f>IFERROR(__xludf.DUMMYFUNCTION("IF(REGEXMATCH(S14,""&lt;b&gt;Poison&lt;/b&gt;""),1+((1/(7-N14))/3),1)"),1.1666666666666667)</f>
        <v>1.166666667</v>
      </c>
      <c r="AV14" s="86">
        <f>IFERROR(__xludf.DUMMYFUNCTION("IF(REGEXMATCH(S14,""Vengence""),(7 - R14) / 3,0)"),0.0)</f>
        <v>0</v>
      </c>
      <c r="AW14" s="86">
        <f t="shared" si="5"/>
        <v>2.333333333</v>
      </c>
      <c r="AX14" s="84">
        <f t="shared" si="6"/>
        <v>21.5</v>
      </c>
      <c r="AY14" s="76" t="b">
        <f>IFERROR(__xludf.DUMMYFUNCTION("if(regexmatch(G14,""Mage|War Machine""),true,false)"),FALSE)</f>
        <v>0</v>
      </c>
    </row>
    <row r="15" ht="22.5" customHeight="1">
      <c r="A15" s="44" t="s">
        <v>390</v>
      </c>
      <c r="B15" s="44" t="s">
        <v>391</v>
      </c>
      <c r="C15" s="44" t="str">
        <f t="shared" si="1"/>
        <v>Boneborn Necromancers</v>
      </c>
      <c r="D15" s="44" t="b">
        <v>1</v>
      </c>
      <c r="E15" s="57" t="s">
        <v>138</v>
      </c>
      <c r="F15" s="44" t="s">
        <v>369</v>
      </c>
      <c r="G15" s="57" t="s">
        <v>158</v>
      </c>
      <c r="H15" s="60">
        <v>6.0</v>
      </c>
      <c r="I15" s="64">
        <v>2.0</v>
      </c>
      <c r="J15" s="62"/>
      <c r="K15" s="62"/>
      <c r="L15" s="62">
        <v>3.0</v>
      </c>
      <c r="M15" s="62">
        <v>1.0</v>
      </c>
      <c r="N15" s="62">
        <v>2.0</v>
      </c>
      <c r="O15" s="64" t="s">
        <v>147</v>
      </c>
      <c r="P15" s="66" t="s">
        <v>150</v>
      </c>
      <c r="Q15" s="62">
        <v>2.0</v>
      </c>
      <c r="R15" s="66" t="s">
        <v>217</v>
      </c>
      <c r="S15" s="67" t="s">
        <v>392</v>
      </c>
      <c r="T15" s="6">
        <v>3.0</v>
      </c>
      <c r="U15" s="6"/>
      <c r="V15" s="6"/>
      <c r="W15" s="6">
        <v>2.0</v>
      </c>
      <c r="X15" s="76"/>
      <c r="Y15" s="76"/>
      <c r="Z15" s="76"/>
      <c r="AA15" s="76"/>
      <c r="AB15" s="76"/>
      <c r="AC15" s="76"/>
      <c r="AD15" s="76"/>
      <c r="AE15" s="68" t="s">
        <v>167</v>
      </c>
      <c r="AF15" s="129" t="s">
        <v>354</v>
      </c>
      <c r="AG15" s="68" t="s">
        <v>167</v>
      </c>
      <c r="AH15" s="69" t="s">
        <v>171</v>
      </c>
      <c r="AI15" s="68" t="s">
        <v>167</v>
      </c>
      <c r="AJ15" s="69" t="s">
        <v>171</v>
      </c>
      <c r="AK15" s="76" t="str">
        <f t="array" ref="AK15">INDEX(Factions!C:C, MATCH(E15, Factions!B:B, 0))</f>
        <v>#e0e0d3</v>
      </c>
      <c r="AL15" s="6" t="str">
        <f t="array" ref="AL15">INDEX(Factions!D:D, MATCH(E15, Factions!B:B, 0))</f>
        <v>#4d4d4d</v>
      </c>
      <c r="AM15" s="6" t="str">
        <f t="array" ref="AM15">INDEX(Factions!E:E, MATCH(E15, Factions!B:B, 0))</f>
        <v>#000000</v>
      </c>
      <c r="AN15" s="76" t="str">
        <f t="array" ref="AN15">INDEX(Factions!F:F, MATCH(E15, Factions!B:B, 0))</f>
        <v>#ffffff</v>
      </c>
      <c r="AO15" s="76" t="str">
        <f t="array" ref="AO15">concat(INDEX(Factions!G:G, MATCH(E15, Factions!B:B, 0)),".png")</f>
        <v>skellies.png</v>
      </c>
      <c r="AP15" s="84">
        <f>IFERROR(__xludf.DUMMYFUNCTION("MIN(FILTER(M15:M1098, F15:F1098=F15))"),1.0)</f>
        <v>1</v>
      </c>
      <c r="AQ15" s="76">
        <f t="shared" si="2"/>
        <v>6</v>
      </c>
      <c r="AR15" s="86">
        <f>IFERROR(__xludf.DUMMYFUNCTION("IF(and(REGEXMATCH(S15,""Vengence""),not(REGEXMATCH(S15, ""Protective Markings""))),AQ15,AQ15 * 6 / iferror(R15-1,6))"),7.2)</f>
        <v>7.2</v>
      </c>
      <c r="AS15" s="88">
        <f t="shared" si="3"/>
        <v>1</v>
      </c>
      <c r="AT15" s="89">
        <f t="shared" si="4"/>
        <v>3</v>
      </c>
      <c r="AU15" s="86">
        <f>IFERROR(__xludf.DUMMYFUNCTION("IF(REGEXMATCH(S15,""&lt;b&gt;Poison&lt;/b&gt;""),1+((1/(7-N15))/3),1)"),1.0)</f>
        <v>1</v>
      </c>
      <c r="AV15" s="86">
        <f>IFERROR(__xludf.DUMMYFUNCTION("IF(REGEXMATCH(S15,""Vengence""),(7 - R15) / 3,0)"),0.0)</f>
        <v>0</v>
      </c>
      <c r="AW15" s="86">
        <f t="shared" si="5"/>
        <v>2.5</v>
      </c>
      <c r="AX15" s="84">
        <f t="shared" si="6"/>
        <v>10.95</v>
      </c>
      <c r="AY15" s="76" t="b">
        <f>IFERROR(__xludf.DUMMYFUNCTION("if(regexmatch(G15,""Mage|War Machine""),true,false)"),TRUE)</f>
        <v>1</v>
      </c>
    </row>
    <row r="16" ht="22.5" customHeight="1">
      <c r="A16" s="44" t="s">
        <v>394</v>
      </c>
      <c r="B16" s="44" t="s">
        <v>393</v>
      </c>
      <c r="C16" s="44" t="str">
        <f t="shared" si="1"/>
        <v>Boneborn Ghouls</v>
      </c>
      <c r="D16" s="44" t="b">
        <v>1</v>
      </c>
      <c r="E16" s="57" t="s">
        <v>138</v>
      </c>
      <c r="F16" s="44" t="s">
        <v>385</v>
      </c>
      <c r="G16" s="57" t="s">
        <v>146</v>
      </c>
      <c r="H16" s="60">
        <v>6.0</v>
      </c>
      <c r="I16" s="62">
        <v>2.0</v>
      </c>
      <c r="J16" s="62"/>
      <c r="K16" s="62"/>
      <c r="L16" s="62">
        <v>6.0</v>
      </c>
      <c r="M16" s="62">
        <v>1.0</v>
      </c>
      <c r="N16" s="62">
        <v>4.0</v>
      </c>
      <c r="O16" s="64" t="s">
        <v>147</v>
      </c>
      <c r="P16" s="66" t="s">
        <v>150</v>
      </c>
      <c r="Q16" s="62">
        <v>2.0</v>
      </c>
      <c r="R16" s="66" t="s">
        <v>217</v>
      </c>
      <c r="S16" s="67" t="s">
        <v>395</v>
      </c>
      <c r="T16" s="6">
        <v>6.75</v>
      </c>
      <c r="U16" s="6"/>
      <c r="V16" s="6"/>
      <c r="W16" s="6"/>
      <c r="X16" s="6"/>
      <c r="Y16" s="6"/>
      <c r="Z16" s="6">
        <v>2.0</v>
      </c>
      <c r="AA16" s="6">
        <v>2.0</v>
      </c>
      <c r="AB16" s="6">
        <v>2.0</v>
      </c>
      <c r="AC16" s="76"/>
      <c r="AD16" s="76"/>
      <c r="AE16" s="68" t="s">
        <v>167</v>
      </c>
      <c r="AF16" s="68" t="s">
        <v>167</v>
      </c>
      <c r="AG16" s="68" t="s">
        <v>167</v>
      </c>
      <c r="AH16" s="68" t="s">
        <v>167</v>
      </c>
      <c r="AI16" s="90" t="s">
        <v>195</v>
      </c>
      <c r="AJ16" s="69" t="s">
        <v>171</v>
      </c>
      <c r="AK16" s="76" t="str">
        <f t="array" ref="AK16">INDEX(Factions!C:C, MATCH(E16, Factions!B:B, 0))</f>
        <v>#e0e0d3</v>
      </c>
      <c r="AL16" s="6" t="str">
        <f t="array" ref="AL16">INDEX(Factions!D:D, MATCH(E16, Factions!B:B, 0))</f>
        <v>#4d4d4d</v>
      </c>
      <c r="AM16" s="6" t="str">
        <f t="array" ref="AM16">INDEX(Factions!E:E, MATCH(E16, Factions!B:B, 0))</f>
        <v>#000000</v>
      </c>
      <c r="AN16" s="76" t="str">
        <f t="array" ref="AN16">INDEX(Factions!F:F, MATCH(E16, Factions!B:B, 0))</f>
        <v>#ffffff</v>
      </c>
      <c r="AO16" s="76" t="str">
        <f t="array" ref="AO16">concat(INDEX(Factions!G:G, MATCH(E16, Factions!B:B, 0)),".png")</f>
        <v>skellies.png</v>
      </c>
      <c r="AP16" s="84">
        <f>IFERROR(__xludf.DUMMYFUNCTION("MIN(FILTER(M16:M1098, F16:F1098=F16))"),1.0)</f>
        <v>1</v>
      </c>
      <c r="AQ16" s="76">
        <f t="shared" si="2"/>
        <v>12</v>
      </c>
      <c r="AR16" s="86">
        <f>IFERROR(__xludf.DUMMYFUNCTION("IF(and(REGEXMATCH(S16,""Vengence""),not(REGEXMATCH(S16, ""Protective Markings""))),AQ16,AQ16 * 6 / iferror(R16-1,6))"),14.4)</f>
        <v>14.4</v>
      </c>
      <c r="AS16" s="88">
        <f t="shared" si="3"/>
        <v>1</v>
      </c>
      <c r="AT16" s="89">
        <f t="shared" si="4"/>
        <v>6</v>
      </c>
      <c r="AU16" s="86">
        <f>IFERROR(__xludf.DUMMYFUNCTION("IF(REGEXMATCH(S16,""&lt;b&gt;Poison&lt;/b&gt;""),1+((1/(7-N16))/3),1)"),1.0)</f>
        <v>1</v>
      </c>
      <c r="AV16" s="86">
        <f>IFERROR(__xludf.DUMMYFUNCTION("IF(REGEXMATCH(S16,""Vengence""),(7 - R16) / 3,0)"),0.0)</f>
        <v>0</v>
      </c>
      <c r="AW16" s="86">
        <f t="shared" si="5"/>
        <v>3</v>
      </c>
      <c r="AX16" s="84">
        <f t="shared" si="6"/>
        <v>18.9</v>
      </c>
      <c r="AY16" s="76" t="b">
        <f>IFERROR(__xludf.DUMMYFUNCTION("if(regexmatch(G16,""Mage|War Machine""),true,false)"),FALSE)</f>
        <v>0</v>
      </c>
    </row>
    <row r="17" ht="22.5" hidden="1" customHeight="1">
      <c r="A17" s="6" t="s">
        <v>397</v>
      </c>
      <c r="B17" s="6" t="s">
        <v>398</v>
      </c>
      <c r="C17" s="6" t="str">
        <f t="shared" si="1"/>
        <v>Coppersand Supplicants</v>
      </c>
      <c r="D17" s="6" t="b">
        <v>1</v>
      </c>
      <c r="E17" s="57" t="s">
        <v>201</v>
      </c>
      <c r="F17" s="134" t="s">
        <v>400</v>
      </c>
      <c r="G17" s="5" t="s">
        <v>75</v>
      </c>
      <c r="H17" s="60">
        <v>6.0</v>
      </c>
      <c r="I17" s="135">
        <v>1.0</v>
      </c>
      <c r="J17" s="135">
        <v>2.0</v>
      </c>
      <c r="K17" s="135"/>
      <c r="L17" s="135">
        <v>5.0</v>
      </c>
      <c r="M17" s="135">
        <v>1.0</v>
      </c>
      <c r="N17" s="135">
        <v>5.0</v>
      </c>
      <c r="O17" s="60" t="s">
        <v>147</v>
      </c>
      <c r="P17" s="136" t="s">
        <v>150</v>
      </c>
      <c r="Q17" s="135">
        <v>1.0</v>
      </c>
      <c r="R17" s="136" t="s">
        <v>147</v>
      </c>
      <c r="S17" s="67" t="s">
        <v>403</v>
      </c>
      <c r="T17" s="6">
        <v>2.0</v>
      </c>
      <c r="U17" s="76"/>
      <c r="V17" s="76"/>
      <c r="W17" s="76"/>
      <c r="X17" s="76"/>
      <c r="Y17" s="6">
        <v>1.0</v>
      </c>
      <c r="Z17" s="76"/>
      <c r="AA17" s="76"/>
      <c r="AB17" s="76"/>
      <c r="AC17" s="6">
        <v>1.0</v>
      </c>
      <c r="AD17" s="76"/>
      <c r="AE17" s="68" t="s">
        <v>167</v>
      </c>
      <c r="AF17" s="69" t="s">
        <v>171</v>
      </c>
      <c r="AG17" s="68" t="s">
        <v>167</v>
      </c>
      <c r="AH17" s="68" t="s">
        <v>167</v>
      </c>
      <c r="AI17" s="68" t="s">
        <v>167</v>
      </c>
      <c r="AJ17" s="69" t="s">
        <v>171</v>
      </c>
      <c r="AK17" s="76" t="str">
        <f t="array" ref="AK17">INDEX(Factions!C:C, MATCH(E17, Factions!B:B, 0))</f>
        <v>#ffb317</v>
      </c>
      <c r="AL17" s="6" t="str">
        <f t="array" ref="AL17">INDEX(Factions!D:D, MATCH(E17, Factions!B:B, 0))</f>
        <v>#cf6c23</v>
      </c>
      <c r="AM17" s="6" t="str">
        <f t="array" ref="AM17">INDEX(Factions!E:E, MATCH(E17, Factions!B:B, 0))</f>
        <v>#000000</v>
      </c>
      <c r="AN17" s="76" t="str">
        <f t="array" ref="AN17">INDEX(Factions!F:F, MATCH(E17, Factions!B:B, 0))</f>
        <v>#ffffff</v>
      </c>
      <c r="AO17" s="76" t="str">
        <f t="array" ref="AO17">concat(INDEX(Factions!G:G, MATCH(E17, Factions!B:B, 0)),".png")</f>
        <v>gremlins.png</v>
      </c>
      <c r="AP17" s="84">
        <f>IFERROR(__xludf.DUMMYFUNCTION("MIN(FILTER(M17:M1098, F17:F1098=F17))"),1.0)</f>
        <v>1</v>
      </c>
      <c r="AQ17" s="76">
        <f t="shared" si="2"/>
        <v>5</v>
      </c>
      <c r="AR17" s="86">
        <f>IFERROR(__xludf.DUMMYFUNCTION("IF(and(REGEXMATCH(S17,""Vengence""),not(REGEXMATCH(S17, ""Protective Markings""))),AQ17,AQ17 * 6 / iferror(R17-1,6))"),5.0)</f>
        <v>5</v>
      </c>
      <c r="AS17" s="88">
        <f t="shared" si="3"/>
        <v>1</v>
      </c>
      <c r="AT17" s="89">
        <f t="shared" si="4"/>
        <v>5</v>
      </c>
      <c r="AU17" s="86">
        <f>IFERROR(__xludf.DUMMYFUNCTION("IF(REGEXMATCH(S17,""&lt;b&gt;Poison&lt;/b&gt;""),1+((1/(7-N17))/3),1)"),1.0)</f>
        <v>1</v>
      </c>
      <c r="AV17" s="86">
        <f>IFERROR(__xludf.DUMMYFUNCTION("IF(REGEXMATCH(S17,""Vengence""),(7 - R17) / 3,0)"),0.0)</f>
        <v>0</v>
      </c>
      <c r="AW17" s="86">
        <f t="shared" si="5"/>
        <v>1.666666667</v>
      </c>
      <c r="AX17" s="84">
        <f t="shared" si="6"/>
        <v>7.5</v>
      </c>
      <c r="AY17" s="76" t="b">
        <f>IFERROR(__xludf.DUMMYFUNCTION("if(regexmatch(G17,""Mage|War Machine""),true,false)"),FALSE)</f>
        <v>0</v>
      </c>
    </row>
    <row r="18" ht="22.5" hidden="1" customHeight="1">
      <c r="A18" s="6" t="s">
        <v>411</v>
      </c>
      <c r="B18" s="6" t="s">
        <v>81</v>
      </c>
      <c r="C18" s="6" t="str">
        <f t="shared" si="1"/>
        <v>Coppersand Warriors</v>
      </c>
      <c r="D18" s="6" t="b">
        <v>1</v>
      </c>
      <c r="E18" s="57" t="s">
        <v>201</v>
      </c>
      <c r="F18" s="134" t="s">
        <v>400</v>
      </c>
      <c r="G18" s="5" t="s">
        <v>81</v>
      </c>
      <c r="H18" s="60">
        <v>6.0</v>
      </c>
      <c r="I18" s="135">
        <v>1.0</v>
      </c>
      <c r="J18" s="135">
        <v>2.0</v>
      </c>
      <c r="K18" s="135"/>
      <c r="L18" s="135">
        <v>5.0</v>
      </c>
      <c r="M18" s="135">
        <v>1.0</v>
      </c>
      <c r="N18" s="135">
        <v>4.0</v>
      </c>
      <c r="O18" s="60">
        <v>6.0</v>
      </c>
      <c r="P18" s="136" t="s">
        <v>150</v>
      </c>
      <c r="Q18" s="135">
        <v>1.0</v>
      </c>
      <c r="R18" s="136" t="s">
        <v>153</v>
      </c>
      <c r="S18" s="67" t="s">
        <v>415</v>
      </c>
      <c r="T18" s="6">
        <v>3.5</v>
      </c>
      <c r="U18" s="76"/>
      <c r="V18" s="76"/>
      <c r="W18" s="76"/>
      <c r="X18" s="76"/>
      <c r="Y18" s="6">
        <v>1.0</v>
      </c>
      <c r="Z18" s="6">
        <v>1.0</v>
      </c>
      <c r="AA18" s="6">
        <v>1.0</v>
      </c>
      <c r="AB18" s="6">
        <v>1.0</v>
      </c>
      <c r="AC18" s="6">
        <v>1.0</v>
      </c>
      <c r="AD18" s="6">
        <v>1.0</v>
      </c>
      <c r="AE18" s="68" t="s">
        <v>167</v>
      </c>
      <c r="AF18" s="68" t="s">
        <v>167</v>
      </c>
      <c r="AG18" s="68" t="s">
        <v>167</v>
      </c>
      <c r="AH18" s="68" t="s">
        <v>167</v>
      </c>
      <c r="AI18" s="68" t="s">
        <v>167</v>
      </c>
      <c r="AJ18" s="68" t="s">
        <v>167</v>
      </c>
      <c r="AK18" s="76" t="str">
        <f t="array" ref="AK18">INDEX(Factions!C:C, MATCH(E18, Factions!B:B, 0))</f>
        <v>#ffb317</v>
      </c>
      <c r="AL18" s="6" t="str">
        <f t="array" ref="AL18">INDEX(Factions!D:D, MATCH(E18, Factions!B:B, 0))</f>
        <v>#cf6c23</v>
      </c>
      <c r="AM18" s="6" t="str">
        <f t="array" ref="AM18">INDEX(Factions!E:E, MATCH(E18, Factions!B:B, 0))</f>
        <v>#000000</v>
      </c>
      <c r="AN18" s="76" t="str">
        <f t="array" ref="AN18">INDEX(Factions!F:F, MATCH(E18, Factions!B:B, 0))</f>
        <v>#ffffff</v>
      </c>
      <c r="AO18" s="76" t="str">
        <f t="array" ref="AO18">concat(INDEX(Factions!G:G, MATCH(E18, Factions!B:B, 0)),".png")</f>
        <v>gremlins.png</v>
      </c>
      <c r="AP18" s="84">
        <f>IFERROR(__xludf.DUMMYFUNCTION("MIN(FILTER(M18:M1098, F18:F1098=F18))"),1.0)</f>
        <v>1</v>
      </c>
      <c r="AQ18" s="76">
        <f t="shared" si="2"/>
        <v>5</v>
      </c>
      <c r="AR18" s="86">
        <f>IFERROR(__xludf.DUMMYFUNCTION("IF(and(REGEXMATCH(S18,""Vengence""),not(REGEXMATCH(S18, ""Protective Markings""))),AQ18,AQ18 * 6 / iferror(R18-1,6))"),7.5)</f>
        <v>7.5</v>
      </c>
      <c r="AS18" s="88">
        <f t="shared" si="3"/>
        <v>1</v>
      </c>
      <c r="AT18" s="89">
        <f t="shared" si="4"/>
        <v>5</v>
      </c>
      <c r="AU18" s="86">
        <f>IFERROR(__xludf.DUMMYFUNCTION("IF(REGEXMATCH(S18,""&lt;b&gt;Poison&lt;/b&gt;""),1+((1/(7-N18))/3),1)"),1.0)</f>
        <v>1</v>
      </c>
      <c r="AV18" s="86">
        <f>IFERROR(__xludf.DUMMYFUNCTION("IF(REGEXMATCH(S18,""Vengence""),(7 - R18) / 3,0)"),0.0)</f>
        <v>0</v>
      </c>
      <c r="AW18" s="86">
        <f t="shared" si="5"/>
        <v>2.5</v>
      </c>
      <c r="AX18" s="84">
        <f t="shared" si="6"/>
        <v>11.25</v>
      </c>
      <c r="AY18" s="76" t="b">
        <f>IFERROR(__xludf.DUMMYFUNCTION("if(regexmatch(G18,""Mage|War Machine""),true,false)"),FALSE)</f>
        <v>0</v>
      </c>
    </row>
    <row r="19" ht="22.5" hidden="1" customHeight="1">
      <c r="A19" s="6" t="s">
        <v>427</v>
      </c>
      <c r="B19" s="6" t="s">
        <v>428</v>
      </c>
      <c r="C19" s="6" t="str">
        <f t="shared" si="1"/>
        <v>Coppersand Gunners</v>
      </c>
      <c r="D19" s="6" t="b">
        <v>1</v>
      </c>
      <c r="E19" s="57" t="s">
        <v>201</v>
      </c>
      <c r="F19" s="134" t="s">
        <v>400</v>
      </c>
      <c r="G19" s="5" t="s">
        <v>142</v>
      </c>
      <c r="H19" s="60">
        <v>6.0</v>
      </c>
      <c r="I19" s="135">
        <v>1.0</v>
      </c>
      <c r="J19" s="135">
        <v>2.0</v>
      </c>
      <c r="K19" s="135"/>
      <c r="L19" s="135">
        <v>5.0</v>
      </c>
      <c r="M19" s="135">
        <v>1.0</v>
      </c>
      <c r="N19" s="135">
        <v>5.0</v>
      </c>
      <c r="O19" s="60">
        <v>4.0</v>
      </c>
      <c r="P19" s="136" t="s">
        <v>150</v>
      </c>
      <c r="Q19" s="135">
        <v>1.0</v>
      </c>
      <c r="R19" s="136" t="s">
        <v>217</v>
      </c>
      <c r="S19" s="67" t="s">
        <v>415</v>
      </c>
      <c r="T19" s="6">
        <v>2.5</v>
      </c>
      <c r="U19" s="76"/>
      <c r="V19" s="76"/>
      <c r="W19" s="76"/>
      <c r="X19" s="76"/>
      <c r="Y19" s="6">
        <v>1.0</v>
      </c>
      <c r="Z19" s="6">
        <v>1.0</v>
      </c>
      <c r="AA19" s="6">
        <v>1.0</v>
      </c>
      <c r="AB19" s="6">
        <v>1.0</v>
      </c>
      <c r="AC19" s="6">
        <v>1.0</v>
      </c>
      <c r="AD19" s="6">
        <v>1.0</v>
      </c>
      <c r="AE19" s="68" t="s">
        <v>167</v>
      </c>
      <c r="AF19" s="69" t="s">
        <v>171</v>
      </c>
      <c r="AG19" s="90" t="s">
        <v>195</v>
      </c>
      <c r="AH19" s="68" t="s">
        <v>167</v>
      </c>
      <c r="AI19" s="68" t="s">
        <v>167</v>
      </c>
      <c r="AJ19" s="69" t="s">
        <v>171</v>
      </c>
      <c r="AK19" s="76" t="str">
        <f t="array" ref="AK19">INDEX(Factions!C:C, MATCH(E19, Factions!B:B, 0))</f>
        <v>#ffb317</v>
      </c>
      <c r="AL19" s="6" t="str">
        <f t="array" ref="AL19">INDEX(Factions!D:D, MATCH(E19, Factions!B:B, 0))</f>
        <v>#cf6c23</v>
      </c>
      <c r="AM19" s="6" t="str">
        <f t="array" ref="AM19">INDEX(Factions!E:E, MATCH(E19, Factions!B:B, 0))</f>
        <v>#000000</v>
      </c>
      <c r="AN19" s="76" t="str">
        <f t="array" ref="AN19">INDEX(Factions!F:F, MATCH(E19, Factions!B:B, 0))</f>
        <v>#ffffff</v>
      </c>
      <c r="AO19" s="76" t="str">
        <f t="array" ref="AO19">concat(INDEX(Factions!G:G, MATCH(E19, Factions!B:B, 0)),".png")</f>
        <v>gremlins.png</v>
      </c>
      <c r="AP19" s="84">
        <f>IFERROR(__xludf.DUMMYFUNCTION("MIN(FILTER(M19:M1098, F19:F1098=F19))"),1.0)</f>
        <v>1</v>
      </c>
      <c r="AQ19" s="76">
        <f t="shared" si="2"/>
        <v>5</v>
      </c>
      <c r="AR19" s="86">
        <f>IFERROR(__xludf.DUMMYFUNCTION("IF(and(REGEXMATCH(S19,""Vengence""),not(REGEXMATCH(S19, ""Protective Markings""))),AQ19,AQ19 * 6 / iferror(R19-1,6))"),6.0)</f>
        <v>6</v>
      </c>
      <c r="AS19" s="88">
        <f t="shared" si="3"/>
        <v>1</v>
      </c>
      <c r="AT19" s="89">
        <f t="shared" si="4"/>
        <v>5</v>
      </c>
      <c r="AU19" s="86">
        <f>IFERROR(__xludf.DUMMYFUNCTION("IF(REGEXMATCH(S19,""&lt;b&gt;Poison&lt;/b&gt;""),1+((1/(7-N19))/3),1)"),1.0)</f>
        <v>1</v>
      </c>
      <c r="AV19" s="86">
        <f>IFERROR(__xludf.DUMMYFUNCTION("IF(REGEXMATCH(S19,""Vengence""),(7 - R19) / 3,0)"),0.0)</f>
        <v>0</v>
      </c>
      <c r="AW19" s="86">
        <f t="shared" si="5"/>
        <v>1.666666667</v>
      </c>
      <c r="AX19" s="84">
        <f t="shared" si="6"/>
        <v>8.5</v>
      </c>
      <c r="AY19" s="76" t="b">
        <f>IFERROR(__xludf.DUMMYFUNCTION("if(regexmatch(G19,""Mage|War Machine""),true,false)"),FALSE)</f>
        <v>0</v>
      </c>
    </row>
    <row r="20" ht="22.5" hidden="1" customHeight="1">
      <c r="A20" s="6" t="s">
        <v>439</v>
      </c>
      <c r="B20" s="6" t="s">
        <v>440</v>
      </c>
      <c r="C20" s="6" t="str">
        <f t="shared" si="1"/>
        <v>Coppersand Sappers</v>
      </c>
      <c r="D20" s="6" t="b">
        <v>1</v>
      </c>
      <c r="E20" s="57" t="s">
        <v>201</v>
      </c>
      <c r="F20" s="134" t="s">
        <v>400</v>
      </c>
      <c r="G20" s="5" t="s">
        <v>75</v>
      </c>
      <c r="H20" s="60">
        <v>6.0</v>
      </c>
      <c r="I20" s="135">
        <v>1.0</v>
      </c>
      <c r="J20" s="135">
        <v>2.0</v>
      </c>
      <c r="K20" s="135"/>
      <c r="L20" s="135">
        <v>5.0</v>
      </c>
      <c r="M20" s="135">
        <v>1.0</v>
      </c>
      <c r="N20" s="135">
        <v>6.0</v>
      </c>
      <c r="O20" s="60">
        <v>5.0</v>
      </c>
      <c r="P20" s="136" t="s">
        <v>150</v>
      </c>
      <c r="Q20" s="135">
        <v>1.0</v>
      </c>
      <c r="R20" s="136" t="s">
        <v>217</v>
      </c>
      <c r="S20" s="67" t="s">
        <v>444</v>
      </c>
      <c r="T20" s="6">
        <v>2.0</v>
      </c>
      <c r="U20" s="76"/>
      <c r="V20" s="76"/>
      <c r="W20" s="76"/>
      <c r="X20" s="76"/>
      <c r="Y20" s="6">
        <v>1.0</v>
      </c>
      <c r="Z20" s="6">
        <v>1.0</v>
      </c>
      <c r="AA20" s="6">
        <v>1.0</v>
      </c>
      <c r="AB20" s="6">
        <v>1.0</v>
      </c>
      <c r="AC20" s="6">
        <v>1.0</v>
      </c>
      <c r="AD20" s="6">
        <v>1.0</v>
      </c>
      <c r="AE20" s="68" t="s">
        <v>167</v>
      </c>
      <c r="AF20" s="69" t="s">
        <v>171</v>
      </c>
      <c r="AG20" s="90" t="s">
        <v>195</v>
      </c>
      <c r="AH20" s="68" t="s">
        <v>167</v>
      </c>
      <c r="AI20" s="68" t="s">
        <v>167</v>
      </c>
      <c r="AJ20" s="69" t="s">
        <v>171</v>
      </c>
      <c r="AK20" s="76" t="str">
        <f t="array" ref="AK20">INDEX(Factions!C:C, MATCH(E20, Factions!B:B, 0))</f>
        <v>#ffb317</v>
      </c>
      <c r="AL20" s="6" t="str">
        <f t="array" ref="AL20">INDEX(Factions!D:D, MATCH(E20, Factions!B:B, 0))</f>
        <v>#cf6c23</v>
      </c>
      <c r="AM20" s="6" t="str">
        <f t="array" ref="AM20">INDEX(Factions!E:E, MATCH(E20, Factions!B:B, 0))</f>
        <v>#000000</v>
      </c>
      <c r="AN20" s="76" t="str">
        <f t="array" ref="AN20">INDEX(Factions!F:F, MATCH(E20, Factions!B:B, 0))</f>
        <v>#ffffff</v>
      </c>
      <c r="AO20" s="76" t="str">
        <f t="array" ref="AO20">concat(INDEX(Factions!G:G, MATCH(E20, Factions!B:B, 0)),".png")</f>
        <v>gremlins.png</v>
      </c>
      <c r="AP20" s="84">
        <f>IFERROR(__xludf.DUMMYFUNCTION("MIN(FILTER(M20:M1098, F20:F1098=F20))"),1.0)</f>
        <v>1</v>
      </c>
      <c r="AQ20" s="76">
        <f t="shared" si="2"/>
        <v>5</v>
      </c>
      <c r="AR20" s="86">
        <f>IFERROR(__xludf.DUMMYFUNCTION("IF(and(REGEXMATCH(S20,""Vengence""),not(REGEXMATCH(S20, ""Protective Markings""))),AQ20,AQ20 * 6 / iferror(R20-1,6))"),6.0)</f>
        <v>6</v>
      </c>
      <c r="AS20" s="88">
        <f t="shared" si="3"/>
        <v>1</v>
      </c>
      <c r="AT20" s="89">
        <f t="shared" si="4"/>
        <v>5</v>
      </c>
      <c r="AU20" s="86">
        <f>IFERROR(__xludf.DUMMYFUNCTION("IF(REGEXMATCH(S20,""&lt;b&gt;Poison&lt;/b&gt;""),1+((1/(7-N20))/3),1)"),1.0)</f>
        <v>1</v>
      </c>
      <c r="AV20" s="86">
        <f>IFERROR(__xludf.DUMMYFUNCTION("IF(REGEXMATCH(S20,""Vengence""),(7 - R20) / 3,0)"),0.0)</f>
        <v>0</v>
      </c>
      <c r="AW20" s="86">
        <f t="shared" si="5"/>
        <v>0.8333333333</v>
      </c>
      <c r="AX20" s="84">
        <f t="shared" si="6"/>
        <v>7.25</v>
      </c>
      <c r="AY20" s="76" t="b">
        <f>IFERROR(__xludf.DUMMYFUNCTION("if(regexmatch(G20,""Mage|War Machine""),true,false)"),FALSE)</f>
        <v>0</v>
      </c>
    </row>
    <row r="21" ht="22.5" hidden="1" customHeight="1">
      <c r="A21" s="6" t="s">
        <v>452</v>
      </c>
      <c r="B21" s="6" t="s">
        <v>453</v>
      </c>
      <c r="C21" s="6" t="str">
        <f t="shared" si="1"/>
        <v>Coppersand Artificers</v>
      </c>
      <c r="D21" s="6" t="b">
        <v>1</v>
      </c>
      <c r="E21" s="57" t="s">
        <v>201</v>
      </c>
      <c r="F21" s="134" t="s">
        <v>400</v>
      </c>
      <c r="G21" s="5" t="s">
        <v>143</v>
      </c>
      <c r="H21" s="60">
        <v>6.0</v>
      </c>
      <c r="I21" s="135">
        <v>1.0</v>
      </c>
      <c r="J21" s="135">
        <v>3.0</v>
      </c>
      <c r="K21" s="135"/>
      <c r="L21" s="135">
        <v>5.0</v>
      </c>
      <c r="M21" s="135">
        <v>1.0</v>
      </c>
      <c r="N21" s="135">
        <v>4.0</v>
      </c>
      <c r="O21" s="60">
        <v>5.0</v>
      </c>
      <c r="P21" s="136" t="s">
        <v>150</v>
      </c>
      <c r="Q21" s="135">
        <v>1.0</v>
      </c>
      <c r="R21" s="136" t="s">
        <v>153</v>
      </c>
      <c r="S21" s="67" t="s">
        <v>455</v>
      </c>
      <c r="T21" s="6">
        <v>4.5</v>
      </c>
      <c r="U21" s="6" t="s">
        <v>456</v>
      </c>
      <c r="V21" s="76"/>
      <c r="W21" s="76"/>
      <c r="X21" s="76"/>
      <c r="Y21" s="6">
        <v>2.0</v>
      </c>
      <c r="Z21" s="6">
        <v>2.0</v>
      </c>
      <c r="AA21" s="6">
        <v>2.0</v>
      </c>
      <c r="AB21" s="6">
        <v>2.0</v>
      </c>
      <c r="AC21" s="6">
        <v>2.0</v>
      </c>
      <c r="AD21" s="6">
        <v>2.0</v>
      </c>
      <c r="AE21" s="68" t="s">
        <v>167</v>
      </c>
      <c r="AF21" s="68" t="s">
        <v>167</v>
      </c>
      <c r="AG21" s="90" t="s">
        <v>195</v>
      </c>
      <c r="AH21" s="68" t="s">
        <v>167</v>
      </c>
      <c r="AI21" s="68" t="s">
        <v>167</v>
      </c>
      <c r="AJ21" s="68" t="s">
        <v>167</v>
      </c>
      <c r="AK21" s="76" t="str">
        <f t="array" ref="AK21">INDEX(Factions!C:C, MATCH(E21, Factions!B:B, 0))</f>
        <v>#ffb317</v>
      </c>
      <c r="AL21" s="6" t="str">
        <f t="array" ref="AL21">INDEX(Factions!D:D, MATCH(E21, Factions!B:B, 0))</f>
        <v>#cf6c23</v>
      </c>
      <c r="AM21" s="6" t="str">
        <f t="array" ref="AM21">INDEX(Factions!E:E, MATCH(E21, Factions!B:B, 0))</f>
        <v>#000000</v>
      </c>
      <c r="AN21" s="76" t="str">
        <f t="array" ref="AN21">INDEX(Factions!F:F, MATCH(E21, Factions!B:B, 0))</f>
        <v>#ffffff</v>
      </c>
      <c r="AO21" s="76" t="str">
        <f t="array" ref="AO21">concat(INDEX(Factions!G:G, MATCH(E21, Factions!B:B, 0)),".png")</f>
        <v>gremlins.png</v>
      </c>
      <c r="AP21" s="84">
        <f>IFERROR(__xludf.DUMMYFUNCTION("MIN(FILTER(M21:M1098, F21:F1098=F21))"),1.0)</f>
        <v>1</v>
      </c>
      <c r="AQ21" s="76">
        <f t="shared" si="2"/>
        <v>5</v>
      </c>
      <c r="AR21" s="86">
        <f>IFERROR(__xludf.DUMMYFUNCTION("IF(and(REGEXMATCH(S21,""Vengence""),not(REGEXMATCH(S21, ""Protective Markings""))),AQ21,AQ21 * 6 / iferror(R21-1,6))"),7.5)</f>
        <v>7.5</v>
      </c>
      <c r="AS21" s="88">
        <f t="shared" si="3"/>
        <v>1</v>
      </c>
      <c r="AT21" s="89">
        <f t="shared" si="4"/>
        <v>5</v>
      </c>
      <c r="AU21" s="86">
        <f>IFERROR(__xludf.DUMMYFUNCTION("IF(REGEXMATCH(S21,""&lt;b&gt;Poison&lt;/b&gt;""),1+((1/(7-N21))/3),1)"),1.0)</f>
        <v>1</v>
      </c>
      <c r="AV21" s="86">
        <f>IFERROR(__xludf.DUMMYFUNCTION("IF(REGEXMATCH(S21,""Vengence""),(7 - R21) / 3,0)"),0.0)</f>
        <v>0</v>
      </c>
      <c r="AW21" s="86">
        <f t="shared" si="5"/>
        <v>2.5</v>
      </c>
      <c r="AX21" s="84">
        <f t="shared" si="6"/>
        <v>11.25</v>
      </c>
      <c r="AY21" s="76" t="b">
        <f>IFERROR(__xludf.DUMMYFUNCTION("if(regexmatch(G21,""Mage|War Machine""),true,false)"),FALSE)</f>
        <v>0</v>
      </c>
    </row>
    <row r="22" ht="22.5" hidden="1" customHeight="1">
      <c r="A22" s="6" t="s">
        <v>465</v>
      </c>
      <c r="B22" s="6" t="s">
        <v>466</v>
      </c>
      <c r="C22" s="6" t="str">
        <f t="shared" si="1"/>
        <v>Coppersand Snipers</v>
      </c>
      <c r="D22" s="6" t="b">
        <v>1</v>
      </c>
      <c r="E22" s="57" t="s">
        <v>201</v>
      </c>
      <c r="F22" s="134" t="s">
        <v>400</v>
      </c>
      <c r="G22" s="5" t="s">
        <v>142</v>
      </c>
      <c r="H22" s="60">
        <v>6.0</v>
      </c>
      <c r="I22" s="135">
        <v>1.0</v>
      </c>
      <c r="J22" s="135">
        <v>3.0</v>
      </c>
      <c r="K22" s="135"/>
      <c r="L22" s="135">
        <v>5.0</v>
      </c>
      <c r="M22" s="135">
        <v>1.0</v>
      </c>
      <c r="N22" s="135">
        <v>5.0</v>
      </c>
      <c r="O22" s="60">
        <v>4.0</v>
      </c>
      <c r="P22" s="136" t="s">
        <v>150</v>
      </c>
      <c r="Q22" s="135">
        <v>1.0</v>
      </c>
      <c r="R22" s="136" t="s">
        <v>153</v>
      </c>
      <c r="S22" s="67" t="s">
        <v>470</v>
      </c>
      <c r="T22" s="6">
        <v>2.5</v>
      </c>
      <c r="U22" s="76"/>
      <c r="V22" s="76"/>
      <c r="W22" s="76"/>
      <c r="X22" s="76"/>
      <c r="Y22" s="6">
        <v>1.0</v>
      </c>
      <c r="Z22" s="6">
        <v>1.0</v>
      </c>
      <c r="AA22" s="6">
        <v>1.0</v>
      </c>
      <c r="AB22" s="6">
        <v>1.0</v>
      </c>
      <c r="AC22" s="6">
        <v>1.0</v>
      </c>
      <c r="AD22" s="6">
        <v>1.0</v>
      </c>
      <c r="AE22" s="68" t="s">
        <v>167</v>
      </c>
      <c r="AF22" s="69" t="s">
        <v>171</v>
      </c>
      <c r="AG22" s="90" t="s">
        <v>195</v>
      </c>
      <c r="AH22" s="90" t="s">
        <v>195</v>
      </c>
      <c r="AI22" s="69" t="s">
        <v>171</v>
      </c>
      <c r="AJ22" s="68" t="s">
        <v>167</v>
      </c>
      <c r="AK22" s="76" t="str">
        <f t="array" ref="AK22">INDEX(Factions!C:C, MATCH(E22, Factions!B:B, 0))</f>
        <v>#ffb317</v>
      </c>
      <c r="AL22" s="6" t="str">
        <f t="array" ref="AL22">INDEX(Factions!D:D, MATCH(E22, Factions!B:B, 0))</f>
        <v>#cf6c23</v>
      </c>
      <c r="AM22" s="6" t="str">
        <f t="array" ref="AM22">INDEX(Factions!E:E, MATCH(E22, Factions!B:B, 0))</f>
        <v>#000000</v>
      </c>
      <c r="AN22" s="76" t="str">
        <f t="array" ref="AN22">INDEX(Factions!F:F, MATCH(E22, Factions!B:B, 0))</f>
        <v>#ffffff</v>
      </c>
      <c r="AO22" s="76" t="str">
        <f t="array" ref="AO22">concat(INDEX(Factions!G:G, MATCH(E22, Factions!B:B, 0)),".png")</f>
        <v>gremlins.png</v>
      </c>
      <c r="AP22" s="84">
        <f>IFERROR(__xludf.DUMMYFUNCTION("MIN(FILTER(M22:M1098, F22:F1098=F22))"),1.0)</f>
        <v>1</v>
      </c>
      <c r="AQ22" s="76">
        <f t="shared" si="2"/>
        <v>5</v>
      </c>
      <c r="AR22" s="86">
        <f>IFERROR(__xludf.DUMMYFUNCTION("IF(and(REGEXMATCH(S22,""Vengence""),not(REGEXMATCH(S22, ""Protective Markings""))),AQ22,AQ22 * 6 / iferror(R22-1,6))"),7.5)</f>
        <v>7.5</v>
      </c>
      <c r="AS22" s="88">
        <f t="shared" si="3"/>
        <v>1</v>
      </c>
      <c r="AT22" s="89">
        <f t="shared" si="4"/>
        <v>5</v>
      </c>
      <c r="AU22" s="86">
        <f>IFERROR(__xludf.DUMMYFUNCTION("IF(REGEXMATCH(S22,""&lt;b&gt;Poison&lt;/b&gt;""),1+((1/(7-N22))/3),1)"),1.0)</f>
        <v>1</v>
      </c>
      <c r="AV22" s="86">
        <f>IFERROR(__xludf.DUMMYFUNCTION("IF(REGEXMATCH(S22,""Vengence""),(7 - R22) / 3,0)"),0.0)</f>
        <v>0</v>
      </c>
      <c r="AW22" s="86">
        <f t="shared" si="5"/>
        <v>1.666666667</v>
      </c>
      <c r="AX22" s="84">
        <f t="shared" si="6"/>
        <v>10</v>
      </c>
      <c r="AY22" s="76" t="b">
        <f>IFERROR(__xludf.DUMMYFUNCTION("if(regexmatch(G22,""Mage|War Machine""),true,false)"),FALSE)</f>
        <v>0</v>
      </c>
    </row>
    <row r="23" ht="22.5" hidden="1" customHeight="1">
      <c r="A23" s="6" t="s">
        <v>476</v>
      </c>
      <c r="B23" s="6" t="s">
        <v>477</v>
      </c>
      <c r="C23" s="6" t="str">
        <f t="shared" si="1"/>
        <v>Coppersand Warcrane</v>
      </c>
      <c r="D23" s="6" t="b">
        <v>1</v>
      </c>
      <c r="E23" s="57" t="s">
        <v>201</v>
      </c>
      <c r="F23" s="134" t="s">
        <v>479</v>
      </c>
      <c r="G23" s="5" t="s">
        <v>154</v>
      </c>
      <c r="H23" s="60">
        <v>5.0</v>
      </c>
      <c r="I23" s="135">
        <v>2.0</v>
      </c>
      <c r="J23" s="137"/>
      <c r="K23" s="138"/>
      <c r="L23" s="135">
        <v>1.0</v>
      </c>
      <c r="M23" s="135">
        <v>1.0</v>
      </c>
      <c r="N23" s="135">
        <v>5.0</v>
      </c>
      <c r="O23" s="60" t="s">
        <v>147</v>
      </c>
      <c r="P23" s="136" t="s">
        <v>153</v>
      </c>
      <c r="Q23" s="135">
        <v>7.0</v>
      </c>
      <c r="R23" s="136" t="s">
        <v>380</v>
      </c>
      <c r="S23" s="67" t="s">
        <v>482</v>
      </c>
      <c r="T23" s="6">
        <v>6.0</v>
      </c>
      <c r="U23" s="76"/>
      <c r="V23" s="76"/>
      <c r="W23" s="76"/>
      <c r="X23" s="76"/>
      <c r="Y23" s="76"/>
      <c r="Z23" s="76"/>
      <c r="AA23" s="76"/>
      <c r="AB23" s="76"/>
      <c r="AC23" s="76"/>
      <c r="AD23" s="76"/>
      <c r="AE23" s="68" t="s">
        <v>167</v>
      </c>
      <c r="AF23" s="69" t="s">
        <v>171</v>
      </c>
      <c r="AG23" s="68" t="s">
        <v>167</v>
      </c>
      <c r="AH23" s="90" t="s">
        <v>195</v>
      </c>
      <c r="AI23" s="90" t="s">
        <v>195</v>
      </c>
      <c r="AJ23" s="129" t="s">
        <v>354</v>
      </c>
      <c r="AK23" s="76" t="str">
        <f t="array" ref="AK23">INDEX(Factions!C:C, MATCH(E23, Factions!B:B, 0))</f>
        <v>#ffb317</v>
      </c>
      <c r="AL23" s="6" t="str">
        <f t="array" ref="AL23">INDEX(Factions!D:D, MATCH(E23, Factions!B:B, 0))</f>
        <v>#cf6c23</v>
      </c>
      <c r="AM23" s="6" t="str">
        <f t="array" ref="AM23">INDEX(Factions!E:E, MATCH(E23, Factions!B:B, 0))</f>
        <v>#000000</v>
      </c>
      <c r="AN23" s="76" t="str">
        <f t="array" ref="AN23">INDEX(Factions!F:F, MATCH(E23, Factions!B:B, 0))</f>
        <v>#ffffff</v>
      </c>
      <c r="AO23" s="76" t="str">
        <f t="array" ref="AO23">concat(INDEX(Factions!G:G, MATCH(E23, Factions!B:B, 0)),".png")</f>
        <v>gremlins.png</v>
      </c>
      <c r="AP23" s="84">
        <f>IFERROR(__xludf.DUMMYFUNCTION("MIN(FILTER(M23:M1098, F23:F1098=F23))"),1.0)</f>
        <v>1</v>
      </c>
      <c r="AQ23" s="76">
        <f t="shared" si="2"/>
        <v>7</v>
      </c>
      <c r="AR23" s="86">
        <f>IFERROR(__xludf.DUMMYFUNCTION("IF(and(REGEXMATCH(S23,""Vengence""),not(REGEXMATCH(S23, ""Protective Markings""))),AQ23,AQ23 * 6 / iferror(R23-1,6))"),21.0)</f>
        <v>21</v>
      </c>
      <c r="AS23" s="88">
        <f t="shared" si="3"/>
        <v>5</v>
      </c>
      <c r="AT23" s="89">
        <f t="shared" si="4"/>
        <v>5</v>
      </c>
      <c r="AU23" s="86">
        <f>IFERROR(__xludf.DUMMYFUNCTION("IF(REGEXMATCH(S23,""&lt;b&gt;Poison&lt;/b&gt;""),1+((1/(7-N23))/3),1)"),1.0)</f>
        <v>1</v>
      </c>
      <c r="AV23" s="86">
        <f>IFERROR(__xludf.DUMMYFUNCTION("IF(REGEXMATCH(S23,""Vengence""),(7 - R23) / 3,0)"),0.0)</f>
        <v>0</v>
      </c>
      <c r="AW23" s="86">
        <f t="shared" si="5"/>
        <v>1.666666667</v>
      </c>
      <c r="AX23" s="84">
        <f t="shared" si="6"/>
        <v>23.5</v>
      </c>
      <c r="AY23" s="76" t="b">
        <f>IFERROR(__xludf.DUMMYFUNCTION("if(regexmatch(G23,""Mage|War Machine""),true,false)"),FALSE)</f>
        <v>0</v>
      </c>
    </row>
    <row r="24" ht="22.5" hidden="1" customHeight="1">
      <c r="A24" s="6" t="s">
        <v>489</v>
      </c>
      <c r="B24" s="6" t="s">
        <v>490</v>
      </c>
      <c r="C24" s="6" t="str">
        <f t="shared" si="1"/>
        <v>Coppersand Juggernaut</v>
      </c>
      <c r="D24" s="6" t="b">
        <v>1</v>
      </c>
      <c r="E24" s="57" t="s">
        <v>201</v>
      </c>
      <c r="F24" s="134" t="s">
        <v>479</v>
      </c>
      <c r="G24" s="5" t="s">
        <v>154</v>
      </c>
      <c r="H24" s="60">
        <v>5.0</v>
      </c>
      <c r="I24" s="135">
        <v>2.0</v>
      </c>
      <c r="J24" s="137"/>
      <c r="K24" s="138"/>
      <c r="L24" s="135">
        <v>1.0</v>
      </c>
      <c r="M24" s="135">
        <v>2.0</v>
      </c>
      <c r="N24" s="135">
        <v>3.0</v>
      </c>
      <c r="O24" s="60" t="s">
        <v>147</v>
      </c>
      <c r="P24" s="136" t="s">
        <v>153</v>
      </c>
      <c r="Q24" s="135">
        <v>5.0</v>
      </c>
      <c r="R24" s="136" t="s">
        <v>194</v>
      </c>
      <c r="S24" s="67" t="s">
        <v>493</v>
      </c>
      <c r="T24" s="6">
        <v>6.0</v>
      </c>
      <c r="U24" s="76"/>
      <c r="V24" s="76"/>
      <c r="W24" s="76"/>
      <c r="X24" s="76"/>
      <c r="Y24" s="6">
        <v>2.0</v>
      </c>
      <c r="Z24" s="6">
        <v>2.0</v>
      </c>
      <c r="AA24" s="6">
        <v>2.0</v>
      </c>
      <c r="AB24" s="6">
        <v>2.0</v>
      </c>
      <c r="AC24" s="76"/>
      <c r="AD24" s="76"/>
      <c r="AE24" s="90" t="s">
        <v>195</v>
      </c>
      <c r="AF24" s="90" t="s">
        <v>195</v>
      </c>
      <c r="AG24" s="68" t="s">
        <v>167</v>
      </c>
      <c r="AH24" s="90" t="s">
        <v>195</v>
      </c>
      <c r="AI24" s="90" t="s">
        <v>195</v>
      </c>
      <c r="AJ24" s="90" t="s">
        <v>195</v>
      </c>
      <c r="AK24" s="76" t="str">
        <f t="array" ref="AK24">INDEX(Factions!C:C, MATCH(E24, Factions!B:B, 0))</f>
        <v>#ffb317</v>
      </c>
      <c r="AL24" s="6" t="str">
        <f t="array" ref="AL24">INDEX(Factions!D:D, MATCH(E24, Factions!B:B, 0))</f>
        <v>#cf6c23</v>
      </c>
      <c r="AM24" s="6" t="str">
        <f t="array" ref="AM24">INDEX(Factions!E:E, MATCH(E24, Factions!B:B, 0))</f>
        <v>#000000</v>
      </c>
      <c r="AN24" s="76" t="str">
        <f t="array" ref="AN24">INDEX(Factions!F:F, MATCH(E24, Factions!B:B, 0))</f>
        <v>#ffffff</v>
      </c>
      <c r="AO24" s="76" t="str">
        <f t="array" ref="AO24">concat(INDEX(Factions!G:G, MATCH(E24, Factions!B:B, 0)),".png")</f>
        <v>gremlins.png</v>
      </c>
      <c r="AP24" s="84">
        <f>IFERROR(__xludf.DUMMYFUNCTION("MIN(FILTER(M24:M1098, F24:F1098=F24))"),2.0)</f>
        <v>2</v>
      </c>
      <c r="AQ24" s="76">
        <f t="shared" si="2"/>
        <v>5</v>
      </c>
      <c r="AR24" s="86">
        <f>IFERROR(__xludf.DUMMYFUNCTION("IF(and(REGEXMATCH(S24,""Vengence""),not(REGEXMATCH(S24, ""Protective Markings""))),AQ24,AQ24 * 6 / iferror(R24-1,6))"),10.0)</f>
        <v>10</v>
      </c>
      <c r="AS24" s="88">
        <f t="shared" si="3"/>
        <v>5</v>
      </c>
      <c r="AT24" s="89">
        <f t="shared" si="4"/>
        <v>5</v>
      </c>
      <c r="AU24" s="86">
        <f>IFERROR(__xludf.DUMMYFUNCTION("IF(REGEXMATCH(S24,""&lt;b&gt;Poison&lt;/b&gt;""),1+((1/(7-N24))/3),1)"),1.0)</f>
        <v>1</v>
      </c>
      <c r="AV24" s="86">
        <f>IFERROR(__xludf.DUMMYFUNCTION("IF(REGEXMATCH(S24,""Vengence""),(7 - R24) / 3,0)"),0.0)</f>
        <v>0</v>
      </c>
      <c r="AW24" s="86">
        <f t="shared" si="5"/>
        <v>3.333333333</v>
      </c>
      <c r="AX24" s="84">
        <f t="shared" si="6"/>
        <v>15</v>
      </c>
      <c r="AY24" s="76" t="b">
        <f>IFERROR(__xludf.DUMMYFUNCTION("if(regexmatch(G24,""Mage|War Machine""),true,false)"),FALSE)</f>
        <v>0</v>
      </c>
    </row>
    <row r="25" ht="22.5" hidden="1" customHeight="1">
      <c r="A25" s="6" t="s">
        <v>500</v>
      </c>
      <c r="B25" s="6" t="s">
        <v>501</v>
      </c>
      <c r="C25" s="6" t="str">
        <f t="shared" si="1"/>
        <v>Coppersand Hookshot</v>
      </c>
      <c r="D25" s="6" t="b">
        <v>1</v>
      </c>
      <c r="E25" s="57" t="s">
        <v>201</v>
      </c>
      <c r="F25" s="134" t="s">
        <v>371</v>
      </c>
      <c r="G25" s="5" t="s">
        <v>156</v>
      </c>
      <c r="H25" s="60">
        <v>6.0</v>
      </c>
      <c r="I25" s="135">
        <v>2.0</v>
      </c>
      <c r="J25" s="137"/>
      <c r="K25" s="138"/>
      <c r="L25" s="135">
        <v>1.0</v>
      </c>
      <c r="M25" s="135">
        <v>1.0</v>
      </c>
      <c r="N25" s="135">
        <v>5.0</v>
      </c>
      <c r="O25" s="60">
        <v>4.0</v>
      </c>
      <c r="P25" s="136" t="s">
        <v>372</v>
      </c>
      <c r="Q25" s="135">
        <v>3.0</v>
      </c>
      <c r="R25" s="136" t="s">
        <v>194</v>
      </c>
      <c r="S25" s="67" t="s">
        <v>503</v>
      </c>
      <c r="T25" s="6">
        <v>2.0</v>
      </c>
      <c r="U25" s="76"/>
      <c r="V25" s="76"/>
      <c r="W25" s="76"/>
      <c r="X25" s="76"/>
      <c r="Y25" s="76"/>
      <c r="Z25" s="76"/>
      <c r="AA25" s="76"/>
      <c r="AB25" s="76"/>
      <c r="AC25" s="76"/>
      <c r="AD25" s="76"/>
      <c r="AE25" s="68" t="s">
        <v>167</v>
      </c>
      <c r="AF25" s="68" t="s">
        <v>167</v>
      </c>
      <c r="AG25" s="90" t="s">
        <v>195</v>
      </c>
      <c r="AH25" s="68" t="s">
        <v>167</v>
      </c>
      <c r="AI25" s="68" t="s">
        <v>167</v>
      </c>
      <c r="AJ25" s="90" t="s">
        <v>195</v>
      </c>
      <c r="AK25" s="76" t="str">
        <f t="array" ref="AK25">INDEX(Factions!C:C, MATCH(E25, Factions!B:B, 0))</f>
        <v>#ffb317</v>
      </c>
      <c r="AL25" s="6" t="str">
        <f t="array" ref="AL25">INDEX(Factions!D:D, MATCH(E25, Factions!B:B, 0))</f>
        <v>#cf6c23</v>
      </c>
      <c r="AM25" s="6" t="str">
        <f t="array" ref="AM25">INDEX(Factions!E:E, MATCH(E25, Factions!B:B, 0))</f>
        <v>#000000</v>
      </c>
      <c r="AN25" s="76" t="str">
        <f t="array" ref="AN25">INDEX(Factions!F:F, MATCH(E25, Factions!B:B, 0))</f>
        <v>#ffffff</v>
      </c>
      <c r="AO25" s="76" t="str">
        <f t="array" ref="AO25">concat(INDEX(Factions!G:G, MATCH(E25, Factions!B:B, 0)),".png")</f>
        <v>gremlins.png</v>
      </c>
      <c r="AP25" s="84">
        <f>IFERROR(__xludf.DUMMYFUNCTION("MIN(FILTER(M25:M1098, F25:F1098=F25))"),1.0)</f>
        <v>1</v>
      </c>
      <c r="AQ25" s="76">
        <f t="shared" si="2"/>
        <v>3</v>
      </c>
      <c r="AR25" s="86">
        <f>IFERROR(__xludf.DUMMYFUNCTION("IF(and(REGEXMATCH(S25,""Vengence""),not(REGEXMATCH(S25, ""Protective Markings""))),AQ25,AQ25 * 6 / iferror(R25-1,6))"),6.0)</f>
        <v>6</v>
      </c>
      <c r="AS25" s="88">
        <f t="shared" si="3"/>
        <v>2</v>
      </c>
      <c r="AT25" s="89">
        <f t="shared" si="4"/>
        <v>2</v>
      </c>
      <c r="AU25" s="86">
        <f>IFERROR(__xludf.DUMMYFUNCTION("IF(REGEXMATCH(S25,""&lt;b&gt;Poison&lt;/b&gt;""),1+((1/(7-N25))/3),1)"),1.0)</f>
        <v>1</v>
      </c>
      <c r="AV25" s="86">
        <f>IFERROR(__xludf.DUMMYFUNCTION("IF(REGEXMATCH(S25,""Vengence""),(7 - R25) / 3,0)"),0.0)</f>
        <v>0</v>
      </c>
      <c r="AW25" s="86">
        <f t="shared" si="5"/>
        <v>0.6666666667</v>
      </c>
      <c r="AX25" s="84">
        <f t="shared" si="6"/>
        <v>7</v>
      </c>
      <c r="AY25" s="76" t="b">
        <f>IFERROR(__xludf.DUMMYFUNCTION("if(regexmatch(G25,""Mage|War Machine""),true,false)"),TRUE)</f>
        <v>1</v>
      </c>
    </row>
    <row r="26" ht="22.5" hidden="1" customHeight="1">
      <c r="A26" s="6" t="s">
        <v>509</v>
      </c>
      <c r="B26" s="6" t="s">
        <v>510</v>
      </c>
      <c r="C26" s="6" t="str">
        <f t="shared" si="1"/>
        <v>Coppersand Overseer</v>
      </c>
      <c r="D26" s="6" t="b">
        <v>1</v>
      </c>
      <c r="E26" s="57" t="s">
        <v>201</v>
      </c>
      <c r="F26" s="134" t="s">
        <v>479</v>
      </c>
      <c r="G26" s="5" t="s">
        <v>154</v>
      </c>
      <c r="H26" s="60">
        <v>5.0</v>
      </c>
      <c r="I26" s="135">
        <v>2.0</v>
      </c>
      <c r="J26" s="137"/>
      <c r="K26" s="60"/>
      <c r="L26" s="135">
        <v>1.0</v>
      </c>
      <c r="M26" s="135">
        <v>2.0</v>
      </c>
      <c r="N26" s="135">
        <v>4.0</v>
      </c>
      <c r="O26" s="60">
        <v>4.0</v>
      </c>
      <c r="P26" s="136" t="s">
        <v>194</v>
      </c>
      <c r="Q26" s="135">
        <v>5.0</v>
      </c>
      <c r="R26" s="136" t="s">
        <v>153</v>
      </c>
      <c r="S26" s="67" t="s">
        <v>513</v>
      </c>
      <c r="T26" s="6">
        <v>3.25</v>
      </c>
      <c r="U26" s="76"/>
      <c r="V26" s="76"/>
      <c r="W26" s="76"/>
      <c r="X26" s="76"/>
      <c r="Y26" s="76"/>
      <c r="Z26" s="76"/>
      <c r="AA26" s="76"/>
      <c r="AB26" s="76"/>
      <c r="AC26" s="6">
        <v>1.0</v>
      </c>
      <c r="AD26" s="6">
        <v>2.0</v>
      </c>
      <c r="AE26" s="90" t="s">
        <v>195</v>
      </c>
      <c r="AF26" s="68" t="s">
        <v>167</v>
      </c>
      <c r="AG26" s="90" t="s">
        <v>195</v>
      </c>
      <c r="AH26" s="68" t="s">
        <v>167</v>
      </c>
      <c r="AI26" s="90" t="s">
        <v>195</v>
      </c>
      <c r="AJ26" s="68" t="s">
        <v>167</v>
      </c>
      <c r="AK26" s="76" t="str">
        <f t="array" ref="AK26">INDEX(Factions!C:C, MATCH(E26, Factions!B:B, 0))</f>
        <v>#ffb317</v>
      </c>
      <c r="AL26" s="6" t="str">
        <f t="array" ref="AL26">INDEX(Factions!D:D, MATCH(E26, Factions!B:B, 0))</f>
        <v>#cf6c23</v>
      </c>
      <c r="AM26" s="6" t="str">
        <f t="array" ref="AM26">INDEX(Factions!E:E, MATCH(E26, Factions!B:B, 0))</f>
        <v>#000000</v>
      </c>
      <c r="AN26" s="76" t="str">
        <f t="array" ref="AN26">INDEX(Factions!F:F, MATCH(E26, Factions!B:B, 0))</f>
        <v>#ffffff</v>
      </c>
      <c r="AO26" s="76" t="str">
        <f t="array" ref="AO26">concat(INDEX(Factions!G:G, MATCH(E26, Factions!B:B, 0)),".png")</f>
        <v>gremlins.png</v>
      </c>
      <c r="AP26" s="84">
        <f>IFERROR(__xludf.DUMMYFUNCTION("MIN(FILTER(M26:M1098, F26:F1098=F26))"),2.0)</f>
        <v>2</v>
      </c>
      <c r="AQ26" s="76">
        <f t="shared" si="2"/>
        <v>5</v>
      </c>
      <c r="AR26" s="86">
        <f>IFERROR(__xludf.DUMMYFUNCTION("IF(and(REGEXMATCH(S26,""Vengence""),not(REGEXMATCH(S26, ""Protective Markings""))),AQ26,AQ26 * 6 / iferror(R26-1,6))"),7.5)</f>
        <v>7.5</v>
      </c>
      <c r="AS26" s="88">
        <f t="shared" si="3"/>
        <v>4</v>
      </c>
      <c r="AT26" s="89">
        <f t="shared" si="4"/>
        <v>4</v>
      </c>
      <c r="AU26" s="86">
        <f>IFERROR(__xludf.DUMMYFUNCTION("IF(REGEXMATCH(S26,""&lt;b&gt;Poison&lt;/b&gt;""),1+((1/(7-N26))/3),1)"),1.0)</f>
        <v>1</v>
      </c>
      <c r="AV26" s="86">
        <f>IFERROR(__xludf.DUMMYFUNCTION("IF(REGEXMATCH(S26,""Vengence""),(7 - R26) / 3,0)"),0.0)</f>
        <v>0</v>
      </c>
      <c r="AW26" s="86">
        <f t="shared" si="5"/>
        <v>2</v>
      </c>
      <c r="AX26" s="84">
        <f t="shared" si="6"/>
        <v>10.5</v>
      </c>
      <c r="AY26" s="76" t="b">
        <f>IFERROR(__xludf.DUMMYFUNCTION("if(regexmatch(G26,""Mage|War Machine""),true,false)"),FALSE)</f>
        <v>0</v>
      </c>
    </row>
    <row r="27" ht="22.5" hidden="1" customHeight="1">
      <c r="A27" s="6" t="s">
        <v>526</v>
      </c>
      <c r="B27" s="6" t="s">
        <v>527</v>
      </c>
      <c r="C27" s="6" t="str">
        <f t="shared" si="1"/>
        <v>Coppersand Clay Golems</v>
      </c>
      <c r="D27" s="6" t="b">
        <v>1</v>
      </c>
      <c r="E27" s="57" t="s">
        <v>201</v>
      </c>
      <c r="F27" s="134" t="s">
        <v>528</v>
      </c>
      <c r="G27" s="5" t="s">
        <v>144</v>
      </c>
      <c r="H27" s="60">
        <v>5.0</v>
      </c>
      <c r="I27" s="135">
        <v>2.0</v>
      </c>
      <c r="J27" s="137"/>
      <c r="K27" s="138"/>
      <c r="L27" s="135">
        <v>3.0</v>
      </c>
      <c r="M27" s="135">
        <v>1.0</v>
      </c>
      <c r="N27" s="135">
        <v>4.0</v>
      </c>
      <c r="O27" s="60" t="s">
        <v>147</v>
      </c>
      <c r="P27" s="136" t="s">
        <v>372</v>
      </c>
      <c r="Q27" s="135">
        <v>3.0</v>
      </c>
      <c r="R27" s="136" t="s">
        <v>153</v>
      </c>
      <c r="S27" s="67" t="s">
        <v>530</v>
      </c>
      <c r="T27" s="6">
        <v>7.25</v>
      </c>
      <c r="U27" s="76"/>
      <c r="V27" s="76"/>
      <c r="W27" s="76"/>
      <c r="X27" s="76"/>
      <c r="Y27" s="76"/>
      <c r="Z27" s="76"/>
      <c r="AA27" s="6">
        <v>3.0</v>
      </c>
      <c r="AB27" s="76"/>
      <c r="AC27" s="6">
        <v>2.0</v>
      </c>
      <c r="AD27" s="76"/>
      <c r="AE27" s="68" t="s">
        <v>167</v>
      </c>
      <c r="AF27" s="68" t="s">
        <v>167</v>
      </c>
      <c r="AG27" s="68" t="s">
        <v>167</v>
      </c>
      <c r="AH27" s="68" t="s">
        <v>167</v>
      </c>
      <c r="AI27" s="90" t="s">
        <v>195</v>
      </c>
      <c r="AJ27" s="68" t="s">
        <v>167</v>
      </c>
      <c r="AK27" s="76" t="str">
        <f t="array" ref="AK27">INDEX(Factions!C:C, MATCH(E27, Factions!B:B, 0))</f>
        <v>#ffb317</v>
      </c>
      <c r="AL27" s="6" t="str">
        <f t="array" ref="AL27">INDEX(Factions!D:D, MATCH(E27, Factions!B:B, 0))</f>
        <v>#cf6c23</v>
      </c>
      <c r="AM27" s="6" t="str">
        <f t="array" ref="AM27">INDEX(Factions!E:E, MATCH(E27, Factions!B:B, 0))</f>
        <v>#000000</v>
      </c>
      <c r="AN27" s="76" t="str">
        <f t="array" ref="AN27">INDEX(Factions!F:F, MATCH(E27, Factions!B:B, 0))</f>
        <v>#ffffff</v>
      </c>
      <c r="AO27" s="76" t="str">
        <f t="array" ref="AO27">concat(INDEX(Factions!G:G, MATCH(E27, Factions!B:B, 0)),".png")</f>
        <v>gremlins.png</v>
      </c>
      <c r="AP27" s="84">
        <f>IFERROR(__xludf.DUMMYFUNCTION("MIN(FILTER(M27:M1098, F27:F1098=F27))"),1.0)</f>
        <v>1</v>
      </c>
      <c r="AQ27" s="76">
        <f t="shared" si="2"/>
        <v>9</v>
      </c>
      <c r="AR27" s="86">
        <f>IFERROR(__xludf.DUMMYFUNCTION("IF(and(REGEXMATCH(S27,""Vengence""),not(REGEXMATCH(S27, ""Protective Markings""))),AQ27,AQ27 * 6 / iferror(R27-1,6))"),13.5)</f>
        <v>13.5</v>
      </c>
      <c r="AS27" s="88">
        <f t="shared" si="3"/>
        <v>2</v>
      </c>
      <c r="AT27" s="89">
        <f t="shared" si="4"/>
        <v>6</v>
      </c>
      <c r="AU27" s="86">
        <f>IFERROR(__xludf.DUMMYFUNCTION("IF(REGEXMATCH(S27,""&lt;b&gt;Poison&lt;/b&gt;""),1+((1/(7-N27))/3),1)"),1.0)</f>
        <v>1</v>
      </c>
      <c r="AV27" s="86">
        <f>IFERROR(__xludf.DUMMYFUNCTION("IF(REGEXMATCH(S27,""Vengence""),(7 - R27) / 3,0)"),0.0)</f>
        <v>0</v>
      </c>
      <c r="AW27" s="86">
        <f t="shared" si="5"/>
        <v>3</v>
      </c>
      <c r="AX27" s="84">
        <f t="shared" si="6"/>
        <v>18</v>
      </c>
      <c r="AY27" s="76" t="b">
        <f>IFERROR(__xludf.DUMMYFUNCTION("if(regexmatch(G27,""Mage|War Machine""),true,false)"),FALSE)</f>
        <v>0</v>
      </c>
    </row>
    <row r="28" ht="22.5" hidden="1" customHeight="1">
      <c r="A28" s="6" t="s">
        <v>537</v>
      </c>
      <c r="B28" s="6" t="s">
        <v>538</v>
      </c>
      <c r="C28" s="6" t="str">
        <f t="shared" si="1"/>
        <v>Coppersand Minetomatons</v>
      </c>
      <c r="D28" s="6" t="b">
        <v>1</v>
      </c>
      <c r="E28" s="57" t="s">
        <v>201</v>
      </c>
      <c r="F28" s="134" t="s">
        <v>528</v>
      </c>
      <c r="G28" s="5" t="s">
        <v>75</v>
      </c>
      <c r="H28" s="60">
        <v>5.0</v>
      </c>
      <c r="I28" s="135">
        <v>2.0</v>
      </c>
      <c r="J28" s="137"/>
      <c r="K28" s="138"/>
      <c r="L28" s="135">
        <v>3.0</v>
      </c>
      <c r="M28" s="135">
        <v>1.0</v>
      </c>
      <c r="N28" s="135">
        <v>4.0</v>
      </c>
      <c r="O28" s="60" t="s">
        <v>147</v>
      </c>
      <c r="P28" s="136" t="s">
        <v>372</v>
      </c>
      <c r="Q28" s="135">
        <v>2.0</v>
      </c>
      <c r="R28" s="136" t="s">
        <v>153</v>
      </c>
      <c r="S28" s="67" t="s">
        <v>540</v>
      </c>
      <c r="T28" s="6">
        <v>5.0</v>
      </c>
      <c r="U28" s="76"/>
      <c r="V28" s="76"/>
      <c r="W28" s="76"/>
      <c r="X28" s="76"/>
      <c r="Y28" s="76"/>
      <c r="Z28" s="6">
        <v>3.0</v>
      </c>
      <c r="AA28" s="6">
        <v>3.0</v>
      </c>
      <c r="AB28" s="76"/>
      <c r="AC28" s="76"/>
      <c r="AD28" s="76"/>
      <c r="AE28" s="68" t="s">
        <v>167</v>
      </c>
      <c r="AF28" s="68" t="s">
        <v>167</v>
      </c>
      <c r="AG28" s="68" t="s">
        <v>167</v>
      </c>
      <c r="AH28" s="68" t="s">
        <v>167</v>
      </c>
      <c r="AI28" s="68" t="s">
        <v>167</v>
      </c>
      <c r="AJ28" s="68" t="s">
        <v>167</v>
      </c>
      <c r="AK28" s="76" t="str">
        <f t="array" ref="AK28">INDEX(Factions!C:C, MATCH(E28, Factions!B:B, 0))</f>
        <v>#ffb317</v>
      </c>
      <c r="AL28" s="6" t="str">
        <f t="array" ref="AL28">INDEX(Factions!D:D, MATCH(E28, Factions!B:B, 0))</f>
        <v>#cf6c23</v>
      </c>
      <c r="AM28" s="6" t="str">
        <f t="array" ref="AM28">INDEX(Factions!E:E, MATCH(E28, Factions!B:B, 0))</f>
        <v>#000000</v>
      </c>
      <c r="AN28" s="76" t="str">
        <f t="array" ref="AN28">INDEX(Factions!F:F, MATCH(E28, Factions!B:B, 0))</f>
        <v>#ffffff</v>
      </c>
      <c r="AO28" s="76" t="str">
        <f t="array" ref="AO28">concat(INDEX(Factions!G:G, MATCH(E28, Factions!B:B, 0)),".png")</f>
        <v>gremlins.png</v>
      </c>
      <c r="AP28" s="84">
        <f>IFERROR(__xludf.DUMMYFUNCTION("MIN(FILTER(M28:M1098, F28:F1098=F28))"),1.0)</f>
        <v>1</v>
      </c>
      <c r="AQ28" s="76">
        <f t="shared" si="2"/>
        <v>6</v>
      </c>
      <c r="AR28" s="86">
        <f>IFERROR(__xludf.DUMMYFUNCTION("IF(and(REGEXMATCH(S28,""Vengence""),not(REGEXMATCH(S28, ""Protective Markings""))),AQ28,AQ28 * 6 / iferror(R28-1,6))"),9.0)</f>
        <v>9</v>
      </c>
      <c r="AS28" s="88">
        <f t="shared" si="3"/>
        <v>2</v>
      </c>
      <c r="AT28" s="89">
        <f t="shared" si="4"/>
        <v>6</v>
      </c>
      <c r="AU28" s="86">
        <f>IFERROR(__xludf.DUMMYFUNCTION("IF(REGEXMATCH(S28,""&lt;b&gt;Poison&lt;/b&gt;""),1+((1/(7-N28))/3),1)"),1.0)</f>
        <v>1</v>
      </c>
      <c r="AV28" s="86">
        <f>IFERROR(__xludf.DUMMYFUNCTION("IF(REGEXMATCH(S28,""Vengence""),(7 - R28) / 3,0)"),0.0)</f>
        <v>0</v>
      </c>
      <c r="AW28" s="86">
        <f t="shared" si="5"/>
        <v>3</v>
      </c>
      <c r="AX28" s="84">
        <f t="shared" si="6"/>
        <v>13.5</v>
      </c>
      <c r="AY28" s="76" t="b">
        <f>IFERROR(__xludf.DUMMYFUNCTION("if(regexmatch(G28,""Mage|War Machine""),true,false)"),FALSE)</f>
        <v>0</v>
      </c>
    </row>
    <row r="29" ht="22.5" hidden="1" customHeight="1">
      <c r="A29" s="6" t="s">
        <v>547</v>
      </c>
      <c r="B29" s="6" t="s">
        <v>548</v>
      </c>
      <c r="C29" s="6" t="str">
        <f t="shared" si="1"/>
        <v>Coppersand Bladestorms</v>
      </c>
      <c r="D29" s="6" t="b">
        <v>1</v>
      </c>
      <c r="E29" s="57" t="s">
        <v>201</v>
      </c>
      <c r="F29" s="134" t="s">
        <v>528</v>
      </c>
      <c r="G29" s="5" t="s">
        <v>145</v>
      </c>
      <c r="H29" s="60">
        <v>5.0</v>
      </c>
      <c r="I29" s="135">
        <v>2.0</v>
      </c>
      <c r="J29" s="137"/>
      <c r="K29" s="60"/>
      <c r="L29" s="135">
        <v>3.0</v>
      </c>
      <c r="M29" s="135">
        <v>1.0</v>
      </c>
      <c r="N29" s="135">
        <v>5.0</v>
      </c>
      <c r="O29" s="60" t="s">
        <v>147</v>
      </c>
      <c r="P29" s="136" t="s">
        <v>549</v>
      </c>
      <c r="Q29" s="135">
        <v>2.0</v>
      </c>
      <c r="R29" s="136" t="s">
        <v>153</v>
      </c>
      <c r="S29" s="67" t="s">
        <v>550</v>
      </c>
      <c r="T29" s="6">
        <v>5.5</v>
      </c>
      <c r="U29" s="6" t="s">
        <v>238</v>
      </c>
      <c r="V29" s="76"/>
      <c r="W29" s="76"/>
      <c r="X29" s="76"/>
      <c r="Y29" s="6">
        <v>2.0</v>
      </c>
      <c r="Z29" s="6">
        <v>2.0</v>
      </c>
      <c r="AA29" s="6">
        <v>2.0</v>
      </c>
      <c r="AB29" s="6">
        <v>2.0</v>
      </c>
      <c r="AC29" s="76"/>
      <c r="AD29" s="76"/>
      <c r="AE29" s="68" t="s">
        <v>167</v>
      </c>
      <c r="AF29" s="69" t="s">
        <v>171</v>
      </c>
      <c r="AG29" s="68" t="s">
        <v>167</v>
      </c>
      <c r="AH29" s="129" t="s">
        <v>354</v>
      </c>
      <c r="AI29" s="68" t="s">
        <v>167</v>
      </c>
      <c r="AJ29" s="68" t="s">
        <v>167</v>
      </c>
      <c r="AK29" s="76" t="str">
        <f t="array" ref="AK29">INDEX(Factions!C:C, MATCH(E29, Factions!B:B, 0))</f>
        <v>#ffb317</v>
      </c>
      <c r="AL29" s="6" t="str">
        <f t="array" ref="AL29">INDEX(Factions!D:D, MATCH(E29, Factions!B:B, 0))</f>
        <v>#cf6c23</v>
      </c>
      <c r="AM29" s="6" t="str">
        <f t="array" ref="AM29">INDEX(Factions!E:E, MATCH(E29, Factions!B:B, 0))</f>
        <v>#000000</v>
      </c>
      <c r="AN29" s="76" t="str">
        <f t="array" ref="AN29">INDEX(Factions!F:F, MATCH(E29, Factions!B:B, 0))</f>
        <v>#ffffff</v>
      </c>
      <c r="AO29" s="76" t="str">
        <f t="array" ref="AO29">concat(INDEX(Factions!G:G, MATCH(E29, Factions!B:B, 0)),".png")</f>
        <v>gremlins.png</v>
      </c>
      <c r="AP29" s="84">
        <f>IFERROR(__xludf.DUMMYFUNCTION("MIN(FILTER(M29:M1098, F29:F1098=F29))"),1.0)</f>
        <v>1</v>
      </c>
      <c r="AQ29" s="76">
        <f t="shared" si="2"/>
        <v>6</v>
      </c>
      <c r="AR29" s="86">
        <f>IFERROR(__xludf.DUMMYFUNCTION("IF(and(REGEXMATCH(S29,""Vengence""),not(REGEXMATCH(S29, ""Protective Markings""))),AQ29,AQ29 * 6 / iferror(R29-1,6))"),9.0)</f>
        <v>9</v>
      </c>
      <c r="AS29" s="143">
        <f t="shared" si="3"/>
        <v>4</v>
      </c>
      <c r="AT29" s="89">
        <f t="shared" si="4"/>
        <v>12</v>
      </c>
      <c r="AU29" s="86">
        <f>IFERROR(__xludf.DUMMYFUNCTION("IF(REGEXMATCH(S29,""&lt;b&gt;Poison&lt;/b&gt;""),1+((1/(7-N29))/3),1)"),1.0)</f>
        <v>1</v>
      </c>
      <c r="AV29" s="86">
        <f>IFERROR(__xludf.DUMMYFUNCTION("IF(REGEXMATCH(S29,""Vengence""),(7 - R29) / 3,0)"),0.0)</f>
        <v>0</v>
      </c>
      <c r="AW29" s="86">
        <f t="shared" si="5"/>
        <v>4</v>
      </c>
      <c r="AX29" s="84">
        <f t="shared" si="6"/>
        <v>15</v>
      </c>
      <c r="AY29" s="76" t="b">
        <f>IFERROR(__xludf.DUMMYFUNCTION("if(regexmatch(G29,""Mage|War Machine""),true,false)"),FALSE)</f>
        <v>0</v>
      </c>
    </row>
    <row r="30" ht="22.5" hidden="1" customHeight="1">
      <c r="A30" s="6" t="s">
        <v>555</v>
      </c>
      <c r="B30" s="6" t="s">
        <v>556</v>
      </c>
      <c r="C30" s="6" t="str">
        <f t="shared" si="1"/>
        <v>Coppersand Surpressor</v>
      </c>
      <c r="D30" s="6" t="b">
        <v>1</v>
      </c>
      <c r="E30" s="57" t="s">
        <v>201</v>
      </c>
      <c r="F30" s="134" t="s">
        <v>371</v>
      </c>
      <c r="G30" s="5" t="s">
        <v>156</v>
      </c>
      <c r="H30" s="60">
        <v>6.0</v>
      </c>
      <c r="I30" s="135">
        <v>2.0</v>
      </c>
      <c r="J30" s="137"/>
      <c r="K30" s="138"/>
      <c r="L30" s="135">
        <v>1.0</v>
      </c>
      <c r="M30" s="135">
        <v>1.0</v>
      </c>
      <c r="N30" s="135">
        <v>6.0</v>
      </c>
      <c r="O30" s="60" t="s">
        <v>147</v>
      </c>
      <c r="P30" s="136" t="s">
        <v>372</v>
      </c>
      <c r="Q30" s="135">
        <v>4.0</v>
      </c>
      <c r="R30" s="136" t="s">
        <v>217</v>
      </c>
      <c r="S30" s="67" t="s">
        <v>559</v>
      </c>
      <c r="T30" s="6">
        <v>1.0</v>
      </c>
      <c r="U30" s="76"/>
      <c r="V30" s="76"/>
      <c r="W30" s="76"/>
      <c r="X30" s="76"/>
      <c r="Y30" s="76"/>
      <c r="Z30" s="76"/>
      <c r="AA30" s="76"/>
      <c r="AB30" s="76"/>
      <c r="AC30" s="76"/>
      <c r="AD30" s="76"/>
      <c r="AE30" s="68" t="s">
        <v>167</v>
      </c>
      <c r="AF30" s="68" t="s">
        <v>167</v>
      </c>
      <c r="AG30" s="68" t="s">
        <v>167</v>
      </c>
      <c r="AH30" s="68" t="s">
        <v>167</v>
      </c>
      <c r="AI30" s="68" t="s">
        <v>167</v>
      </c>
      <c r="AJ30" s="68" t="s">
        <v>167</v>
      </c>
      <c r="AK30" s="76" t="str">
        <f t="array" ref="AK30">INDEX(Factions!C:C, MATCH(E30, Factions!B:B, 0))</f>
        <v>#ffb317</v>
      </c>
      <c r="AL30" s="6" t="str">
        <f t="array" ref="AL30">INDEX(Factions!D:D, MATCH(E30, Factions!B:B, 0))</f>
        <v>#cf6c23</v>
      </c>
      <c r="AM30" s="6" t="str">
        <f t="array" ref="AM30">INDEX(Factions!E:E, MATCH(E30, Factions!B:B, 0))</f>
        <v>#000000</v>
      </c>
      <c r="AN30" s="76" t="str">
        <f t="array" ref="AN30">INDEX(Factions!F:F, MATCH(E30, Factions!B:B, 0))</f>
        <v>#ffffff</v>
      </c>
      <c r="AO30" s="76" t="str">
        <f t="array" ref="AO30">concat(INDEX(Factions!G:G, MATCH(E30, Factions!B:B, 0)),".png")</f>
        <v>gremlins.png</v>
      </c>
      <c r="AP30" s="84">
        <f>IFERROR(__xludf.DUMMYFUNCTION("MIN(FILTER(M30:M1098, F30:F1098=F30))"),1.0)</f>
        <v>1</v>
      </c>
      <c r="AQ30" s="76">
        <f t="shared" si="2"/>
        <v>4</v>
      </c>
      <c r="AR30" s="86">
        <f>IFERROR(__xludf.DUMMYFUNCTION("IF(and(REGEXMATCH(S30,""Vengence""),not(REGEXMATCH(S30, ""Protective Markings""))),AQ30,AQ30 * 6 / iferror(R30-1,6))"),4.8)</f>
        <v>4.8</v>
      </c>
      <c r="AS30" s="88">
        <f t="shared" si="3"/>
        <v>2</v>
      </c>
      <c r="AT30" s="89">
        <f t="shared" si="4"/>
        <v>2</v>
      </c>
      <c r="AU30" s="86">
        <f>IFERROR(__xludf.DUMMYFUNCTION("IF(REGEXMATCH(S30,""&lt;b&gt;Poison&lt;/b&gt;""),1+((1/(7-N30))/3),1)"),1.0)</f>
        <v>1</v>
      </c>
      <c r="AV30" s="86">
        <f>IFERROR(__xludf.DUMMYFUNCTION("IF(REGEXMATCH(S30,""Vengence""),(7 - R30) / 3,0)"),0.0)</f>
        <v>0</v>
      </c>
      <c r="AW30" s="86">
        <f t="shared" si="5"/>
        <v>0.3333333333</v>
      </c>
      <c r="AX30" s="84">
        <f t="shared" si="6"/>
        <v>5.3</v>
      </c>
      <c r="AY30" s="76" t="b">
        <f>IFERROR(__xludf.DUMMYFUNCTION("if(regexmatch(G30,""Mage|War Machine""),true,false)"),TRUE)</f>
        <v>1</v>
      </c>
    </row>
    <row r="31" ht="22.5" hidden="1" customHeight="1">
      <c r="A31" s="6" t="s">
        <v>565</v>
      </c>
      <c r="B31" s="6" t="s">
        <v>567</v>
      </c>
      <c r="C31" s="6" t="str">
        <f t="shared" si="1"/>
        <v>Coppersand Grand Bombard</v>
      </c>
      <c r="D31" s="6" t="b">
        <v>1</v>
      </c>
      <c r="E31" s="57" t="s">
        <v>201</v>
      </c>
      <c r="F31" s="134" t="s">
        <v>371</v>
      </c>
      <c r="G31" s="5" t="s">
        <v>156</v>
      </c>
      <c r="H31" s="60">
        <v>6.0</v>
      </c>
      <c r="I31" s="135">
        <v>2.0</v>
      </c>
      <c r="J31" s="137"/>
      <c r="K31" s="138"/>
      <c r="L31" s="135">
        <v>1.0</v>
      </c>
      <c r="M31" s="135">
        <v>1.0</v>
      </c>
      <c r="N31" s="135">
        <v>6.0</v>
      </c>
      <c r="O31" s="60" t="s">
        <v>147</v>
      </c>
      <c r="P31" s="136" t="s">
        <v>372</v>
      </c>
      <c r="Q31" s="135">
        <v>3.0</v>
      </c>
      <c r="R31" s="136" t="s">
        <v>217</v>
      </c>
      <c r="S31" s="67" t="s">
        <v>569</v>
      </c>
      <c r="T31" s="6">
        <v>1.0</v>
      </c>
      <c r="U31" s="76"/>
      <c r="V31" s="76"/>
      <c r="W31" s="76"/>
      <c r="X31" s="76"/>
      <c r="Y31" s="76"/>
      <c r="Z31" s="76"/>
      <c r="AA31" s="76"/>
      <c r="AB31" s="76"/>
      <c r="AC31" s="76"/>
      <c r="AD31" s="76"/>
      <c r="AE31" s="68" t="s">
        <v>167</v>
      </c>
      <c r="AF31" s="68" t="s">
        <v>167</v>
      </c>
      <c r="AG31" s="68" t="s">
        <v>167</v>
      </c>
      <c r="AH31" s="68" t="s">
        <v>167</v>
      </c>
      <c r="AI31" s="68" t="s">
        <v>167</v>
      </c>
      <c r="AJ31" s="68" t="s">
        <v>167</v>
      </c>
      <c r="AK31" s="76" t="str">
        <f t="array" ref="AK31">INDEX(Factions!C:C, MATCH(E31, Factions!B:B, 0))</f>
        <v>#ffb317</v>
      </c>
      <c r="AL31" s="6" t="str">
        <f t="array" ref="AL31">INDEX(Factions!D:D, MATCH(E31, Factions!B:B, 0))</f>
        <v>#cf6c23</v>
      </c>
      <c r="AM31" s="6" t="str">
        <f t="array" ref="AM31">INDEX(Factions!E:E, MATCH(E31, Factions!B:B, 0))</f>
        <v>#000000</v>
      </c>
      <c r="AN31" s="76" t="str">
        <f t="array" ref="AN31">INDEX(Factions!F:F, MATCH(E31, Factions!B:B, 0))</f>
        <v>#ffffff</v>
      </c>
      <c r="AO31" s="76" t="str">
        <f t="array" ref="AO31">concat(INDEX(Factions!G:G, MATCH(E31, Factions!B:B, 0)),".png")</f>
        <v>gremlins.png</v>
      </c>
      <c r="AP31" s="84">
        <f>IFERROR(__xludf.DUMMYFUNCTION("MIN(FILTER(M31:M1098, F31:F1098=F31))"),1.0)</f>
        <v>1</v>
      </c>
      <c r="AQ31" s="76">
        <f t="shared" si="2"/>
        <v>3</v>
      </c>
      <c r="AR31" s="86">
        <f>IFERROR(__xludf.DUMMYFUNCTION("IF(and(REGEXMATCH(S31,""Vengence""),not(REGEXMATCH(S31, ""Protective Markings""))),AQ31,AQ31 * 6 / iferror(R31-1,6))"),3.6)</f>
        <v>3.6</v>
      </c>
      <c r="AS31" s="88">
        <f t="shared" si="3"/>
        <v>2</v>
      </c>
      <c r="AT31" s="89">
        <f t="shared" si="4"/>
        <v>2</v>
      </c>
      <c r="AU31" s="86">
        <f>IFERROR(__xludf.DUMMYFUNCTION("IF(REGEXMATCH(S31,""&lt;b&gt;Poison&lt;/b&gt;""),1+((1/(7-N31))/3),1)"),1.0)</f>
        <v>1</v>
      </c>
      <c r="AV31" s="86">
        <f>IFERROR(__xludf.DUMMYFUNCTION("IF(REGEXMATCH(S31,""Vengence""),(7 - R31) / 3,0)"),0.0)</f>
        <v>0</v>
      </c>
      <c r="AW31" s="86">
        <f t="shared" si="5"/>
        <v>0.3333333333</v>
      </c>
      <c r="AX31" s="84">
        <f t="shared" si="6"/>
        <v>4.1</v>
      </c>
      <c r="AY31" s="76" t="b">
        <f>IFERROR(__xludf.DUMMYFUNCTION("if(regexmatch(G31,""Mage|War Machine""),true,false)"),TRUE)</f>
        <v>1</v>
      </c>
    </row>
    <row r="32" ht="22.5" hidden="1" customHeight="1">
      <c r="A32" s="44" t="s">
        <v>575</v>
      </c>
      <c r="B32" s="6" t="s">
        <v>576</v>
      </c>
      <c r="C32" s="6" t="str">
        <f t="shared" si="1"/>
        <v>Disciples Ratbeasts</v>
      </c>
      <c r="D32" s="6" t="b">
        <v>1</v>
      </c>
      <c r="E32" s="5" t="s">
        <v>202</v>
      </c>
      <c r="F32" s="134" t="s">
        <v>578</v>
      </c>
      <c r="G32" s="5" t="s">
        <v>140</v>
      </c>
      <c r="H32" s="60">
        <v>5.0</v>
      </c>
      <c r="I32" s="135">
        <v>1.0</v>
      </c>
      <c r="J32" s="135">
        <v>1.0</v>
      </c>
      <c r="K32" s="138"/>
      <c r="L32" s="135">
        <v>3.0</v>
      </c>
      <c r="M32" s="135">
        <v>1.0</v>
      </c>
      <c r="N32" s="135">
        <v>6.0</v>
      </c>
      <c r="O32" s="60" t="s">
        <v>147</v>
      </c>
      <c r="P32" s="136" t="s">
        <v>380</v>
      </c>
      <c r="Q32" s="135">
        <v>2.0</v>
      </c>
      <c r="R32" s="136" t="s">
        <v>147</v>
      </c>
      <c r="S32" s="144" t="s">
        <v>579</v>
      </c>
      <c r="T32" s="6">
        <v>3.0</v>
      </c>
      <c r="U32" s="76"/>
      <c r="V32" s="76"/>
      <c r="W32" s="76"/>
      <c r="X32" s="76"/>
      <c r="Y32" s="6">
        <v>1.0</v>
      </c>
      <c r="Z32" s="76"/>
      <c r="AA32" s="76"/>
      <c r="AB32" s="76"/>
      <c r="AC32" s="6">
        <v>1.0</v>
      </c>
      <c r="AD32" s="76"/>
      <c r="AE32" s="68" t="s">
        <v>167</v>
      </c>
      <c r="AF32" s="69" t="s">
        <v>171</v>
      </c>
      <c r="AG32" s="68" t="s">
        <v>167</v>
      </c>
      <c r="AH32" s="90" t="s">
        <v>195</v>
      </c>
      <c r="AI32" s="68" t="s">
        <v>167</v>
      </c>
      <c r="AJ32" s="69" t="s">
        <v>171</v>
      </c>
      <c r="AK32" s="76" t="str">
        <f t="array" ref="AK32">INDEX(Factions!C:C, MATCH(E32, Factions!B:B, 0))</f>
        <v>#5c9667</v>
      </c>
      <c r="AL32" s="6" t="str">
        <f t="array" ref="AL32">INDEX(Factions!D:D, MATCH(E32, Factions!B:B, 0))</f>
        <v>#005050</v>
      </c>
      <c r="AM32" s="6" t="str">
        <f t="array" ref="AM32">INDEX(Factions!E:E, MATCH(E32, Factions!B:B, 0))</f>
        <v>#000000</v>
      </c>
      <c r="AN32" s="76" t="str">
        <f t="array" ref="AN32">INDEX(Factions!F:F, MATCH(E32, Factions!B:B, 0))</f>
        <v>#ffffff</v>
      </c>
      <c r="AO32" s="76" t="str">
        <f t="array" ref="AO32">concat(INDEX(Factions!G:G, MATCH(E32, Factions!B:B, 0)),".png")</f>
        <v>disciples.png</v>
      </c>
      <c r="AP32" s="84">
        <f>IFERROR(__xludf.DUMMYFUNCTION("MIN(FILTER(M32:M1098, F32:F1098=F32))"),1.0)</f>
        <v>1</v>
      </c>
      <c r="AQ32" s="76">
        <f t="shared" si="2"/>
        <v>6</v>
      </c>
      <c r="AR32" s="86">
        <f>IFERROR(__xludf.DUMMYFUNCTION("IF(and(REGEXMATCH(S32,""Vengence""),not(REGEXMATCH(S32, ""Protective Markings""))),AQ32,AQ32 * 6 / iferror(R32-1,6))"),6.0)</f>
        <v>6</v>
      </c>
      <c r="AS32" s="88">
        <f t="shared" si="3"/>
        <v>3</v>
      </c>
      <c r="AT32" s="89">
        <f t="shared" si="4"/>
        <v>9</v>
      </c>
      <c r="AU32" s="86">
        <f>IFERROR(__xludf.DUMMYFUNCTION("IF(REGEXMATCH(S32,""&lt;b&gt;Poison&lt;/b&gt;""),1+((1/(7-N32))/3),1)"),1.0)</f>
        <v>1</v>
      </c>
      <c r="AV32" s="86">
        <f>IFERROR(__xludf.DUMMYFUNCTION("IF(REGEXMATCH(S32,""Vengence""),(7 - R32) / 3,0)"),0.0)</f>
        <v>0</v>
      </c>
      <c r="AW32" s="86">
        <f t="shared" si="5"/>
        <v>1.5</v>
      </c>
      <c r="AX32" s="84">
        <f t="shared" si="6"/>
        <v>8.25</v>
      </c>
      <c r="AY32" s="76" t="b">
        <f>IFERROR(__xludf.DUMMYFUNCTION("if(regexmatch(G32,""Mage|War Machine""),true,false)"),FALSE)</f>
        <v>0</v>
      </c>
    </row>
    <row r="33" ht="22.5" hidden="1" customHeight="1">
      <c r="A33" s="44" t="s">
        <v>612</v>
      </c>
      <c r="B33" s="6" t="s">
        <v>614</v>
      </c>
      <c r="C33" s="6" t="str">
        <f t="shared" si="1"/>
        <v>Disciples Scalebeasts</v>
      </c>
      <c r="D33" s="6" t="b">
        <v>1</v>
      </c>
      <c r="E33" s="5" t="s">
        <v>202</v>
      </c>
      <c r="F33" s="134" t="s">
        <v>578</v>
      </c>
      <c r="G33" s="5" t="s">
        <v>144</v>
      </c>
      <c r="H33" s="60">
        <v>5.0</v>
      </c>
      <c r="I33" s="135">
        <v>1.0</v>
      </c>
      <c r="J33" s="135">
        <v>2.0</v>
      </c>
      <c r="K33" s="138"/>
      <c r="L33" s="135">
        <v>3.0</v>
      </c>
      <c r="M33" s="135">
        <v>1.0</v>
      </c>
      <c r="N33" s="135">
        <v>5.0</v>
      </c>
      <c r="O33" s="60" t="s">
        <v>147</v>
      </c>
      <c r="P33" s="136" t="s">
        <v>372</v>
      </c>
      <c r="Q33" s="135">
        <v>2.0</v>
      </c>
      <c r="R33" s="136" t="s">
        <v>194</v>
      </c>
      <c r="S33" s="144" t="s">
        <v>616</v>
      </c>
      <c r="T33" s="6">
        <v>4.0</v>
      </c>
      <c r="U33" s="76"/>
      <c r="V33" s="76"/>
      <c r="W33" s="76"/>
      <c r="X33" s="76"/>
      <c r="Y33" s="6">
        <v>1.0</v>
      </c>
      <c r="Z33" s="6">
        <v>1.0</v>
      </c>
      <c r="AA33" s="6">
        <v>1.0</v>
      </c>
      <c r="AB33" s="6">
        <v>1.0</v>
      </c>
      <c r="AC33" s="6">
        <v>1.0</v>
      </c>
      <c r="AD33" s="76"/>
      <c r="AE33" s="68" t="s">
        <v>167</v>
      </c>
      <c r="AF33" s="69" t="s">
        <v>171</v>
      </c>
      <c r="AG33" s="68" t="s">
        <v>167</v>
      </c>
      <c r="AH33" s="90" t="s">
        <v>195</v>
      </c>
      <c r="AI33" s="68" t="s">
        <v>167</v>
      </c>
      <c r="AJ33" s="90" t="s">
        <v>195</v>
      </c>
      <c r="AK33" s="76" t="str">
        <f t="array" ref="AK33">INDEX(Factions!C:C, MATCH(E33, Factions!B:B, 0))</f>
        <v>#5c9667</v>
      </c>
      <c r="AL33" s="6" t="str">
        <f t="array" ref="AL33">INDEX(Factions!D:D, MATCH(E33, Factions!B:B, 0))</f>
        <v>#005050</v>
      </c>
      <c r="AM33" s="6" t="str">
        <f t="array" ref="AM33">INDEX(Factions!E:E, MATCH(E33, Factions!B:B, 0))</f>
        <v>#000000</v>
      </c>
      <c r="AN33" s="76" t="str">
        <f t="array" ref="AN33">INDEX(Factions!F:F, MATCH(E33, Factions!B:B, 0))</f>
        <v>#ffffff</v>
      </c>
      <c r="AO33" s="76" t="str">
        <f t="array" ref="AO33">concat(INDEX(Factions!G:G, MATCH(E33, Factions!B:B, 0)),".png")</f>
        <v>disciples.png</v>
      </c>
      <c r="AP33" s="84">
        <f>IFERROR(__xludf.DUMMYFUNCTION("MIN(FILTER(M33:M1098, F33:F1098=F33))"),1.0)</f>
        <v>1</v>
      </c>
      <c r="AQ33" s="76">
        <f t="shared" si="2"/>
        <v>6</v>
      </c>
      <c r="AR33" s="86">
        <f>IFERROR(__xludf.DUMMYFUNCTION("IF(and(REGEXMATCH(S33,""Vengence""),not(REGEXMATCH(S33, ""Protective Markings""))),AQ33,AQ33 * 6 / iferror(R33-1,6))"),12.0)</f>
        <v>12</v>
      </c>
      <c r="AS33" s="88">
        <f t="shared" si="3"/>
        <v>2</v>
      </c>
      <c r="AT33" s="89">
        <f t="shared" si="4"/>
        <v>6</v>
      </c>
      <c r="AU33" s="86">
        <f>IFERROR(__xludf.DUMMYFUNCTION("IF(REGEXMATCH(S33,""&lt;b&gt;Poison&lt;/b&gt;""),1+((1/(7-N33))/3),1)"),1.0)</f>
        <v>1</v>
      </c>
      <c r="AV33" s="86">
        <f>IFERROR(__xludf.DUMMYFUNCTION("IF(REGEXMATCH(S33,""Vengence""),(7 - R33) / 3,0)"),0.0)</f>
        <v>0</v>
      </c>
      <c r="AW33" s="86">
        <f t="shared" si="5"/>
        <v>2</v>
      </c>
      <c r="AX33" s="84">
        <f t="shared" si="6"/>
        <v>15</v>
      </c>
      <c r="AY33" s="76" t="b">
        <f>IFERROR(__xludf.DUMMYFUNCTION("if(regexmatch(G33,""Mage|War Machine""),true,false)"),FALSE)</f>
        <v>0</v>
      </c>
    </row>
    <row r="34" ht="22.5" hidden="1" customHeight="1">
      <c r="A34" s="44" t="s">
        <v>621</v>
      </c>
      <c r="B34" s="6" t="s">
        <v>81</v>
      </c>
      <c r="C34" s="6" t="str">
        <f t="shared" si="1"/>
        <v>Disciples Warriors</v>
      </c>
      <c r="D34" s="6" t="b">
        <v>1</v>
      </c>
      <c r="E34" s="5" t="s">
        <v>202</v>
      </c>
      <c r="F34" s="134" t="s">
        <v>578</v>
      </c>
      <c r="G34" s="5" t="s">
        <v>81</v>
      </c>
      <c r="H34" s="60">
        <v>5.0</v>
      </c>
      <c r="I34" s="135">
        <v>1.0</v>
      </c>
      <c r="J34" s="135">
        <v>2.0</v>
      </c>
      <c r="K34" s="138"/>
      <c r="L34" s="135">
        <v>3.0</v>
      </c>
      <c r="M34" s="135">
        <v>1.0</v>
      </c>
      <c r="N34" s="135">
        <v>4.0</v>
      </c>
      <c r="O34" s="60">
        <v>6.0</v>
      </c>
      <c r="P34" s="136" t="s">
        <v>372</v>
      </c>
      <c r="Q34" s="135">
        <v>2.0</v>
      </c>
      <c r="R34" s="136" t="s">
        <v>153</v>
      </c>
      <c r="S34" s="144" t="s">
        <v>624</v>
      </c>
      <c r="T34" s="6">
        <v>4.0</v>
      </c>
      <c r="U34" s="76"/>
      <c r="V34" s="76"/>
      <c r="W34" s="76"/>
      <c r="X34" s="76"/>
      <c r="Y34" s="6">
        <v>1.0</v>
      </c>
      <c r="Z34" s="6">
        <v>1.0</v>
      </c>
      <c r="AA34" s="6">
        <v>1.0</v>
      </c>
      <c r="AB34" s="6">
        <v>1.0</v>
      </c>
      <c r="AC34" s="6">
        <v>1.0</v>
      </c>
      <c r="AD34" s="6">
        <v>1.0</v>
      </c>
      <c r="AE34" s="68" t="s">
        <v>167</v>
      </c>
      <c r="AF34" s="68" t="s">
        <v>167</v>
      </c>
      <c r="AG34" s="68" t="s">
        <v>167</v>
      </c>
      <c r="AH34" s="90" t="s">
        <v>195</v>
      </c>
      <c r="AI34" s="68" t="s">
        <v>167</v>
      </c>
      <c r="AJ34" s="68" t="s">
        <v>167</v>
      </c>
      <c r="AK34" s="76" t="str">
        <f t="array" ref="AK34">INDEX(Factions!C:C, MATCH(E34, Factions!B:B, 0))</f>
        <v>#5c9667</v>
      </c>
      <c r="AL34" s="6" t="str">
        <f t="array" ref="AL34">INDEX(Factions!D:D, MATCH(E34, Factions!B:B, 0))</f>
        <v>#005050</v>
      </c>
      <c r="AM34" s="6" t="str">
        <f t="array" ref="AM34">INDEX(Factions!E:E, MATCH(E34, Factions!B:B, 0))</f>
        <v>#000000</v>
      </c>
      <c r="AN34" s="76" t="str">
        <f t="array" ref="AN34">INDEX(Factions!F:F, MATCH(E34, Factions!B:B, 0))</f>
        <v>#ffffff</v>
      </c>
      <c r="AO34" s="76" t="str">
        <f t="array" ref="AO34">concat(INDEX(Factions!G:G, MATCH(E34, Factions!B:B, 0)),".png")</f>
        <v>disciples.png</v>
      </c>
      <c r="AP34" s="84">
        <f>IFERROR(__xludf.DUMMYFUNCTION("MIN(FILTER(M34:M1098, F34:F1098=F34))"),1.0)</f>
        <v>1</v>
      </c>
      <c r="AQ34" s="76">
        <f t="shared" si="2"/>
        <v>6</v>
      </c>
      <c r="AR34" s="86">
        <f>IFERROR(__xludf.DUMMYFUNCTION("IF(and(REGEXMATCH(S34,""Vengence""),not(REGEXMATCH(S34, ""Protective Markings""))),AQ34,AQ34 * 6 / iferror(R34-1,6))"),9.0)</f>
        <v>9</v>
      </c>
      <c r="AS34" s="88">
        <f t="shared" si="3"/>
        <v>2</v>
      </c>
      <c r="AT34" s="89">
        <f t="shared" si="4"/>
        <v>6</v>
      </c>
      <c r="AU34" s="86">
        <f>IFERROR(__xludf.DUMMYFUNCTION("IF(REGEXMATCH(S34,""&lt;b&gt;Poison&lt;/b&gt;""),1+((1/(7-N34))/3),1)"),1.0)</f>
        <v>1</v>
      </c>
      <c r="AV34" s="86">
        <f>IFERROR(__xludf.DUMMYFUNCTION("IF(REGEXMATCH(S34,""Vengence""),(7 - R34) / 3,0)"),0.0)</f>
        <v>0</v>
      </c>
      <c r="AW34" s="86">
        <f t="shared" si="5"/>
        <v>3</v>
      </c>
      <c r="AX34" s="84">
        <f t="shared" si="6"/>
        <v>13.5</v>
      </c>
      <c r="AY34" s="76" t="b">
        <f>IFERROR(__xludf.DUMMYFUNCTION("if(regexmatch(G34,""Mage|War Machine""),true,false)"),FALSE)</f>
        <v>0</v>
      </c>
    </row>
    <row r="35" ht="22.5" hidden="1" customHeight="1">
      <c r="A35" s="44" t="s">
        <v>630</v>
      </c>
      <c r="B35" s="6" t="s">
        <v>632</v>
      </c>
      <c r="C35" s="6" t="str">
        <f t="shared" si="1"/>
        <v>Disciples Quillbeasts</v>
      </c>
      <c r="D35" s="6" t="b">
        <v>1</v>
      </c>
      <c r="E35" s="5" t="s">
        <v>202</v>
      </c>
      <c r="F35" s="134" t="s">
        <v>578</v>
      </c>
      <c r="G35" s="5" t="s">
        <v>143</v>
      </c>
      <c r="H35" s="60">
        <v>5.0</v>
      </c>
      <c r="I35" s="135">
        <v>1.0</v>
      </c>
      <c r="J35" s="135">
        <v>2.0</v>
      </c>
      <c r="K35" s="138"/>
      <c r="L35" s="135">
        <v>3.0</v>
      </c>
      <c r="M35" s="135">
        <v>1.0</v>
      </c>
      <c r="N35" s="135">
        <v>4.0</v>
      </c>
      <c r="O35" s="60" t="s">
        <v>147</v>
      </c>
      <c r="P35" s="136" t="s">
        <v>372</v>
      </c>
      <c r="Q35" s="135">
        <v>2.0</v>
      </c>
      <c r="R35" s="136" t="s">
        <v>153</v>
      </c>
      <c r="S35" s="144" t="s">
        <v>636</v>
      </c>
      <c r="T35" s="6">
        <v>4.0</v>
      </c>
      <c r="U35" s="6"/>
      <c r="V35" s="76"/>
      <c r="W35" s="76"/>
      <c r="X35" s="76"/>
      <c r="Y35" s="6">
        <v>1.0</v>
      </c>
      <c r="Z35" s="6">
        <v>1.0</v>
      </c>
      <c r="AA35" s="6">
        <v>1.0</v>
      </c>
      <c r="AB35" s="6">
        <v>1.0</v>
      </c>
      <c r="AC35" s="6">
        <v>1.0</v>
      </c>
      <c r="AD35" s="6">
        <v>1.0</v>
      </c>
      <c r="AE35" s="68" t="s">
        <v>167</v>
      </c>
      <c r="AF35" s="68" t="s">
        <v>167</v>
      </c>
      <c r="AG35" s="68" t="s">
        <v>167</v>
      </c>
      <c r="AH35" s="90" t="s">
        <v>195</v>
      </c>
      <c r="AI35" s="68" t="s">
        <v>167</v>
      </c>
      <c r="AJ35" s="68" t="s">
        <v>167</v>
      </c>
      <c r="AK35" s="76" t="str">
        <f t="array" ref="AK35">INDEX(Factions!C:C, MATCH(E35, Factions!B:B, 0))</f>
        <v>#5c9667</v>
      </c>
      <c r="AL35" s="6" t="str">
        <f t="array" ref="AL35">INDEX(Factions!D:D, MATCH(E35, Factions!B:B, 0))</f>
        <v>#005050</v>
      </c>
      <c r="AM35" s="6" t="str">
        <f t="array" ref="AM35">INDEX(Factions!E:E, MATCH(E35, Factions!B:B, 0))</f>
        <v>#000000</v>
      </c>
      <c r="AN35" s="76" t="str">
        <f t="array" ref="AN35">INDEX(Factions!F:F, MATCH(E35, Factions!B:B, 0))</f>
        <v>#ffffff</v>
      </c>
      <c r="AO35" s="76" t="str">
        <f t="array" ref="AO35">concat(INDEX(Factions!G:G, MATCH(E35, Factions!B:B, 0)),".png")</f>
        <v>disciples.png</v>
      </c>
      <c r="AP35" s="84">
        <f>IFERROR(__xludf.DUMMYFUNCTION("MIN(FILTER(M35:M1098, F35:F1098=F35))"),1.0)</f>
        <v>1</v>
      </c>
      <c r="AQ35" s="76">
        <f t="shared" si="2"/>
        <v>6</v>
      </c>
      <c r="AR35" s="86">
        <f>IFERROR(__xludf.DUMMYFUNCTION("IF(and(REGEXMATCH(S35,""Vengence""),not(REGEXMATCH(S35, ""Protective Markings""))),AQ35,AQ35 * 6 / iferror(R35-1,6))"),6.0)</f>
        <v>6</v>
      </c>
      <c r="AS35" s="88">
        <f t="shared" si="3"/>
        <v>2</v>
      </c>
      <c r="AT35" s="89">
        <f t="shared" si="4"/>
        <v>6</v>
      </c>
      <c r="AU35" s="86">
        <f>IFERROR(__xludf.DUMMYFUNCTION("IF(REGEXMATCH(S35,""&lt;b&gt;Poison&lt;/b&gt;""),1+((1/(7-N35))/3),1)"),1.0)</f>
        <v>1</v>
      </c>
      <c r="AV35" s="86">
        <f>IFERROR(__xludf.DUMMYFUNCTION("IF(REGEXMATCH(S35,""Vengence""),(7 - R35) / 3,0)"),0.6666666666666666)</f>
        <v>0.6666666667</v>
      </c>
      <c r="AW35" s="86">
        <f t="shared" si="5"/>
        <v>3.666666667</v>
      </c>
      <c r="AX35" s="84">
        <f t="shared" si="6"/>
        <v>11.5</v>
      </c>
      <c r="AY35" s="76" t="b">
        <f>IFERROR(__xludf.DUMMYFUNCTION("if(regexmatch(G35,""Mage|War Machine""),true,false)"),FALSE)</f>
        <v>0</v>
      </c>
    </row>
    <row r="36" ht="22.5" hidden="1" customHeight="1">
      <c r="A36" s="44" t="s">
        <v>648</v>
      </c>
      <c r="B36" s="6" t="s">
        <v>649</v>
      </c>
      <c r="C36" s="6" t="str">
        <f t="shared" si="1"/>
        <v>Disciples Skybeasts</v>
      </c>
      <c r="D36" s="6" t="b">
        <v>1</v>
      </c>
      <c r="E36" s="5" t="s">
        <v>202</v>
      </c>
      <c r="F36" s="134" t="s">
        <v>578</v>
      </c>
      <c r="G36" s="5" t="s">
        <v>81</v>
      </c>
      <c r="H36" s="60">
        <v>5.0</v>
      </c>
      <c r="I36" s="135">
        <v>1.0</v>
      </c>
      <c r="J36" s="135">
        <v>3.0</v>
      </c>
      <c r="K36" s="138"/>
      <c r="L36" s="135">
        <v>3.0</v>
      </c>
      <c r="M36" s="135">
        <v>2.0</v>
      </c>
      <c r="N36" s="135">
        <v>4.0</v>
      </c>
      <c r="O36" s="60">
        <v>6.0</v>
      </c>
      <c r="P36" s="136" t="s">
        <v>372</v>
      </c>
      <c r="Q36" s="135">
        <v>2.0</v>
      </c>
      <c r="R36" s="136" t="s">
        <v>153</v>
      </c>
      <c r="S36" s="144" t="s">
        <v>652</v>
      </c>
      <c r="T36" s="6">
        <v>4.0</v>
      </c>
      <c r="U36" s="76"/>
      <c r="V36" s="76"/>
      <c r="W36" s="76"/>
      <c r="X36" s="76"/>
      <c r="Y36" s="6"/>
      <c r="Z36" s="6">
        <v>1.0</v>
      </c>
      <c r="AA36" s="6">
        <v>1.0</v>
      </c>
      <c r="AB36" s="6">
        <v>1.0</v>
      </c>
      <c r="AC36" s="6"/>
      <c r="AD36" s="6">
        <v>1.0</v>
      </c>
      <c r="AE36" s="90" t="s">
        <v>195</v>
      </c>
      <c r="AF36" s="68" t="s">
        <v>167</v>
      </c>
      <c r="AG36" s="68" t="s">
        <v>167</v>
      </c>
      <c r="AH36" s="90" t="s">
        <v>195</v>
      </c>
      <c r="AI36" s="68" t="s">
        <v>167</v>
      </c>
      <c r="AJ36" s="68" t="s">
        <v>167</v>
      </c>
      <c r="AK36" s="76" t="str">
        <f t="array" ref="AK36">INDEX(Factions!C:C, MATCH(E36, Factions!B:B, 0))</f>
        <v>#5c9667</v>
      </c>
      <c r="AL36" s="6" t="str">
        <f t="array" ref="AL36">INDEX(Factions!D:D, MATCH(E36, Factions!B:B, 0))</f>
        <v>#005050</v>
      </c>
      <c r="AM36" s="6" t="str">
        <f t="array" ref="AM36">INDEX(Factions!E:E, MATCH(E36, Factions!B:B, 0))</f>
        <v>#000000</v>
      </c>
      <c r="AN36" s="76" t="str">
        <f t="array" ref="AN36">INDEX(Factions!F:F, MATCH(E36, Factions!B:B, 0))</f>
        <v>#ffffff</v>
      </c>
      <c r="AO36" s="76" t="str">
        <f t="array" ref="AO36">concat(INDEX(Factions!G:G, MATCH(E36, Factions!B:B, 0)),".png")</f>
        <v>disciples.png</v>
      </c>
      <c r="AP36" s="84">
        <f>IFERROR(__xludf.DUMMYFUNCTION("MIN(FILTER(M36:M1098, F36:F1098=F36))"),1.0)</f>
        <v>1</v>
      </c>
      <c r="AQ36" s="76">
        <f t="shared" si="2"/>
        <v>6</v>
      </c>
      <c r="AR36" s="86">
        <f>IFERROR(__xludf.DUMMYFUNCTION("IF(and(REGEXMATCH(S36,""Vengence""),not(REGEXMATCH(S36, ""Protective Markings""))),AQ36,AQ36 * 6 / iferror(R36-1,6))"),9.0)</f>
        <v>9</v>
      </c>
      <c r="AS36" s="88">
        <f t="shared" si="3"/>
        <v>2</v>
      </c>
      <c r="AT36" s="89">
        <f t="shared" si="4"/>
        <v>6</v>
      </c>
      <c r="AU36" s="86">
        <f>IFERROR(__xludf.DUMMYFUNCTION("IF(REGEXMATCH(S36,""&lt;b&gt;Poison&lt;/b&gt;""),1+((1/(7-N36))/3),1)"),1.0)</f>
        <v>1</v>
      </c>
      <c r="AV36" s="86">
        <f>IFERROR(__xludf.DUMMYFUNCTION("IF(REGEXMATCH(S36,""Vengence""),(7 - R36) / 3,0)"),0.0)</f>
        <v>0</v>
      </c>
      <c r="AW36" s="86">
        <f t="shared" si="5"/>
        <v>3</v>
      </c>
      <c r="AX36" s="84">
        <f t="shared" si="6"/>
        <v>13.5</v>
      </c>
      <c r="AY36" s="76" t="b">
        <f>IFERROR(__xludf.DUMMYFUNCTION("if(regexmatch(G36,""Mage|War Machine""),true,false)"),FALSE)</f>
        <v>0</v>
      </c>
    </row>
    <row r="37" ht="22.5" hidden="1" customHeight="1">
      <c r="A37" s="44" t="s">
        <v>663</v>
      </c>
      <c r="B37" s="6" t="s">
        <v>664</v>
      </c>
      <c r="C37" s="6" t="str">
        <f t="shared" si="1"/>
        <v>Disciples Spiderbeasts</v>
      </c>
      <c r="D37" s="6" t="b">
        <v>1</v>
      </c>
      <c r="E37" s="5" t="s">
        <v>202</v>
      </c>
      <c r="F37" s="134" t="s">
        <v>578</v>
      </c>
      <c r="G37" s="5" t="s">
        <v>143</v>
      </c>
      <c r="H37" s="60">
        <v>5.0</v>
      </c>
      <c r="I37" s="135">
        <v>1.0</v>
      </c>
      <c r="J37" s="135">
        <v>3.0</v>
      </c>
      <c r="K37" s="138"/>
      <c r="L37" s="135">
        <v>3.0</v>
      </c>
      <c r="M37" s="135">
        <v>1.0</v>
      </c>
      <c r="N37" s="135">
        <v>4.0</v>
      </c>
      <c r="O37" s="60">
        <v>5.0</v>
      </c>
      <c r="P37" s="136" t="s">
        <v>372</v>
      </c>
      <c r="Q37" s="135">
        <v>2.0</v>
      </c>
      <c r="R37" s="136" t="s">
        <v>153</v>
      </c>
      <c r="S37" s="144" t="s">
        <v>667</v>
      </c>
      <c r="T37" s="6">
        <v>5.0</v>
      </c>
      <c r="U37" s="76"/>
      <c r="V37" s="76"/>
      <c r="W37" s="76"/>
      <c r="X37" s="76"/>
      <c r="Y37" s="6">
        <v>1.0</v>
      </c>
      <c r="Z37" s="6">
        <v>1.0</v>
      </c>
      <c r="AA37" s="6">
        <v>1.0</v>
      </c>
      <c r="AB37" s="6">
        <v>1.0</v>
      </c>
      <c r="AC37" s="6">
        <v>1.0</v>
      </c>
      <c r="AD37" s="6">
        <v>1.0</v>
      </c>
      <c r="AE37" s="68" t="s">
        <v>167</v>
      </c>
      <c r="AF37" s="68" t="s">
        <v>167</v>
      </c>
      <c r="AG37" s="68" t="s">
        <v>167</v>
      </c>
      <c r="AH37" s="90" t="s">
        <v>195</v>
      </c>
      <c r="AI37" s="68" t="s">
        <v>167</v>
      </c>
      <c r="AJ37" s="68" t="s">
        <v>167</v>
      </c>
      <c r="AK37" s="76" t="str">
        <f t="array" ref="AK37">INDEX(Factions!C:C, MATCH(E37, Factions!B:B, 0))</f>
        <v>#5c9667</v>
      </c>
      <c r="AL37" s="6" t="str">
        <f t="array" ref="AL37">INDEX(Factions!D:D, MATCH(E37, Factions!B:B, 0))</f>
        <v>#005050</v>
      </c>
      <c r="AM37" s="6" t="str">
        <f t="array" ref="AM37">INDEX(Factions!E:E, MATCH(E37, Factions!B:B, 0))</f>
        <v>#000000</v>
      </c>
      <c r="AN37" s="76" t="str">
        <f t="array" ref="AN37">INDEX(Factions!F:F, MATCH(E37, Factions!B:B, 0))</f>
        <v>#ffffff</v>
      </c>
      <c r="AO37" s="76" t="str">
        <f t="array" ref="AO37">concat(INDEX(Factions!G:G, MATCH(E37, Factions!B:B, 0)),".png")</f>
        <v>disciples.png</v>
      </c>
      <c r="AP37" s="84">
        <f>IFERROR(__xludf.DUMMYFUNCTION("MIN(FILTER(M37:M1098, F37:F1098=F37))"),1.0)</f>
        <v>1</v>
      </c>
      <c r="AQ37" s="76">
        <f t="shared" si="2"/>
        <v>6</v>
      </c>
      <c r="AR37" s="86">
        <f>IFERROR(__xludf.DUMMYFUNCTION("IF(and(REGEXMATCH(S37,""Vengence""),not(REGEXMATCH(S37, ""Protective Markings""))),AQ37,AQ37 * 6 / iferror(R37-1,6))"),9.0)</f>
        <v>9</v>
      </c>
      <c r="AS37" s="88">
        <f t="shared" si="3"/>
        <v>2</v>
      </c>
      <c r="AT37" s="89">
        <f t="shared" si="4"/>
        <v>6</v>
      </c>
      <c r="AU37" s="86">
        <f>IFERROR(__xludf.DUMMYFUNCTION("IF(REGEXMATCH(S37,""&lt;b&gt;Poison&lt;/b&gt;""),1+((1/(7-N37))/3),1)"),1.1111111111111112)</f>
        <v>1.111111111</v>
      </c>
      <c r="AV37" s="86">
        <f>IFERROR(__xludf.DUMMYFUNCTION("IF(REGEXMATCH(S37,""Vengence""),(7 - R37) / 3,0)"),0.0)</f>
        <v>0</v>
      </c>
      <c r="AW37" s="86">
        <f t="shared" si="5"/>
        <v>3.333333333</v>
      </c>
      <c r="AX37" s="84">
        <f t="shared" si="6"/>
        <v>14</v>
      </c>
      <c r="AY37" s="76" t="b">
        <f>IFERROR(__xludf.DUMMYFUNCTION("if(regexmatch(G37,""Mage|War Machine""),true,false)"),FALSE)</f>
        <v>0</v>
      </c>
    </row>
    <row r="38" ht="22.5" hidden="1" customHeight="1">
      <c r="A38" s="44" t="s">
        <v>675</v>
      </c>
      <c r="B38" s="6" t="s">
        <v>676</v>
      </c>
      <c r="C38" s="6" t="str">
        <f t="shared" si="1"/>
        <v>Disciples Slimedrake</v>
      </c>
      <c r="D38" s="6" t="b">
        <v>1</v>
      </c>
      <c r="E38" s="5" t="s">
        <v>202</v>
      </c>
      <c r="F38" s="134" t="s">
        <v>678</v>
      </c>
      <c r="G38" s="5" t="s">
        <v>154</v>
      </c>
      <c r="H38" s="60">
        <v>5.0</v>
      </c>
      <c r="I38" s="135">
        <v>2.0</v>
      </c>
      <c r="J38" s="135"/>
      <c r="K38" s="138"/>
      <c r="L38" s="135">
        <v>1.0</v>
      </c>
      <c r="M38" s="135">
        <v>1.0</v>
      </c>
      <c r="N38" s="135">
        <v>4.0</v>
      </c>
      <c r="O38" s="60" t="s">
        <v>147</v>
      </c>
      <c r="P38" s="136" t="s">
        <v>217</v>
      </c>
      <c r="Q38" s="135">
        <v>8.0</v>
      </c>
      <c r="R38" s="136" t="s">
        <v>194</v>
      </c>
      <c r="S38" s="144" t="s">
        <v>680</v>
      </c>
      <c r="T38" s="6">
        <v>7.0</v>
      </c>
      <c r="U38" s="76"/>
      <c r="V38" s="76"/>
      <c r="W38" s="76"/>
      <c r="X38" s="76"/>
      <c r="Y38" s="76"/>
      <c r="Z38" s="76"/>
      <c r="AA38" s="76"/>
      <c r="AB38" s="76"/>
      <c r="AC38" s="76"/>
      <c r="AD38" s="76"/>
      <c r="AE38" s="68" t="s">
        <v>167</v>
      </c>
      <c r="AF38" s="68" t="s">
        <v>167</v>
      </c>
      <c r="AG38" s="68" t="s">
        <v>167</v>
      </c>
      <c r="AH38" s="90" t="s">
        <v>195</v>
      </c>
      <c r="AI38" s="129" t="s">
        <v>354</v>
      </c>
      <c r="AJ38" s="90" t="s">
        <v>195</v>
      </c>
      <c r="AK38" s="76" t="str">
        <f t="array" ref="AK38">INDEX(Factions!C:C, MATCH(E38, Factions!B:B, 0))</f>
        <v>#5c9667</v>
      </c>
      <c r="AL38" s="6" t="str">
        <f t="array" ref="AL38">INDEX(Factions!D:D, MATCH(E38, Factions!B:B, 0))</f>
        <v>#005050</v>
      </c>
      <c r="AM38" s="6" t="str">
        <f t="array" ref="AM38">INDEX(Factions!E:E, MATCH(E38, Factions!B:B, 0))</f>
        <v>#000000</v>
      </c>
      <c r="AN38" s="76" t="str">
        <f t="array" ref="AN38">INDEX(Factions!F:F, MATCH(E38, Factions!B:B, 0))</f>
        <v>#ffffff</v>
      </c>
      <c r="AO38" s="76" t="str">
        <f t="array" ref="AO38">concat(INDEX(Factions!G:G, MATCH(E38, Factions!B:B, 0)),".png")</f>
        <v>disciples.png</v>
      </c>
      <c r="AP38" s="84">
        <f>IFERROR(__xludf.DUMMYFUNCTION("MIN(FILTER(M38:M1098, F38:F1098=F38))"),1.0)</f>
        <v>1</v>
      </c>
      <c r="AQ38" s="76">
        <f t="shared" si="2"/>
        <v>8</v>
      </c>
      <c r="AR38" s="86">
        <f>IFERROR(__xludf.DUMMYFUNCTION("IF(and(REGEXMATCH(S38,""Vengence""),not(REGEXMATCH(S38, ""Protective Markings""))),AQ38,AQ38 * 6 / iferror(R38-1,6))"),16.0)</f>
        <v>16</v>
      </c>
      <c r="AS38" s="88">
        <f t="shared" si="3"/>
        <v>6</v>
      </c>
      <c r="AT38" s="89">
        <f t="shared" si="4"/>
        <v>6</v>
      </c>
      <c r="AU38" s="86">
        <f>IFERROR(__xludf.DUMMYFUNCTION("IF(REGEXMATCH(S38,""&lt;b&gt;Poison&lt;/b&gt;""),1+((1/(7-N38))/3),1)"),1.0)</f>
        <v>1</v>
      </c>
      <c r="AV38" s="86">
        <f>IFERROR(__xludf.DUMMYFUNCTION("IF(REGEXMATCH(S38,""Vengence""),(7 - R38) / 3,0)"),0.0)</f>
        <v>0</v>
      </c>
      <c r="AW38" s="86">
        <f t="shared" si="5"/>
        <v>3</v>
      </c>
      <c r="AX38" s="84">
        <f t="shared" si="6"/>
        <v>20.5</v>
      </c>
      <c r="AY38" s="76" t="b">
        <f>IFERROR(__xludf.DUMMYFUNCTION("if(regexmatch(G38,""Mage|War Machine""),true,false)"),FALSE)</f>
        <v>0</v>
      </c>
    </row>
    <row r="39" ht="22.5" hidden="1" customHeight="1">
      <c r="A39" s="44" t="s">
        <v>687</v>
      </c>
      <c r="B39" s="6" t="s">
        <v>688</v>
      </c>
      <c r="C39" s="6" t="str">
        <f t="shared" si="1"/>
        <v>Disciples Slavewyrm</v>
      </c>
      <c r="D39" s="6" t="b">
        <v>1</v>
      </c>
      <c r="E39" s="5" t="s">
        <v>202</v>
      </c>
      <c r="F39" s="134" t="s">
        <v>690</v>
      </c>
      <c r="G39" s="5" t="s">
        <v>152</v>
      </c>
      <c r="H39" s="60">
        <v>5.0</v>
      </c>
      <c r="I39" s="135">
        <v>2.0</v>
      </c>
      <c r="J39" s="135"/>
      <c r="K39" s="138"/>
      <c r="L39" s="135">
        <v>1.0</v>
      </c>
      <c r="M39" s="135">
        <v>3.0</v>
      </c>
      <c r="N39" s="135">
        <v>4.0</v>
      </c>
      <c r="O39" s="60" t="s">
        <v>147</v>
      </c>
      <c r="P39" s="136" t="s">
        <v>194</v>
      </c>
      <c r="Q39" s="135">
        <v>6.0</v>
      </c>
      <c r="R39" s="136" t="s">
        <v>153</v>
      </c>
      <c r="S39" s="67" t="s">
        <v>693</v>
      </c>
      <c r="T39" s="6">
        <v>4.0</v>
      </c>
      <c r="U39" s="76"/>
      <c r="V39" s="76"/>
      <c r="W39" s="76"/>
      <c r="X39" s="76"/>
      <c r="Y39" s="76"/>
      <c r="Z39" s="76"/>
      <c r="AA39" s="76"/>
      <c r="AB39" s="76"/>
      <c r="AC39" s="76"/>
      <c r="AD39" s="76"/>
      <c r="AE39" s="129" t="s">
        <v>354</v>
      </c>
      <c r="AF39" s="68" t="s">
        <v>167</v>
      </c>
      <c r="AG39" s="68" t="s">
        <v>167</v>
      </c>
      <c r="AH39" s="68" t="s">
        <v>167</v>
      </c>
      <c r="AI39" s="90" t="s">
        <v>195</v>
      </c>
      <c r="AJ39" s="68" t="s">
        <v>167</v>
      </c>
      <c r="AK39" s="76" t="str">
        <f t="array" ref="AK39">INDEX(Factions!C:C, MATCH(E39, Factions!B:B, 0))</f>
        <v>#5c9667</v>
      </c>
      <c r="AL39" s="6" t="str">
        <f t="array" ref="AL39">INDEX(Factions!D:D, MATCH(E39, Factions!B:B, 0))</f>
        <v>#005050</v>
      </c>
      <c r="AM39" s="6" t="str">
        <f t="array" ref="AM39">INDEX(Factions!E:E, MATCH(E39, Factions!B:B, 0))</f>
        <v>#000000</v>
      </c>
      <c r="AN39" s="76" t="str">
        <f t="array" ref="AN39">INDEX(Factions!F:F, MATCH(E39, Factions!B:B, 0))</f>
        <v>#ffffff</v>
      </c>
      <c r="AO39" s="76" t="str">
        <f t="array" ref="AO39">concat(INDEX(Factions!G:G, MATCH(E39, Factions!B:B, 0)),".png")</f>
        <v>disciples.png</v>
      </c>
      <c r="AP39" s="84">
        <f>IFERROR(__xludf.DUMMYFUNCTION("MIN(FILTER(M39:M1098, F39:F1098=F39))"),1.0)</f>
        <v>1</v>
      </c>
      <c r="AQ39" s="76">
        <f t="shared" si="2"/>
        <v>6</v>
      </c>
      <c r="AR39" s="86">
        <f>IFERROR(__xludf.DUMMYFUNCTION("IF(and(REGEXMATCH(S39,""Vengence""),not(REGEXMATCH(S39, ""Protective Markings""))),AQ39,AQ39 * 6 / iferror(R39-1,6))"),9.0)</f>
        <v>9</v>
      </c>
      <c r="AS39" s="88">
        <f t="shared" si="3"/>
        <v>4</v>
      </c>
      <c r="AT39" s="89">
        <f t="shared" si="4"/>
        <v>4</v>
      </c>
      <c r="AU39" s="86">
        <f>IFERROR(__xludf.DUMMYFUNCTION("IF(REGEXMATCH(S39,""&lt;b&gt;Poison&lt;/b&gt;""),1+((1/(7-N39))/3),1)"),1.0)</f>
        <v>1</v>
      </c>
      <c r="AV39" s="86">
        <f>IFERROR(__xludf.DUMMYFUNCTION("IF(REGEXMATCH(S39,""Vengence""),(7 - R39) / 3,0)"),0.0)</f>
        <v>0</v>
      </c>
      <c r="AW39" s="86">
        <f t="shared" si="5"/>
        <v>2</v>
      </c>
      <c r="AX39" s="84">
        <f t="shared" si="6"/>
        <v>12</v>
      </c>
      <c r="AY39" s="76" t="b">
        <f>IFERROR(__xludf.DUMMYFUNCTION("if(regexmatch(G39,""Mage|War Machine""),true,false)"),FALSE)</f>
        <v>0</v>
      </c>
    </row>
    <row r="40" ht="22.5" hidden="1" customHeight="1">
      <c r="A40" s="44" t="s">
        <v>703</v>
      </c>
      <c r="B40" s="6" t="s">
        <v>705</v>
      </c>
      <c r="C40" s="6" t="str">
        <f t="shared" si="1"/>
        <v>Disciples Rotrantula</v>
      </c>
      <c r="D40" s="6" t="b">
        <v>1</v>
      </c>
      <c r="E40" s="5" t="s">
        <v>202</v>
      </c>
      <c r="F40" s="134" t="s">
        <v>678</v>
      </c>
      <c r="G40" s="5" t="s">
        <v>154</v>
      </c>
      <c r="H40" s="60">
        <v>5.0</v>
      </c>
      <c r="I40" s="135">
        <v>2.0</v>
      </c>
      <c r="J40" s="135"/>
      <c r="K40" s="138"/>
      <c r="L40" s="135">
        <v>1.0</v>
      </c>
      <c r="M40" s="135">
        <v>2.0</v>
      </c>
      <c r="N40" s="135">
        <v>4.0</v>
      </c>
      <c r="O40" s="60" t="s">
        <v>147</v>
      </c>
      <c r="P40" s="136" t="s">
        <v>153</v>
      </c>
      <c r="Q40" s="135">
        <v>6.0</v>
      </c>
      <c r="R40" s="136" t="s">
        <v>153</v>
      </c>
      <c r="S40" s="144" t="s">
        <v>718</v>
      </c>
      <c r="T40" s="6">
        <v>6.0</v>
      </c>
      <c r="U40" s="76"/>
      <c r="V40" s="76"/>
      <c r="W40" s="76"/>
      <c r="X40" s="76"/>
      <c r="Y40" s="76"/>
      <c r="Z40" s="76"/>
      <c r="AA40" s="76"/>
      <c r="AB40" s="76"/>
      <c r="AC40" s="76"/>
      <c r="AD40" s="76"/>
      <c r="AE40" s="90" t="s">
        <v>195</v>
      </c>
      <c r="AF40" s="68" t="s">
        <v>167</v>
      </c>
      <c r="AG40" s="68" t="s">
        <v>167</v>
      </c>
      <c r="AH40" s="90" t="s">
        <v>195</v>
      </c>
      <c r="AI40" s="90" t="s">
        <v>195</v>
      </c>
      <c r="AJ40" s="68" t="s">
        <v>167</v>
      </c>
      <c r="AK40" s="76" t="str">
        <f t="array" ref="AK40">INDEX(Factions!C:C, MATCH(E40, Factions!B:B, 0))</f>
        <v>#5c9667</v>
      </c>
      <c r="AL40" s="6" t="str">
        <f t="array" ref="AL40">INDEX(Factions!D:D, MATCH(E40, Factions!B:B, 0))</f>
        <v>#005050</v>
      </c>
      <c r="AM40" s="6" t="str">
        <f t="array" ref="AM40">INDEX(Factions!E:E, MATCH(E40, Factions!B:B, 0))</f>
        <v>#000000</v>
      </c>
      <c r="AN40" s="76" t="str">
        <f t="array" ref="AN40">INDEX(Factions!F:F, MATCH(E40, Factions!B:B, 0))</f>
        <v>#ffffff</v>
      </c>
      <c r="AO40" s="76" t="str">
        <f t="array" ref="AO40">concat(INDEX(Factions!G:G, MATCH(E40, Factions!B:B, 0)),".png")</f>
        <v>disciples.png</v>
      </c>
      <c r="AP40" s="84">
        <f>IFERROR(__xludf.DUMMYFUNCTION("MIN(FILTER(M40:M1098, F40:F1098=F40))"),2.0)</f>
        <v>2</v>
      </c>
      <c r="AQ40" s="76">
        <f t="shared" si="2"/>
        <v>6</v>
      </c>
      <c r="AR40" s="86">
        <f>IFERROR(__xludf.DUMMYFUNCTION("IF(and(REGEXMATCH(S40,""Vengence""),not(REGEXMATCH(S40, ""Protective Markings""))),AQ40,AQ40 * 6 / iferror(R40-1,6))"),9.0)</f>
        <v>9</v>
      </c>
      <c r="AS40" s="88">
        <f t="shared" si="3"/>
        <v>5</v>
      </c>
      <c r="AT40" s="89">
        <f t="shared" si="4"/>
        <v>5</v>
      </c>
      <c r="AU40" s="86">
        <f>IFERROR(__xludf.DUMMYFUNCTION("IF(REGEXMATCH(S40,""&lt;b&gt;Poison&lt;/b&gt;""),1+((1/(7-N40))/3),1)"),1.1111111111111112)</f>
        <v>1.111111111</v>
      </c>
      <c r="AV40" s="86">
        <f>IFERROR(__xludf.DUMMYFUNCTION("IF(REGEXMATCH(S40,""Vengence""),(7 - R40) / 3,0)"),0.0)</f>
        <v>0</v>
      </c>
      <c r="AW40" s="86">
        <f t="shared" si="5"/>
        <v>2.777777778</v>
      </c>
      <c r="AX40" s="84">
        <f t="shared" si="6"/>
        <v>13.16666667</v>
      </c>
      <c r="AY40" s="76" t="b">
        <f>IFERROR(__xludf.DUMMYFUNCTION("if(regexmatch(G40,""Mage|War Machine""),true,false)"),FALSE)</f>
        <v>0</v>
      </c>
    </row>
    <row r="41" ht="22.5" hidden="1" customHeight="1">
      <c r="A41" s="44" t="s">
        <v>728</v>
      </c>
      <c r="B41" s="6" t="s">
        <v>730</v>
      </c>
      <c r="C41" s="6" t="str">
        <f t="shared" si="1"/>
        <v>Disciples Cyclops</v>
      </c>
      <c r="D41" s="6" t="b">
        <v>1</v>
      </c>
      <c r="E41" s="5" t="s">
        <v>202</v>
      </c>
      <c r="F41" s="134" t="s">
        <v>690</v>
      </c>
      <c r="G41" s="5" t="s">
        <v>154</v>
      </c>
      <c r="H41" s="60">
        <v>5.0</v>
      </c>
      <c r="I41" s="62">
        <v>2.0</v>
      </c>
      <c r="J41" s="62"/>
      <c r="K41" s="62"/>
      <c r="L41" s="62">
        <v>1.0</v>
      </c>
      <c r="M41" s="62">
        <v>1.0</v>
      </c>
      <c r="N41" s="62">
        <v>3.0</v>
      </c>
      <c r="O41" s="64">
        <v>3.0</v>
      </c>
      <c r="P41" s="66" t="s">
        <v>194</v>
      </c>
      <c r="Q41" s="62">
        <v>5.0</v>
      </c>
      <c r="R41" s="66" t="s">
        <v>153</v>
      </c>
      <c r="S41" s="67" t="s">
        <v>732</v>
      </c>
      <c r="T41" s="6">
        <v>4.0</v>
      </c>
      <c r="U41" s="76"/>
      <c r="V41" s="76"/>
      <c r="W41" s="76"/>
      <c r="X41" s="76"/>
      <c r="Y41" s="76"/>
      <c r="Z41" s="6">
        <v>2.0</v>
      </c>
      <c r="AA41" s="6">
        <v>2.0</v>
      </c>
      <c r="AB41" s="76"/>
      <c r="AC41" s="76"/>
      <c r="AD41" s="76"/>
      <c r="AE41" s="68" t="s">
        <v>167</v>
      </c>
      <c r="AF41" s="90" t="s">
        <v>195</v>
      </c>
      <c r="AG41" s="129" t="s">
        <v>354</v>
      </c>
      <c r="AH41" s="68" t="s">
        <v>167</v>
      </c>
      <c r="AI41" s="90" t="s">
        <v>195</v>
      </c>
      <c r="AJ41" s="68" t="s">
        <v>167</v>
      </c>
      <c r="AK41" s="76" t="str">
        <f t="array" ref="AK41">INDEX(Factions!C:C, MATCH(E41, Factions!B:B, 0))</f>
        <v>#5c9667</v>
      </c>
      <c r="AL41" s="6" t="str">
        <f t="array" ref="AL41">INDEX(Factions!D:D, MATCH(E41, Factions!B:B, 0))</f>
        <v>#005050</v>
      </c>
      <c r="AM41" s="6" t="str">
        <f t="array" ref="AM41">INDEX(Factions!E:E, MATCH(E41, Factions!B:B, 0))</f>
        <v>#000000</v>
      </c>
      <c r="AN41" s="76" t="str">
        <f t="array" ref="AN41">INDEX(Factions!F:F, MATCH(E41, Factions!B:B, 0))</f>
        <v>#ffffff</v>
      </c>
      <c r="AO41" s="76" t="str">
        <f t="array" ref="AO41">concat(INDEX(Factions!G:G, MATCH(E41, Factions!B:B, 0)),".png")</f>
        <v>disciples.png</v>
      </c>
      <c r="AP41" s="84">
        <f>IFERROR(__xludf.DUMMYFUNCTION("MIN(FILTER(M41:M1098, F41:F1098=F41))"),1.0)</f>
        <v>1</v>
      </c>
      <c r="AQ41" s="76">
        <f t="shared" si="2"/>
        <v>5</v>
      </c>
      <c r="AR41" s="86">
        <f>IFERROR(__xludf.DUMMYFUNCTION("IF(and(REGEXMATCH(S41,""Vengence""),not(REGEXMATCH(S41, ""Protective Markings""))),AQ41,AQ41 * 6 / iferror(R41-1,6))"),7.5)</f>
        <v>7.5</v>
      </c>
      <c r="AS41" s="88">
        <f t="shared" si="3"/>
        <v>4</v>
      </c>
      <c r="AT41" s="89">
        <f t="shared" si="4"/>
        <v>4</v>
      </c>
      <c r="AU41" s="86">
        <f>IFERROR(__xludf.DUMMYFUNCTION("IF(REGEXMATCH(S41,""&lt;b&gt;Poison&lt;/b&gt;""),1+((1/(7-N41))/3),1)"),1.0)</f>
        <v>1</v>
      </c>
      <c r="AV41" s="86">
        <f>IFERROR(__xludf.DUMMYFUNCTION("IF(REGEXMATCH(S41,""Vengence""),(7 - R41) / 3,0)"),0.0)</f>
        <v>0</v>
      </c>
      <c r="AW41" s="86">
        <f t="shared" si="5"/>
        <v>2.666666667</v>
      </c>
      <c r="AX41" s="84">
        <f t="shared" si="6"/>
        <v>11.5</v>
      </c>
      <c r="AY41" s="76" t="b">
        <f>IFERROR(__xludf.DUMMYFUNCTION("if(regexmatch(G41,""Mage|War Machine""),true,false)"),FALSE)</f>
        <v>0</v>
      </c>
    </row>
    <row r="42" ht="22.5" hidden="1" customHeight="1">
      <c r="A42" s="44" t="s">
        <v>737</v>
      </c>
      <c r="B42" s="6" t="s">
        <v>738</v>
      </c>
      <c r="C42" s="6" t="str">
        <f t="shared" si="1"/>
        <v>Disciples Gorgon</v>
      </c>
      <c r="D42" s="6" t="b">
        <v>1</v>
      </c>
      <c r="E42" s="5" t="s">
        <v>202</v>
      </c>
      <c r="F42" s="134" t="s">
        <v>690</v>
      </c>
      <c r="G42" s="5" t="s">
        <v>154</v>
      </c>
      <c r="H42" s="60">
        <v>5.0</v>
      </c>
      <c r="I42" s="135">
        <v>2.0</v>
      </c>
      <c r="J42" s="135"/>
      <c r="K42" s="138"/>
      <c r="L42" s="135">
        <v>1.0</v>
      </c>
      <c r="M42" s="135">
        <v>1.0</v>
      </c>
      <c r="N42" s="135">
        <v>4.0</v>
      </c>
      <c r="O42" s="60">
        <v>5.0</v>
      </c>
      <c r="P42" s="136" t="s">
        <v>194</v>
      </c>
      <c r="Q42" s="135">
        <v>5.0</v>
      </c>
      <c r="R42" s="136" t="s">
        <v>153</v>
      </c>
      <c r="S42" s="144" t="s">
        <v>740</v>
      </c>
      <c r="T42" s="6">
        <v>5.5</v>
      </c>
      <c r="U42" s="76"/>
      <c r="V42" s="76"/>
      <c r="W42" s="76"/>
      <c r="X42" s="76"/>
      <c r="Y42" s="6">
        <v>1.0</v>
      </c>
      <c r="Z42" s="6"/>
      <c r="AA42" s="76"/>
      <c r="AB42" s="6">
        <v>2.0</v>
      </c>
      <c r="AC42" s="76"/>
      <c r="AD42" s="6">
        <v>2.0</v>
      </c>
      <c r="AE42" s="68" t="s">
        <v>167</v>
      </c>
      <c r="AF42" s="68" t="s">
        <v>167</v>
      </c>
      <c r="AG42" s="68" t="s">
        <v>167</v>
      </c>
      <c r="AH42" s="68" t="s">
        <v>167</v>
      </c>
      <c r="AI42" s="68" t="s">
        <v>167</v>
      </c>
      <c r="AJ42" s="68" t="s">
        <v>167</v>
      </c>
      <c r="AK42" s="76" t="str">
        <f t="array" ref="AK42">INDEX(Factions!C:C, MATCH(E42, Factions!B:B, 0))</f>
        <v>#5c9667</v>
      </c>
      <c r="AL42" s="6" t="str">
        <f t="array" ref="AL42">INDEX(Factions!D:D, MATCH(E42, Factions!B:B, 0))</f>
        <v>#005050</v>
      </c>
      <c r="AM42" s="6" t="str">
        <f t="array" ref="AM42">INDEX(Factions!E:E, MATCH(E42, Factions!B:B, 0))</f>
        <v>#000000</v>
      </c>
      <c r="AN42" s="76" t="str">
        <f t="array" ref="AN42">INDEX(Factions!F:F, MATCH(E42, Factions!B:B, 0))</f>
        <v>#ffffff</v>
      </c>
      <c r="AO42" s="76" t="str">
        <f t="array" ref="AO42">concat(INDEX(Factions!G:G, MATCH(E42, Factions!B:B, 0)),".png")</f>
        <v>disciples.png</v>
      </c>
      <c r="AP42" s="84">
        <f>IFERROR(__xludf.DUMMYFUNCTION("MIN(FILTER(M42:M1098, F42:F1098=F42))"),1.0)</f>
        <v>1</v>
      </c>
      <c r="AQ42" s="76">
        <f t="shared" si="2"/>
        <v>5</v>
      </c>
      <c r="AR42" s="86">
        <f>IFERROR(__xludf.DUMMYFUNCTION("IF(and(REGEXMATCH(S42,""Vengence""),not(REGEXMATCH(S42, ""Protective Markings""))),AQ42,AQ42 * 6 / iferror(R42-1,6))"),7.5)</f>
        <v>7.5</v>
      </c>
      <c r="AS42" s="88">
        <f t="shared" si="3"/>
        <v>4</v>
      </c>
      <c r="AT42" s="89">
        <f t="shared" si="4"/>
        <v>4</v>
      </c>
      <c r="AU42" s="86">
        <f>IFERROR(__xludf.DUMMYFUNCTION("IF(REGEXMATCH(S42,""&lt;b&gt;Poison&lt;/b&gt;""),1+((1/(7-N42))/3),1)"),1.0)</f>
        <v>1</v>
      </c>
      <c r="AV42" s="86">
        <f>IFERROR(__xludf.DUMMYFUNCTION("IF(REGEXMATCH(S42,""Vengence""),(7 - R42) / 3,0)"),0.0)</f>
        <v>0</v>
      </c>
      <c r="AW42" s="86">
        <f t="shared" si="5"/>
        <v>2</v>
      </c>
      <c r="AX42" s="84">
        <f t="shared" si="6"/>
        <v>10.5</v>
      </c>
      <c r="AY42" s="76" t="b">
        <f>IFERROR(__xludf.DUMMYFUNCTION("if(regexmatch(G42,""Mage|War Machine""),true,false)"),FALSE)</f>
        <v>0</v>
      </c>
    </row>
    <row r="43" ht="22.5" hidden="1" customHeight="1">
      <c r="A43" s="44" t="s">
        <v>743</v>
      </c>
      <c r="B43" s="6" t="s">
        <v>744</v>
      </c>
      <c r="C43" s="6" t="str">
        <f t="shared" si="1"/>
        <v>Disciples Quillbird</v>
      </c>
      <c r="D43" s="6" t="b">
        <v>1</v>
      </c>
      <c r="E43" s="5" t="s">
        <v>202</v>
      </c>
      <c r="F43" s="134" t="s">
        <v>678</v>
      </c>
      <c r="G43" s="5" t="s">
        <v>152</v>
      </c>
      <c r="H43" s="60">
        <v>5.0</v>
      </c>
      <c r="I43" s="135">
        <v>2.0</v>
      </c>
      <c r="J43" s="135"/>
      <c r="K43" s="138"/>
      <c r="L43" s="135">
        <v>1.0</v>
      </c>
      <c r="M43" s="135">
        <v>3.0</v>
      </c>
      <c r="N43" s="135">
        <v>4.0</v>
      </c>
      <c r="O43" s="60" t="s">
        <v>147</v>
      </c>
      <c r="P43" s="136" t="s">
        <v>153</v>
      </c>
      <c r="Q43" s="135">
        <v>5.0</v>
      </c>
      <c r="R43" s="136" t="s">
        <v>153</v>
      </c>
      <c r="S43" s="144" t="s">
        <v>746</v>
      </c>
      <c r="T43" s="6">
        <v>4.5</v>
      </c>
      <c r="U43" s="76"/>
      <c r="V43" s="76"/>
      <c r="W43" s="76"/>
      <c r="X43" s="76"/>
      <c r="Y43" s="76"/>
      <c r="Z43" s="76"/>
      <c r="AA43" s="76"/>
      <c r="AB43" s="76"/>
      <c r="AC43" s="76"/>
      <c r="AD43" s="76"/>
      <c r="AE43" s="129" t="s">
        <v>354</v>
      </c>
      <c r="AF43" s="68" t="s">
        <v>167</v>
      </c>
      <c r="AG43" s="68" t="s">
        <v>167</v>
      </c>
      <c r="AH43" s="90" t="s">
        <v>195</v>
      </c>
      <c r="AI43" s="90" t="s">
        <v>195</v>
      </c>
      <c r="AJ43" s="68" t="s">
        <v>167</v>
      </c>
      <c r="AK43" s="76" t="str">
        <f t="array" ref="AK43">INDEX(Factions!C:C, MATCH(E43, Factions!B:B, 0))</f>
        <v>#5c9667</v>
      </c>
      <c r="AL43" s="6" t="str">
        <f t="array" ref="AL43">INDEX(Factions!D:D, MATCH(E43, Factions!B:B, 0))</f>
        <v>#005050</v>
      </c>
      <c r="AM43" s="6" t="str">
        <f t="array" ref="AM43">INDEX(Factions!E:E, MATCH(E43, Factions!B:B, 0))</f>
        <v>#000000</v>
      </c>
      <c r="AN43" s="76" t="str">
        <f t="array" ref="AN43">INDEX(Factions!F:F, MATCH(E43, Factions!B:B, 0))</f>
        <v>#ffffff</v>
      </c>
      <c r="AO43" s="76" t="str">
        <f t="array" ref="AO43">concat(INDEX(Factions!G:G, MATCH(E43, Factions!B:B, 0)),".png")</f>
        <v>disciples.png</v>
      </c>
      <c r="AP43" s="84">
        <f>IFERROR(__xludf.DUMMYFUNCTION("MIN(FILTER(M43:M1098, F43:F1098=F43))"),3.0)</f>
        <v>3</v>
      </c>
      <c r="AQ43" s="76">
        <f t="shared" si="2"/>
        <v>5</v>
      </c>
      <c r="AR43" s="86">
        <f>IFERROR(__xludf.DUMMYFUNCTION("IF(and(REGEXMATCH(S43,""Vengence""),not(REGEXMATCH(S43, ""Protective Markings""))),AQ43,AQ43 * 6 / iferror(R43-1,6))"),7.5)</f>
        <v>7.5</v>
      </c>
      <c r="AS43" s="88">
        <f t="shared" si="3"/>
        <v>5</v>
      </c>
      <c r="AT43" s="89">
        <f t="shared" si="4"/>
        <v>5</v>
      </c>
      <c r="AU43" s="86">
        <f>IFERROR(__xludf.DUMMYFUNCTION("IF(REGEXMATCH(S43,""&lt;b&gt;Poison&lt;/b&gt;""),1+((1/(7-N43))/3),1)"),1.0)</f>
        <v>1</v>
      </c>
      <c r="AV43" s="86">
        <f>IFERROR(__xludf.DUMMYFUNCTION("IF(REGEXMATCH(S43,""Vengence""),(7 - R43) / 3,0)"),0.0)</f>
        <v>0</v>
      </c>
      <c r="AW43" s="86">
        <f t="shared" si="5"/>
        <v>2.5</v>
      </c>
      <c r="AX43" s="84">
        <f t="shared" si="6"/>
        <v>11.25</v>
      </c>
      <c r="AY43" s="76" t="b">
        <f>IFERROR(__xludf.DUMMYFUNCTION("if(regexmatch(G43,""Mage|War Machine""),true,false)"),FALSE)</f>
        <v>0</v>
      </c>
    </row>
    <row r="44" ht="22.5" hidden="1" customHeight="1">
      <c r="A44" s="44" t="s">
        <v>754</v>
      </c>
      <c r="B44" s="6" t="s">
        <v>756</v>
      </c>
      <c r="C44" s="6" t="str">
        <f t="shared" si="1"/>
        <v>Disciples Poachers</v>
      </c>
      <c r="D44" s="6" t="b">
        <v>1</v>
      </c>
      <c r="E44" s="5" t="s">
        <v>202</v>
      </c>
      <c r="F44" s="134" t="s">
        <v>758</v>
      </c>
      <c r="G44" s="5" t="s">
        <v>142</v>
      </c>
      <c r="H44" s="60">
        <v>6.0</v>
      </c>
      <c r="I44" s="135">
        <v>2.0</v>
      </c>
      <c r="J44" s="135"/>
      <c r="K44" s="138"/>
      <c r="L44" s="182">
        <v>3.0</v>
      </c>
      <c r="M44" s="183">
        <v>1.0</v>
      </c>
      <c r="N44" s="184">
        <v>5.0</v>
      </c>
      <c r="O44" s="185">
        <v>4.0</v>
      </c>
      <c r="P44" s="186" t="s">
        <v>372</v>
      </c>
      <c r="Q44" s="183">
        <v>2.0</v>
      </c>
      <c r="R44" s="186" t="s">
        <v>153</v>
      </c>
      <c r="S44" s="144" t="s">
        <v>760</v>
      </c>
      <c r="T44" s="6">
        <v>5.0</v>
      </c>
      <c r="U44" s="76"/>
      <c r="V44" s="76"/>
      <c r="W44" s="6"/>
      <c r="X44" s="76"/>
      <c r="Y44" s="6">
        <v>1.0</v>
      </c>
      <c r="Z44" s="6">
        <v>1.0</v>
      </c>
      <c r="AA44" s="6">
        <v>1.0</v>
      </c>
      <c r="AB44" s="6">
        <v>1.0</v>
      </c>
      <c r="AC44" s="6">
        <v>1.0</v>
      </c>
      <c r="AD44" s="6">
        <v>2.0</v>
      </c>
      <c r="AE44" s="68" t="s">
        <v>167</v>
      </c>
      <c r="AF44" s="69" t="s">
        <v>171</v>
      </c>
      <c r="AG44" s="90" t="s">
        <v>195</v>
      </c>
      <c r="AH44" s="68" t="s">
        <v>167</v>
      </c>
      <c r="AI44" s="68" t="s">
        <v>167</v>
      </c>
      <c r="AJ44" s="68" t="s">
        <v>167</v>
      </c>
      <c r="AK44" s="76" t="str">
        <f t="array" ref="AK44">INDEX(Factions!C:C, MATCH(E44, Factions!B:B, 0))</f>
        <v>#5c9667</v>
      </c>
      <c r="AL44" s="6" t="str">
        <f t="array" ref="AL44">INDEX(Factions!D:D, MATCH(E44, Factions!B:B, 0))</f>
        <v>#005050</v>
      </c>
      <c r="AM44" s="6" t="str">
        <f t="array" ref="AM44">INDEX(Factions!E:E, MATCH(E44, Factions!B:B, 0))</f>
        <v>#000000</v>
      </c>
      <c r="AN44" s="76" t="str">
        <f t="array" ref="AN44">INDEX(Factions!F:F, MATCH(E44, Factions!B:B, 0))</f>
        <v>#ffffff</v>
      </c>
      <c r="AO44" s="76" t="str">
        <f t="array" ref="AO44">concat(INDEX(Factions!G:G, MATCH(E44, Factions!B:B, 0)),".png")</f>
        <v>disciples.png</v>
      </c>
      <c r="AP44" s="84">
        <f>IFERROR(__xludf.DUMMYFUNCTION("MIN(FILTER(M44:M1098, F44:F1098=F44))"),1.0)</f>
        <v>1</v>
      </c>
      <c r="AQ44" s="76">
        <f t="shared" si="2"/>
        <v>6</v>
      </c>
      <c r="AR44" s="86">
        <f>IFERROR(__xludf.DUMMYFUNCTION("IF(and(REGEXMATCH(S44,""Vengence""),not(REGEXMATCH(S44, ""Protective Markings""))),AQ44,AQ44 * 6 / iferror(R44-1,6))"),9.0)</f>
        <v>9</v>
      </c>
      <c r="AS44" s="88">
        <f t="shared" si="3"/>
        <v>2</v>
      </c>
      <c r="AT44" s="89">
        <f t="shared" si="4"/>
        <v>6</v>
      </c>
      <c r="AU44" s="86">
        <f>IFERROR(__xludf.DUMMYFUNCTION("IF(REGEXMATCH(S44,""&lt;b&gt;Poison&lt;/b&gt;""),1+((1/(7-N44))/3),1)"),1.0)</f>
        <v>1</v>
      </c>
      <c r="AV44" s="86">
        <f>IFERROR(__xludf.DUMMYFUNCTION("IF(REGEXMATCH(S44,""Vengence""),(7 - R44) / 3,0)"),0.0)</f>
        <v>0</v>
      </c>
      <c r="AW44" s="86">
        <f t="shared" si="5"/>
        <v>2</v>
      </c>
      <c r="AX44" s="84">
        <f t="shared" si="6"/>
        <v>12</v>
      </c>
      <c r="AY44" s="76" t="b">
        <f>IFERROR(__xludf.DUMMYFUNCTION("if(regexmatch(G44,""Mage|War Machine""),true,false)"),FALSE)</f>
        <v>0</v>
      </c>
    </row>
    <row r="45" ht="22.5" hidden="1" customHeight="1">
      <c r="A45" s="44" t="s">
        <v>768</v>
      </c>
      <c r="B45" s="6" t="s">
        <v>769</v>
      </c>
      <c r="C45" s="6" t="str">
        <f t="shared" si="1"/>
        <v>Disciples Scourgeons</v>
      </c>
      <c r="D45" s="6" t="b">
        <v>1</v>
      </c>
      <c r="E45" s="5" t="s">
        <v>202</v>
      </c>
      <c r="F45" s="134" t="s">
        <v>758</v>
      </c>
      <c r="G45" s="5" t="s">
        <v>158</v>
      </c>
      <c r="H45" s="60">
        <v>6.0</v>
      </c>
      <c r="I45" s="135">
        <v>2.0</v>
      </c>
      <c r="J45" s="135"/>
      <c r="K45" s="138"/>
      <c r="L45" s="135">
        <v>3.0</v>
      </c>
      <c r="M45" s="135">
        <v>1.0</v>
      </c>
      <c r="N45" s="135">
        <v>4.0</v>
      </c>
      <c r="O45" s="60" t="s">
        <v>147</v>
      </c>
      <c r="P45" s="136" t="s">
        <v>372</v>
      </c>
      <c r="Q45" s="135">
        <v>2.0</v>
      </c>
      <c r="R45" s="136" t="s">
        <v>153</v>
      </c>
      <c r="S45" s="144" t="s">
        <v>771</v>
      </c>
      <c r="T45" s="6">
        <v>4.0</v>
      </c>
      <c r="U45" s="76"/>
      <c r="V45" s="76"/>
      <c r="W45" s="6">
        <v>2.0</v>
      </c>
      <c r="X45" s="76"/>
      <c r="Y45" s="76"/>
      <c r="Z45" s="76"/>
      <c r="AA45" s="76"/>
      <c r="AB45" s="6">
        <v>2.0</v>
      </c>
      <c r="AC45" s="76"/>
      <c r="AD45" s="76"/>
      <c r="AE45" s="68" t="s">
        <v>167</v>
      </c>
      <c r="AF45" s="68" t="s">
        <v>167</v>
      </c>
      <c r="AG45" s="68" t="s">
        <v>167</v>
      </c>
      <c r="AH45" s="68" t="s">
        <v>167</v>
      </c>
      <c r="AI45" s="68" t="s">
        <v>167</v>
      </c>
      <c r="AJ45" s="68" t="s">
        <v>167</v>
      </c>
      <c r="AK45" s="76" t="str">
        <f t="array" ref="AK45">INDEX(Factions!C:C, MATCH(E45, Factions!B:B, 0))</f>
        <v>#5c9667</v>
      </c>
      <c r="AL45" s="6" t="str">
        <f t="array" ref="AL45">INDEX(Factions!D:D, MATCH(E45, Factions!B:B, 0))</f>
        <v>#005050</v>
      </c>
      <c r="AM45" s="6" t="str">
        <f t="array" ref="AM45">INDEX(Factions!E:E, MATCH(E45, Factions!B:B, 0))</f>
        <v>#000000</v>
      </c>
      <c r="AN45" s="76" t="str">
        <f t="array" ref="AN45">INDEX(Factions!F:F, MATCH(E45, Factions!B:B, 0))</f>
        <v>#ffffff</v>
      </c>
      <c r="AO45" s="76" t="str">
        <f t="array" ref="AO45">concat(INDEX(Factions!G:G, MATCH(E45, Factions!B:B, 0)),".png")</f>
        <v>disciples.png</v>
      </c>
      <c r="AP45" s="84">
        <f>IFERROR(__xludf.DUMMYFUNCTION("MIN(FILTER(M45:M1098, F45:F1098=F45))"),1.0)</f>
        <v>1</v>
      </c>
      <c r="AQ45" s="76">
        <f t="shared" si="2"/>
        <v>6</v>
      </c>
      <c r="AR45" s="86">
        <f>IFERROR(__xludf.DUMMYFUNCTION("IF(and(REGEXMATCH(S45,""Vengence""),not(REGEXMATCH(S45, ""Protective Markings""))),AQ45,AQ45 * 6 / iferror(R45-1,6))"),9.0)</f>
        <v>9</v>
      </c>
      <c r="AS45" s="88">
        <f t="shared" si="3"/>
        <v>2</v>
      </c>
      <c r="AT45" s="89">
        <f t="shared" si="4"/>
        <v>6</v>
      </c>
      <c r="AU45" s="86">
        <f>IFERROR(__xludf.DUMMYFUNCTION("IF(REGEXMATCH(S45,""&lt;b&gt;Poison&lt;/b&gt;""),1+((1/(7-N45))/3),1)"),1.0)</f>
        <v>1</v>
      </c>
      <c r="AV45" s="86">
        <f>IFERROR(__xludf.DUMMYFUNCTION("IF(REGEXMATCH(S45,""Vengence""),(7 - R45) / 3,0)"),0.0)</f>
        <v>0</v>
      </c>
      <c r="AW45" s="86">
        <f t="shared" si="5"/>
        <v>3</v>
      </c>
      <c r="AX45" s="84">
        <f t="shared" si="6"/>
        <v>13.5</v>
      </c>
      <c r="AY45" s="76" t="b">
        <f>IFERROR(__xludf.DUMMYFUNCTION("if(regexmatch(G45,""Mage|War Machine""),true,false)"),TRUE)</f>
        <v>1</v>
      </c>
    </row>
    <row r="46" ht="22.5" hidden="1" customHeight="1">
      <c r="A46" s="44" t="s">
        <v>776</v>
      </c>
      <c r="B46" s="6" t="s">
        <v>777</v>
      </c>
      <c r="C46" s="6" t="str">
        <f t="shared" si="1"/>
        <v>Disciples Alchemists</v>
      </c>
      <c r="D46" s="6" t="b">
        <v>1</v>
      </c>
      <c r="E46" s="5" t="s">
        <v>202</v>
      </c>
      <c r="F46" s="134" t="s">
        <v>758</v>
      </c>
      <c r="G46" s="5" t="s">
        <v>158</v>
      </c>
      <c r="H46" s="60">
        <v>6.0</v>
      </c>
      <c r="I46" s="135">
        <v>2.0</v>
      </c>
      <c r="J46" s="135"/>
      <c r="K46" s="138"/>
      <c r="L46" s="135">
        <v>3.0</v>
      </c>
      <c r="M46" s="135">
        <v>1.0</v>
      </c>
      <c r="N46" s="135">
        <v>5.0</v>
      </c>
      <c r="O46" s="60" t="s">
        <v>147</v>
      </c>
      <c r="P46" s="136" t="s">
        <v>372</v>
      </c>
      <c r="Q46" s="135">
        <v>2.0</v>
      </c>
      <c r="R46" s="136" t="s">
        <v>217</v>
      </c>
      <c r="S46" s="144" t="s">
        <v>787</v>
      </c>
      <c r="T46" s="6">
        <v>0.0</v>
      </c>
      <c r="U46" s="76"/>
      <c r="V46" s="76"/>
      <c r="W46" s="6">
        <v>2.0</v>
      </c>
      <c r="X46" s="76"/>
      <c r="Y46" s="76"/>
      <c r="Z46" s="76"/>
      <c r="AA46" s="76"/>
      <c r="AB46" s="76"/>
      <c r="AC46" s="76"/>
      <c r="AD46" s="76"/>
      <c r="AE46" s="68" t="s">
        <v>167</v>
      </c>
      <c r="AF46" s="69" t="s">
        <v>171</v>
      </c>
      <c r="AG46" s="68" t="s">
        <v>167</v>
      </c>
      <c r="AH46" s="68" t="s">
        <v>167</v>
      </c>
      <c r="AI46" s="68" t="s">
        <v>167</v>
      </c>
      <c r="AJ46" s="69" t="s">
        <v>171</v>
      </c>
      <c r="AK46" s="76" t="str">
        <f t="array" ref="AK46">INDEX(Factions!C:C, MATCH(E46, Factions!B:B, 0))</f>
        <v>#5c9667</v>
      </c>
      <c r="AL46" s="6" t="str">
        <f t="array" ref="AL46">INDEX(Factions!D:D, MATCH(E46, Factions!B:B, 0))</f>
        <v>#005050</v>
      </c>
      <c r="AM46" s="6" t="str">
        <f t="array" ref="AM46">INDEX(Factions!E:E, MATCH(E46, Factions!B:B, 0))</f>
        <v>#000000</v>
      </c>
      <c r="AN46" s="76" t="str">
        <f t="array" ref="AN46">INDEX(Factions!F:F, MATCH(E46, Factions!B:B, 0))</f>
        <v>#ffffff</v>
      </c>
      <c r="AO46" s="76" t="str">
        <f t="array" ref="AO46">concat(INDEX(Factions!G:G, MATCH(E46, Factions!B:B, 0)),".png")</f>
        <v>disciples.png</v>
      </c>
      <c r="AP46" s="84">
        <f>IFERROR(__xludf.DUMMYFUNCTION("MIN(FILTER(M46:M1098, F46:F1098=F46))"),1.0)</f>
        <v>1</v>
      </c>
      <c r="AQ46" s="76">
        <f t="shared" si="2"/>
        <v>6</v>
      </c>
      <c r="AR46" s="86">
        <f>IFERROR(__xludf.DUMMYFUNCTION("IF(and(REGEXMATCH(S46,""Vengence""),not(REGEXMATCH(S46, ""Protective Markings""))),AQ46,AQ46 * 6 / iferror(R46-1,6))"),6.0)</f>
        <v>6</v>
      </c>
      <c r="AS46" s="88">
        <f t="shared" si="3"/>
        <v>2</v>
      </c>
      <c r="AT46" s="89">
        <f t="shared" si="4"/>
        <v>6</v>
      </c>
      <c r="AU46" s="86">
        <f>IFERROR(__xludf.DUMMYFUNCTION("IF(REGEXMATCH(S46,""&lt;b&gt;Poison&lt;/b&gt;""),1+((1/(7-N46))/3),1)"),1.0)</f>
        <v>1</v>
      </c>
      <c r="AV46" s="86">
        <f>IFERROR(__xludf.DUMMYFUNCTION("IF(REGEXMATCH(S46,""Vengence""),(7 - R46) / 3,0)"),0.3333333333333333)</f>
        <v>0.3333333333</v>
      </c>
      <c r="AW46" s="86">
        <f t="shared" si="5"/>
        <v>2.333333333</v>
      </c>
      <c r="AX46" s="84">
        <f t="shared" si="6"/>
        <v>9.5</v>
      </c>
      <c r="AY46" s="76" t="b">
        <f>IFERROR(__xludf.DUMMYFUNCTION("if(regexmatch(G46,""Mage|War Machine""),true,false)"),TRUE)</f>
        <v>1</v>
      </c>
    </row>
    <row r="47" ht="22.5" hidden="1" customHeight="1">
      <c r="A47" s="44" t="s">
        <v>799</v>
      </c>
      <c r="B47" s="44" t="s">
        <v>81</v>
      </c>
      <c r="C47" s="44" t="str">
        <f t="shared" si="1"/>
        <v>Gobbo Warriors</v>
      </c>
      <c r="D47" s="44" t="b">
        <v>1</v>
      </c>
      <c r="E47" s="57" t="s">
        <v>7</v>
      </c>
      <c r="F47" s="44" t="s">
        <v>800</v>
      </c>
      <c r="G47" s="57" t="s">
        <v>81</v>
      </c>
      <c r="H47" s="60">
        <v>6.0</v>
      </c>
      <c r="I47" s="64">
        <v>1.0</v>
      </c>
      <c r="J47" s="64">
        <v>2.0</v>
      </c>
      <c r="K47" s="62"/>
      <c r="L47" s="64">
        <v>6.0</v>
      </c>
      <c r="M47" s="64">
        <v>1.0</v>
      </c>
      <c r="N47" s="64">
        <v>4.0</v>
      </c>
      <c r="O47" s="64">
        <v>6.0</v>
      </c>
      <c r="P47" s="66" t="s">
        <v>150</v>
      </c>
      <c r="Q47" s="64">
        <v>1.0</v>
      </c>
      <c r="R47" s="66" t="s">
        <v>153</v>
      </c>
      <c r="S47" s="118"/>
      <c r="T47" s="6">
        <v>4.0</v>
      </c>
      <c r="U47" s="6"/>
      <c r="V47" s="6">
        <v>0.0</v>
      </c>
      <c r="W47" s="6"/>
      <c r="X47" s="6"/>
      <c r="Y47" s="6">
        <v>1.0</v>
      </c>
      <c r="Z47" s="6">
        <v>1.0</v>
      </c>
      <c r="AA47" s="6">
        <v>1.0</v>
      </c>
      <c r="AB47" s="6">
        <v>1.0</v>
      </c>
      <c r="AC47" s="6">
        <v>1.0</v>
      </c>
      <c r="AD47" s="6">
        <v>1.0</v>
      </c>
      <c r="AE47" s="68" t="s">
        <v>167</v>
      </c>
      <c r="AF47" s="68" t="s">
        <v>167</v>
      </c>
      <c r="AG47" s="68" t="s">
        <v>167</v>
      </c>
      <c r="AH47" s="68" t="s">
        <v>167</v>
      </c>
      <c r="AI47" s="68" t="s">
        <v>167</v>
      </c>
      <c r="AJ47" s="68" t="s">
        <v>167</v>
      </c>
      <c r="AK47" s="76" t="str">
        <f t="array" ref="AK47">INDEX(Factions!C:C, MATCH(E47, Factions!B:B, 0))</f>
        <v>#00dd28</v>
      </c>
      <c r="AL47" s="6" t="str">
        <f t="array" ref="AL47">INDEX(Factions!D:D, MATCH(E47, Factions!B:B, 0))</f>
        <v>#00941A</v>
      </c>
      <c r="AM47" s="6" t="str">
        <f t="array" ref="AM47">INDEX(Factions!E:E, MATCH(E47, Factions!B:B, 0))</f>
        <v>#000000</v>
      </c>
      <c r="AN47" s="76" t="str">
        <f t="array" ref="AN47">INDEX(Factions!F:F, MATCH(E47, Factions!B:B, 0))</f>
        <v>#ffffff</v>
      </c>
      <c r="AO47" s="76" t="str">
        <f t="array" ref="AO47">concat(INDEX(Factions!G:G, MATCH(E47, Factions!B:B, 0)),".png")</f>
        <v>gobbos.png</v>
      </c>
      <c r="AP47" s="76">
        <f>IFERROR(__xludf.DUMMYFUNCTION("MIN(FILTER(M47:M1098, F47:F1098=F47))"),1.0)</f>
        <v>1</v>
      </c>
      <c r="AQ47" s="76">
        <f t="shared" si="2"/>
        <v>6</v>
      </c>
      <c r="AR47" s="86">
        <f>IFERROR(__xludf.DUMMYFUNCTION("IF(and(REGEXMATCH(S47,""Vengence""),not(REGEXMATCH(S47, ""Protective Markings""))),AQ47,AQ47 * 6 / iferror(R47-1,6))"),9.0)</f>
        <v>9</v>
      </c>
      <c r="AS47" s="88">
        <f t="shared" si="3"/>
        <v>1</v>
      </c>
      <c r="AT47" s="89">
        <f t="shared" si="4"/>
        <v>6</v>
      </c>
      <c r="AU47" s="86">
        <f>IFERROR(__xludf.DUMMYFUNCTION("IF(REGEXMATCH(S47,""&lt;b&gt;Poison&lt;/b&gt;""),1+((1/(7-N47))/3),1)"),1.0)</f>
        <v>1</v>
      </c>
      <c r="AV47" s="86">
        <f>IFERROR(__xludf.DUMMYFUNCTION("IF(REGEXMATCH(S47,""Vengence""),(7 - R47) / 3,0)"),0.0)</f>
        <v>0</v>
      </c>
      <c r="AW47" s="86">
        <f t="shared" si="5"/>
        <v>3</v>
      </c>
      <c r="AX47" s="84">
        <f t="shared" si="6"/>
        <v>13.5</v>
      </c>
      <c r="AY47" s="76" t="b">
        <f>IFERROR(__xludf.DUMMYFUNCTION("if(regexmatch(G47,""Mage|War Machine""),true,false)"),FALSE)</f>
        <v>0</v>
      </c>
    </row>
    <row r="48" ht="22.5" hidden="1" customHeight="1">
      <c r="A48" s="44" t="s">
        <v>810</v>
      </c>
      <c r="B48" s="44" t="s">
        <v>209</v>
      </c>
      <c r="C48" s="44" t="str">
        <f t="shared" si="1"/>
        <v>Gobbo Bomb Squad</v>
      </c>
      <c r="D48" s="44" t="b">
        <v>1</v>
      </c>
      <c r="E48" s="57" t="s">
        <v>7</v>
      </c>
      <c r="F48" s="44" t="s">
        <v>800</v>
      </c>
      <c r="G48" s="57" t="s">
        <v>75</v>
      </c>
      <c r="H48" s="60">
        <v>6.0</v>
      </c>
      <c r="I48" s="64">
        <v>1.0</v>
      </c>
      <c r="J48" s="64">
        <v>3.0</v>
      </c>
      <c r="K48" s="62"/>
      <c r="L48" s="64">
        <v>6.0</v>
      </c>
      <c r="M48" s="64">
        <v>1.0</v>
      </c>
      <c r="N48" s="64">
        <v>2.0</v>
      </c>
      <c r="O48" s="64" t="s">
        <v>147</v>
      </c>
      <c r="P48" s="66" t="s">
        <v>372</v>
      </c>
      <c r="Q48" s="64">
        <v>1.0</v>
      </c>
      <c r="R48" s="64" t="s">
        <v>147</v>
      </c>
      <c r="S48" s="67" t="s">
        <v>813</v>
      </c>
      <c r="T48" s="6">
        <v>0.0</v>
      </c>
      <c r="U48" s="6"/>
      <c r="V48" s="6">
        <v>0.0</v>
      </c>
      <c r="W48" s="76"/>
      <c r="X48" s="76"/>
      <c r="Y48" s="76"/>
      <c r="Z48" s="76"/>
      <c r="AA48" s="76"/>
      <c r="AB48" s="76"/>
      <c r="AC48" s="76"/>
      <c r="AD48" s="76"/>
      <c r="AE48" s="68" t="s">
        <v>167</v>
      </c>
      <c r="AF48" s="129" t="s">
        <v>354</v>
      </c>
      <c r="AG48" s="68" t="s">
        <v>167</v>
      </c>
      <c r="AH48" s="129" t="s">
        <v>354</v>
      </c>
      <c r="AI48" s="68" t="s">
        <v>167</v>
      </c>
      <c r="AJ48" s="69" t="s">
        <v>171</v>
      </c>
      <c r="AK48" s="76" t="str">
        <f t="array" ref="AK48">INDEX(Factions!C:C, MATCH(E48, Factions!B:B, 0))</f>
        <v>#00dd28</v>
      </c>
      <c r="AL48" s="6" t="str">
        <f t="array" ref="AL48">INDEX(Factions!D:D, MATCH(E48, Factions!B:B, 0))</f>
        <v>#00941A</v>
      </c>
      <c r="AM48" s="6" t="str">
        <f t="array" ref="AM48">INDEX(Factions!E:E, MATCH(E48, Factions!B:B, 0))</f>
        <v>#000000</v>
      </c>
      <c r="AN48" s="76" t="str">
        <f t="array" ref="AN48">INDEX(Factions!F:F, MATCH(E48, Factions!B:B, 0))</f>
        <v>#ffffff</v>
      </c>
      <c r="AO48" s="76" t="str">
        <f t="array" ref="AO48">concat(INDEX(Factions!G:G, MATCH(E48, Factions!B:B, 0)),".png")</f>
        <v>gobbos.png</v>
      </c>
      <c r="AP48" s="76">
        <f>IFERROR(__xludf.DUMMYFUNCTION("MIN(FILTER(M48:M1098, F48:F1098=F48))"),1.0)</f>
        <v>1</v>
      </c>
      <c r="AQ48" s="76">
        <f t="shared" si="2"/>
        <v>6</v>
      </c>
      <c r="AR48" s="86">
        <f>IFERROR(__xludf.DUMMYFUNCTION("IF(and(REGEXMATCH(S48,""Vengence""),not(REGEXMATCH(S48, ""Protective Markings""))),AQ48,AQ48 * 6 / iferror(R48-1,6))"),6.0)</f>
        <v>6</v>
      </c>
      <c r="AS48" s="88">
        <f t="shared" si="3"/>
        <v>2</v>
      </c>
      <c r="AT48" s="89">
        <f t="shared" si="4"/>
        <v>12</v>
      </c>
      <c r="AU48" s="86">
        <f>IFERROR(__xludf.DUMMYFUNCTION("IF(REGEXMATCH(S48,""&lt;b&gt;Poison&lt;/b&gt;""),1+((1/(7-N48))/3),1)"),1.0)</f>
        <v>1</v>
      </c>
      <c r="AV48" s="86">
        <f>IFERROR(__xludf.DUMMYFUNCTION("IF(REGEXMATCH(S48,""Vengence""),(7 - R48) / 3,0)"),0.0)</f>
        <v>0</v>
      </c>
      <c r="AW48" s="86">
        <f t="shared" si="5"/>
        <v>10</v>
      </c>
      <c r="AX48" s="84">
        <f t="shared" si="6"/>
        <v>21</v>
      </c>
      <c r="AY48" s="76" t="b">
        <f>IFERROR(__xludf.DUMMYFUNCTION("if(regexmatch(G48,""Mage|War Machine""),true,false)"),FALSE)</f>
        <v>0</v>
      </c>
    </row>
    <row r="49" ht="22.5" hidden="1" customHeight="1">
      <c r="A49" s="44" t="s">
        <v>828</v>
      </c>
      <c r="B49" s="44" t="s">
        <v>44</v>
      </c>
      <c r="C49" s="44" t="str">
        <f t="shared" si="1"/>
        <v>Gobbo Beserkers</v>
      </c>
      <c r="D49" s="44" t="b">
        <v>1</v>
      </c>
      <c r="E49" s="57" t="s">
        <v>7</v>
      </c>
      <c r="F49" s="44" t="s">
        <v>800</v>
      </c>
      <c r="G49" s="57" t="s">
        <v>146</v>
      </c>
      <c r="H49" s="60">
        <v>6.0</v>
      </c>
      <c r="I49" s="64">
        <v>1.0</v>
      </c>
      <c r="J49" s="64">
        <v>3.0</v>
      </c>
      <c r="K49" s="62"/>
      <c r="L49" s="64">
        <v>6.0</v>
      </c>
      <c r="M49" s="64" t="s">
        <v>829</v>
      </c>
      <c r="N49" s="64">
        <v>4.0</v>
      </c>
      <c r="O49" s="64" t="s">
        <v>147</v>
      </c>
      <c r="P49" s="66" t="s">
        <v>150</v>
      </c>
      <c r="Q49" s="64">
        <v>1.0</v>
      </c>
      <c r="R49" s="64" t="s">
        <v>153</v>
      </c>
      <c r="S49" s="67" t="s">
        <v>830</v>
      </c>
      <c r="T49" s="6">
        <v>4.0</v>
      </c>
      <c r="U49" s="6"/>
      <c r="V49" s="6"/>
      <c r="W49" s="6"/>
      <c r="X49" s="6"/>
      <c r="Y49" s="6"/>
      <c r="Z49" s="6">
        <v>1.0</v>
      </c>
      <c r="AA49" s="6">
        <v>1.0</v>
      </c>
      <c r="AB49" s="6">
        <v>1.0</v>
      </c>
      <c r="AC49" s="76"/>
      <c r="AD49" s="76"/>
      <c r="AE49" s="90" t="s">
        <v>195</v>
      </c>
      <c r="AF49" s="68" t="s">
        <v>167</v>
      </c>
      <c r="AG49" s="68" t="s">
        <v>167</v>
      </c>
      <c r="AH49" s="68" t="s">
        <v>167</v>
      </c>
      <c r="AI49" s="68" t="s">
        <v>167</v>
      </c>
      <c r="AJ49" s="68" t="s">
        <v>167</v>
      </c>
      <c r="AK49" s="76" t="str">
        <f t="array" ref="AK49">INDEX(Factions!C:C, MATCH(E49, Factions!B:B, 0))</f>
        <v>#00dd28</v>
      </c>
      <c r="AL49" s="6" t="str">
        <f t="array" ref="AL49">INDEX(Factions!D:D, MATCH(E49, Factions!B:B, 0))</f>
        <v>#00941A</v>
      </c>
      <c r="AM49" s="6" t="str">
        <f t="array" ref="AM49">INDEX(Factions!E:E, MATCH(E49, Factions!B:B, 0))</f>
        <v>#000000</v>
      </c>
      <c r="AN49" s="76" t="str">
        <f t="array" ref="AN49">INDEX(Factions!F:F, MATCH(E49, Factions!B:B, 0))</f>
        <v>#ffffff</v>
      </c>
      <c r="AO49" s="76" t="str">
        <f t="array" ref="AO49">concat(INDEX(Factions!G:G, MATCH(E49, Factions!B:B, 0)),".png")</f>
        <v>gobbos.png</v>
      </c>
      <c r="AP49" s="76">
        <f>IFERROR(__xludf.DUMMYFUNCTION("MIN(FILTER(M49:M1098, F49:F1098=F49))"),1.0)</f>
        <v>1</v>
      </c>
      <c r="AQ49" s="76">
        <f t="shared" si="2"/>
        <v>6</v>
      </c>
      <c r="AR49" s="86">
        <f>IFERROR(__xludf.DUMMYFUNCTION("IF(and(REGEXMATCH(S49,""Vengence""),not(REGEXMATCH(S49, ""Protective Markings""))),AQ49,AQ49 * 6 / iferror(R49-1,6))"),9.0)</f>
        <v>9</v>
      </c>
      <c r="AS49" s="88">
        <f t="shared" si="3"/>
        <v>1</v>
      </c>
      <c r="AT49" s="89">
        <f t="shared" si="4"/>
        <v>6</v>
      </c>
      <c r="AU49" s="86">
        <f>IFERROR(__xludf.DUMMYFUNCTION("IF(REGEXMATCH(S49,""&lt;b&gt;Poison&lt;/b&gt;""),1+((1/(7-N49))/3),1)"),1.0)</f>
        <v>1</v>
      </c>
      <c r="AV49" s="86">
        <f>IFERROR(__xludf.DUMMYFUNCTION("IF(REGEXMATCH(S49,""Vengence""),(7 - R49) / 3,0)"),0.0)</f>
        <v>0</v>
      </c>
      <c r="AW49" s="86">
        <f t="shared" si="5"/>
        <v>3</v>
      </c>
      <c r="AX49" s="84">
        <f t="shared" si="6"/>
        <v>13.5</v>
      </c>
      <c r="AY49" s="76" t="b">
        <f>IFERROR(__xludf.DUMMYFUNCTION("if(regexmatch(G49,""Mage|War Machine""),true,false)"),FALSE)</f>
        <v>0</v>
      </c>
    </row>
    <row r="50" ht="22.5" hidden="1" customHeight="1">
      <c r="A50" s="44" t="s">
        <v>831</v>
      </c>
      <c r="B50" s="44" t="s">
        <v>142</v>
      </c>
      <c r="C50" s="44" t="str">
        <f t="shared" si="1"/>
        <v>Gobbo Archers</v>
      </c>
      <c r="D50" s="44" t="b">
        <v>1</v>
      </c>
      <c r="E50" s="57" t="s">
        <v>7</v>
      </c>
      <c r="F50" s="44" t="s">
        <v>800</v>
      </c>
      <c r="G50" s="57" t="s">
        <v>142</v>
      </c>
      <c r="H50" s="60">
        <v>6.0</v>
      </c>
      <c r="I50" s="64">
        <v>1.0</v>
      </c>
      <c r="J50" s="64">
        <v>2.0</v>
      </c>
      <c r="K50" s="62"/>
      <c r="L50" s="64">
        <v>6.0</v>
      </c>
      <c r="M50" s="64">
        <v>1.0</v>
      </c>
      <c r="N50" s="62">
        <v>5.0</v>
      </c>
      <c r="O50" s="64">
        <v>4.0</v>
      </c>
      <c r="P50" s="66" t="s">
        <v>150</v>
      </c>
      <c r="Q50" s="64">
        <v>1.0</v>
      </c>
      <c r="R50" s="66" t="s">
        <v>217</v>
      </c>
      <c r="S50" s="118"/>
      <c r="T50" s="6">
        <v>3.0</v>
      </c>
      <c r="U50" s="76"/>
      <c r="V50" s="76"/>
      <c r="W50" s="76"/>
      <c r="X50" s="76"/>
      <c r="Y50" s="76"/>
      <c r="Z50" s="76"/>
      <c r="AA50" s="76"/>
      <c r="AB50" s="76"/>
      <c r="AC50" s="76"/>
      <c r="AD50" s="6">
        <v>1.0</v>
      </c>
      <c r="AE50" s="68" t="s">
        <v>167</v>
      </c>
      <c r="AF50" s="69" t="s">
        <v>171</v>
      </c>
      <c r="AG50" s="90" t="s">
        <v>195</v>
      </c>
      <c r="AH50" s="68" t="s">
        <v>167</v>
      </c>
      <c r="AI50" s="68" t="s">
        <v>167</v>
      </c>
      <c r="AJ50" s="69" t="s">
        <v>171</v>
      </c>
      <c r="AK50" s="76" t="str">
        <f t="array" ref="AK50">INDEX(Factions!C:C, MATCH(E50, Factions!B:B, 0))</f>
        <v>#00dd28</v>
      </c>
      <c r="AL50" s="6" t="str">
        <f t="array" ref="AL50">INDEX(Factions!D:D, MATCH(E50, Factions!B:B, 0))</f>
        <v>#00941A</v>
      </c>
      <c r="AM50" s="6" t="str">
        <f t="array" ref="AM50">INDEX(Factions!E:E, MATCH(E50, Factions!B:B, 0))</f>
        <v>#000000</v>
      </c>
      <c r="AN50" s="76" t="str">
        <f t="array" ref="AN50">INDEX(Factions!F:F, MATCH(E50, Factions!B:B, 0))</f>
        <v>#ffffff</v>
      </c>
      <c r="AO50" s="76" t="str">
        <f t="array" ref="AO50">concat(INDEX(Factions!G:G, MATCH(E50, Factions!B:B, 0)),".png")</f>
        <v>gobbos.png</v>
      </c>
      <c r="AP50" s="76">
        <f>IFERROR(__xludf.DUMMYFUNCTION("MIN(FILTER(M50:M1098, F50:F1098=F50))"),1.0)</f>
        <v>1</v>
      </c>
      <c r="AQ50" s="76">
        <f t="shared" si="2"/>
        <v>6</v>
      </c>
      <c r="AR50" s="86">
        <f>IFERROR(__xludf.DUMMYFUNCTION("IF(and(REGEXMATCH(S50,""Vengence""),not(REGEXMATCH(S50, ""Protective Markings""))),AQ50,AQ50 * 6 / iferror(R50-1,6))"),7.2)</f>
        <v>7.2</v>
      </c>
      <c r="AS50" s="88">
        <f t="shared" si="3"/>
        <v>1</v>
      </c>
      <c r="AT50" s="89">
        <f t="shared" si="4"/>
        <v>6</v>
      </c>
      <c r="AU50" s="86">
        <f>IFERROR(__xludf.DUMMYFUNCTION("IF(REGEXMATCH(S50,""&lt;b&gt;Poison&lt;/b&gt;""),1+((1/(7-N50))/3),1)"),1.0)</f>
        <v>1</v>
      </c>
      <c r="AV50" s="86">
        <f>IFERROR(__xludf.DUMMYFUNCTION("IF(REGEXMATCH(S50,""Vengence""),(7 - R50) / 3,0)"),0.0)</f>
        <v>0</v>
      </c>
      <c r="AW50" s="86">
        <f t="shared" si="5"/>
        <v>2</v>
      </c>
      <c r="AX50" s="84">
        <f t="shared" si="6"/>
        <v>10.2</v>
      </c>
      <c r="AY50" s="76" t="b">
        <f>IFERROR(__xludf.DUMMYFUNCTION("if(regexmatch(G50,""Mage|War Machine""),true,false)"),FALSE)</f>
        <v>0</v>
      </c>
    </row>
    <row r="51" ht="22.5" hidden="1" customHeight="1">
      <c r="A51" s="44" t="s">
        <v>832</v>
      </c>
      <c r="B51" s="6" t="s">
        <v>833</v>
      </c>
      <c r="C51" s="6" t="str">
        <f t="shared" si="1"/>
        <v>Gobbo Goblings</v>
      </c>
      <c r="D51" s="6" t="b">
        <v>1</v>
      </c>
      <c r="E51" s="5" t="s">
        <v>7</v>
      </c>
      <c r="F51" s="6" t="s">
        <v>800</v>
      </c>
      <c r="G51" s="5" t="s">
        <v>140</v>
      </c>
      <c r="H51" s="60">
        <v>6.0</v>
      </c>
      <c r="I51" s="135">
        <v>1.0</v>
      </c>
      <c r="J51" s="135">
        <v>1.0</v>
      </c>
      <c r="K51" s="135"/>
      <c r="L51" s="135">
        <v>6.0</v>
      </c>
      <c r="M51" s="135">
        <v>1.0</v>
      </c>
      <c r="N51" s="135">
        <v>5.0</v>
      </c>
      <c r="O51" s="60" t="s">
        <v>147</v>
      </c>
      <c r="P51" s="136" t="s">
        <v>150</v>
      </c>
      <c r="Q51" s="135">
        <v>1.0</v>
      </c>
      <c r="R51" s="136" t="s">
        <v>217</v>
      </c>
      <c r="S51" s="144" t="s">
        <v>834</v>
      </c>
      <c r="T51" s="6">
        <v>3.0</v>
      </c>
      <c r="U51" s="76"/>
      <c r="V51" s="76"/>
      <c r="W51" s="76"/>
      <c r="X51" s="76"/>
      <c r="Y51" s="76"/>
      <c r="Z51" s="76"/>
      <c r="AA51" s="76"/>
      <c r="AB51" s="76"/>
      <c r="AC51" s="76"/>
      <c r="AD51" s="76"/>
      <c r="AE51" s="68" t="s">
        <v>167</v>
      </c>
      <c r="AF51" s="69" t="s">
        <v>171</v>
      </c>
      <c r="AG51" s="68" t="s">
        <v>167</v>
      </c>
      <c r="AH51" s="68" t="s">
        <v>167</v>
      </c>
      <c r="AI51" s="68" t="s">
        <v>167</v>
      </c>
      <c r="AJ51" s="69" t="s">
        <v>171</v>
      </c>
      <c r="AK51" s="76" t="str">
        <f t="array" ref="AK51">INDEX(Factions!C:C, MATCH(E51, Factions!B:B, 0))</f>
        <v>#00dd28</v>
      </c>
      <c r="AL51" s="6" t="str">
        <f t="array" ref="AL51">INDEX(Factions!D:D, MATCH(E51, Factions!B:B, 0))</f>
        <v>#00941A</v>
      </c>
      <c r="AM51" s="6" t="str">
        <f t="array" ref="AM51">INDEX(Factions!E:E, MATCH(E51, Factions!B:B, 0))</f>
        <v>#000000</v>
      </c>
      <c r="AN51" s="76" t="str">
        <f t="array" ref="AN51">INDEX(Factions!F:F, MATCH(E51, Factions!B:B, 0))</f>
        <v>#ffffff</v>
      </c>
      <c r="AO51" s="76" t="str">
        <f t="array" ref="AO51">concat(INDEX(Factions!G:G, MATCH(E51, Factions!B:B, 0)),".png")</f>
        <v>gobbos.png</v>
      </c>
      <c r="AP51" s="84">
        <f>IFERROR(__xludf.DUMMYFUNCTION("MIN(FILTER(M51:M1098, F51:F1098=F51))"),1.0)</f>
        <v>1</v>
      </c>
      <c r="AQ51" s="76">
        <f t="shared" si="2"/>
        <v>6</v>
      </c>
      <c r="AR51" s="86">
        <f>IFERROR(__xludf.DUMMYFUNCTION("IF(and(REGEXMATCH(S51,""Vengence""),not(REGEXMATCH(S51, ""Protective Markings""))),AQ51,AQ51 * 6 / iferror(R51-1,6))"),7.2)</f>
        <v>7.2</v>
      </c>
      <c r="AS51" s="88">
        <f t="shared" si="3"/>
        <v>1</v>
      </c>
      <c r="AT51" s="89">
        <f t="shared" si="4"/>
        <v>6</v>
      </c>
      <c r="AU51" s="86">
        <f>IFERROR(__xludf.DUMMYFUNCTION("IF(REGEXMATCH(S51,""&lt;b&gt;Poison&lt;/b&gt;""),1+((1/(7-N51))/3),1)"),1.0)</f>
        <v>1</v>
      </c>
      <c r="AV51" s="86">
        <f>IFERROR(__xludf.DUMMYFUNCTION("IF(REGEXMATCH(S51,""Vengence""),(7 - R51) / 3,0)"),0.0)</f>
        <v>0</v>
      </c>
      <c r="AW51" s="86">
        <f t="shared" si="5"/>
        <v>2</v>
      </c>
      <c r="AX51" s="84">
        <f t="shared" si="6"/>
        <v>10.2</v>
      </c>
      <c r="AY51" s="76" t="b">
        <f>IFERROR(__xludf.DUMMYFUNCTION("if(regexmatch(G51,""Mage|War Machine""),true,false)"),FALSE)</f>
        <v>0</v>
      </c>
    </row>
    <row r="52" ht="22.5" hidden="1" customHeight="1">
      <c r="A52" s="44" t="s">
        <v>835</v>
      </c>
      <c r="B52" s="6" t="s">
        <v>48</v>
      </c>
      <c r="C52" s="6" t="str">
        <f t="shared" si="1"/>
        <v>Gobbo Poppers</v>
      </c>
      <c r="D52" s="6" t="b">
        <v>1</v>
      </c>
      <c r="E52" s="5" t="s">
        <v>7</v>
      </c>
      <c r="F52" s="6" t="s">
        <v>800</v>
      </c>
      <c r="G52" s="5" t="s">
        <v>143</v>
      </c>
      <c r="H52" s="60">
        <v>6.0</v>
      </c>
      <c r="I52" s="135">
        <v>1.0</v>
      </c>
      <c r="J52" s="135">
        <v>2.0</v>
      </c>
      <c r="K52" s="135"/>
      <c r="L52" s="135">
        <v>6.0</v>
      </c>
      <c r="M52" s="135">
        <v>1.0</v>
      </c>
      <c r="N52" s="135">
        <v>5.0</v>
      </c>
      <c r="O52" s="60" t="s">
        <v>147</v>
      </c>
      <c r="P52" s="136" t="s">
        <v>150</v>
      </c>
      <c r="Q52" s="135">
        <v>1.0</v>
      </c>
      <c r="R52" s="136" t="s">
        <v>217</v>
      </c>
      <c r="S52" s="144" t="s">
        <v>836</v>
      </c>
      <c r="T52" s="6">
        <v>4.0</v>
      </c>
      <c r="U52" s="76"/>
      <c r="V52" s="76"/>
      <c r="W52" s="76"/>
      <c r="X52" s="76"/>
      <c r="Y52" s="76"/>
      <c r="Z52" s="76"/>
      <c r="AA52" s="76"/>
      <c r="AB52" s="76"/>
      <c r="AC52" s="76"/>
      <c r="AD52" s="76"/>
      <c r="AE52" s="68" t="s">
        <v>167</v>
      </c>
      <c r="AF52" s="69" t="s">
        <v>171</v>
      </c>
      <c r="AG52" s="68" t="s">
        <v>167</v>
      </c>
      <c r="AH52" s="68" t="s">
        <v>167</v>
      </c>
      <c r="AI52" s="68" t="s">
        <v>167</v>
      </c>
      <c r="AJ52" s="69" t="s">
        <v>171</v>
      </c>
      <c r="AK52" s="76" t="str">
        <f t="array" ref="AK52">INDEX(Factions!C:C, MATCH(E52, Factions!B:B, 0))</f>
        <v>#00dd28</v>
      </c>
      <c r="AL52" s="6" t="str">
        <f t="array" ref="AL52">INDEX(Factions!D:D, MATCH(E52, Factions!B:B, 0))</f>
        <v>#00941A</v>
      </c>
      <c r="AM52" s="6" t="str">
        <f t="array" ref="AM52">INDEX(Factions!E:E, MATCH(E52, Factions!B:B, 0))</f>
        <v>#000000</v>
      </c>
      <c r="AN52" s="76" t="str">
        <f t="array" ref="AN52">INDEX(Factions!F:F, MATCH(E52, Factions!B:B, 0))</f>
        <v>#ffffff</v>
      </c>
      <c r="AO52" s="76" t="str">
        <f t="array" ref="AO52">concat(INDEX(Factions!G:G, MATCH(E52, Factions!B:B, 0)),".png")</f>
        <v>gobbos.png</v>
      </c>
      <c r="AP52" s="84">
        <f>IFERROR(__xludf.DUMMYFUNCTION("MIN(FILTER(M52:M1098, F52:F1098=F52))"),1.0)</f>
        <v>1</v>
      </c>
      <c r="AQ52" s="76">
        <f t="shared" si="2"/>
        <v>6</v>
      </c>
      <c r="AR52" s="86">
        <f>IFERROR(__xludf.DUMMYFUNCTION("IF(and(REGEXMATCH(S52,""Vengence""),not(REGEXMATCH(S52, ""Protective Markings""))),AQ52,AQ52 * 6 / iferror(R52-1,6))"),7.2)</f>
        <v>7.2</v>
      </c>
      <c r="AS52" s="88">
        <f t="shared" si="3"/>
        <v>1</v>
      </c>
      <c r="AT52" s="89">
        <f t="shared" si="4"/>
        <v>6</v>
      </c>
      <c r="AU52" s="86">
        <f>IFERROR(__xludf.DUMMYFUNCTION("IF(REGEXMATCH(S52,""&lt;b&gt;Poison&lt;/b&gt;""),1+((1/(7-N52))/3),1)"),1.0)</f>
        <v>1</v>
      </c>
      <c r="AV52" s="86">
        <f>IFERROR(__xludf.DUMMYFUNCTION("IF(REGEXMATCH(S52,""Vengence""),(7 - R52) / 3,0)"),0.0)</f>
        <v>0</v>
      </c>
      <c r="AW52" s="86">
        <f t="shared" si="5"/>
        <v>2</v>
      </c>
      <c r="AX52" s="84">
        <f t="shared" si="6"/>
        <v>10.2</v>
      </c>
      <c r="AY52" s="76" t="b">
        <f>IFERROR(__xludf.DUMMYFUNCTION("if(regexmatch(G52,""Mage|War Machine""),true,false)"),FALSE)</f>
        <v>0</v>
      </c>
    </row>
    <row r="53" ht="22.5" hidden="1" customHeight="1">
      <c r="A53" s="44" t="s">
        <v>837</v>
      </c>
      <c r="B53" s="44" t="s">
        <v>351</v>
      </c>
      <c r="C53" s="44" t="str">
        <f t="shared" si="1"/>
        <v>Gobbo Wolfcarts</v>
      </c>
      <c r="D53" s="44" t="b">
        <v>1</v>
      </c>
      <c r="E53" s="57" t="s">
        <v>7</v>
      </c>
      <c r="F53" s="44" t="s">
        <v>838</v>
      </c>
      <c r="G53" s="57" t="s">
        <v>151</v>
      </c>
      <c r="H53" s="60">
        <v>5.0</v>
      </c>
      <c r="I53" s="64">
        <v>2.0</v>
      </c>
      <c r="J53" s="62"/>
      <c r="K53" s="62"/>
      <c r="L53" s="62">
        <v>2.0</v>
      </c>
      <c r="M53" s="62">
        <v>2.0</v>
      </c>
      <c r="N53" s="62">
        <v>4.0</v>
      </c>
      <c r="O53" s="64">
        <v>5.0</v>
      </c>
      <c r="P53" s="66" t="s">
        <v>194</v>
      </c>
      <c r="Q53" s="62">
        <v>4.0</v>
      </c>
      <c r="R53" s="66" t="s">
        <v>153</v>
      </c>
      <c r="S53" s="67" t="s">
        <v>839</v>
      </c>
      <c r="T53" s="6">
        <v>5.5</v>
      </c>
      <c r="U53" s="6"/>
      <c r="V53" s="6"/>
      <c r="W53" s="6"/>
      <c r="X53" s="6"/>
      <c r="Y53" s="6">
        <v>2.0</v>
      </c>
      <c r="Z53" s="6">
        <v>2.0</v>
      </c>
      <c r="AA53" s="6">
        <v>2.0</v>
      </c>
      <c r="AB53" s="6">
        <v>2.0</v>
      </c>
      <c r="AC53" s="6">
        <v>2.0</v>
      </c>
      <c r="AD53" s="6">
        <v>2.0</v>
      </c>
      <c r="AE53" s="90" t="s">
        <v>195</v>
      </c>
      <c r="AF53" s="68" t="s">
        <v>167</v>
      </c>
      <c r="AG53" s="68" t="s">
        <v>167</v>
      </c>
      <c r="AH53" s="90" t="s">
        <v>195</v>
      </c>
      <c r="AI53" s="90" t="s">
        <v>195</v>
      </c>
      <c r="AJ53" s="68" t="s">
        <v>167</v>
      </c>
      <c r="AK53" s="76" t="str">
        <f t="array" ref="AK53">INDEX(Factions!C:C, MATCH(E53, Factions!B:B, 0))</f>
        <v>#00dd28</v>
      </c>
      <c r="AL53" s="6" t="str">
        <f t="array" ref="AL53">INDEX(Factions!D:D, MATCH(E53, Factions!B:B, 0))</f>
        <v>#00941A</v>
      </c>
      <c r="AM53" s="6" t="str">
        <f t="array" ref="AM53">INDEX(Factions!E:E, MATCH(E53, Factions!B:B, 0))</f>
        <v>#000000</v>
      </c>
      <c r="AN53" s="76" t="str">
        <f t="array" ref="AN53">INDEX(Factions!F:F, MATCH(E53, Factions!B:B, 0))</f>
        <v>#ffffff</v>
      </c>
      <c r="AO53" s="76" t="str">
        <f t="array" ref="AO53">concat(INDEX(Factions!G:G, MATCH(E53, Factions!B:B, 0)),".png")</f>
        <v>gobbos.png</v>
      </c>
      <c r="AP53" s="84">
        <f>IFERROR(__xludf.DUMMYFUNCTION("MIN(FILTER(M53:M1098, F53:F1098=F53))"),2.0)</f>
        <v>2</v>
      </c>
      <c r="AQ53" s="76">
        <f t="shared" si="2"/>
        <v>8</v>
      </c>
      <c r="AR53" s="86">
        <f>IFERROR(__xludf.DUMMYFUNCTION("IF(and(REGEXMATCH(S53,""Vengence""),not(REGEXMATCH(S53, ""Protective Markings""))),AQ53,AQ53 * 6 / iferror(R53-1,6))"),12.0)</f>
        <v>12</v>
      </c>
      <c r="AS53" s="88">
        <f t="shared" si="3"/>
        <v>4</v>
      </c>
      <c r="AT53" s="89">
        <f t="shared" si="4"/>
        <v>8</v>
      </c>
      <c r="AU53" s="86">
        <f>IFERROR(__xludf.DUMMYFUNCTION("IF(REGEXMATCH(S53,""&lt;b&gt;Poison&lt;/b&gt;""),1+((1/(7-N53))/3),1)"),1.0)</f>
        <v>1</v>
      </c>
      <c r="AV53" s="86">
        <f>IFERROR(__xludf.DUMMYFUNCTION("IF(REGEXMATCH(S53,""Vengence""),(7 - R53) / 3,0)"),0.0)</f>
        <v>0</v>
      </c>
      <c r="AW53" s="86">
        <f t="shared" si="5"/>
        <v>4</v>
      </c>
      <c r="AX53" s="84">
        <f t="shared" si="6"/>
        <v>18</v>
      </c>
      <c r="AY53" s="76" t="b">
        <f>IFERROR(__xludf.DUMMYFUNCTION("if(regexmatch(G53,""Mage|War Machine""),true,false)"),FALSE)</f>
        <v>0</v>
      </c>
    </row>
    <row r="54" ht="22.5" hidden="1" customHeight="1">
      <c r="A54" s="44" t="s">
        <v>840</v>
      </c>
      <c r="B54" s="44" t="s">
        <v>321</v>
      </c>
      <c r="C54" s="44" t="str">
        <f t="shared" si="1"/>
        <v>Gobbo Bangwagons</v>
      </c>
      <c r="D54" s="44" t="b">
        <v>1</v>
      </c>
      <c r="E54" s="57" t="s">
        <v>7</v>
      </c>
      <c r="F54" s="44" t="s">
        <v>838</v>
      </c>
      <c r="G54" s="57" t="s">
        <v>75</v>
      </c>
      <c r="H54" s="60">
        <v>5.0</v>
      </c>
      <c r="I54" s="64">
        <v>2.0</v>
      </c>
      <c r="J54" s="62"/>
      <c r="K54" s="62"/>
      <c r="L54" s="62">
        <v>2.0</v>
      </c>
      <c r="M54" s="62">
        <v>2.0</v>
      </c>
      <c r="N54" s="62">
        <v>2.0</v>
      </c>
      <c r="O54" s="64" t="s">
        <v>147</v>
      </c>
      <c r="P54" s="62" t="s">
        <v>328</v>
      </c>
      <c r="Q54" s="62">
        <v>2.0</v>
      </c>
      <c r="R54" s="66" t="s">
        <v>147</v>
      </c>
      <c r="S54" s="67" t="s">
        <v>841</v>
      </c>
      <c r="T54" s="6">
        <v>0.0</v>
      </c>
      <c r="U54" s="76"/>
      <c r="V54" s="76"/>
      <c r="W54" s="76"/>
      <c r="X54" s="76"/>
      <c r="Y54" s="76"/>
      <c r="Z54" s="76"/>
      <c r="AA54" s="76"/>
      <c r="AB54" s="76"/>
      <c r="AC54" s="76"/>
      <c r="AD54" s="76"/>
      <c r="AE54" s="90" t="s">
        <v>195</v>
      </c>
      <c r="AF54" s="129" t="s">
        <v>354</v>
      </c>
      <c r="AG54" s="68" t="s">
        <v>167</v>
      </c>
      <c r="AH54" s="129" t="s">
        <v>354</v>
      </c>
      <c r="AI54" s="69" t="s">
        <v>171</v>
      </c>
      <c r="AJ54" s="69" t="s">
        <v>171</v>
      </c>
      <c r="AK54" s="76" t="str">
        <f t="array" ref="AK54">INDEX(Factions!C:C, MATCH(E54, Factions!B:B, 0))</f>
        <v>#00dd28</v>
      </c>
      <c r="AL54" s="6" t="str">
        <f t="array" ref="AL54">INDEX(Factions!D:D, MATCH(E54, Factions!B:B, 0))</f>
        <v>#00941A</v>
      </c>
      <c r="AM54" s="6" t="str">
        <f t="array" ref="AM54">INDEX(Factions!E:E, MATCH(E54, Factions!B:B, 0))</f>
        <v>#000000</v>
      </c>
      <c r="AN54" s="76" t="str">
        <f t="array" ref="AN54">INDEX(Factions!F:F, MATCH(E54, Factions!B:B, 0))</f>
        <v>#ffffff</v>
      </c>
      <c r="AO54" s="76" t="str">
        <f t="array" ref="AO54">concat(INDEX(Factions!G:G, MATCH(E54, Factions!B:B, 0)),".png")</f>
        <v>gobbos.png</v>
      </c>
      <c r="AP54" s="84">
        <f>IFERROR(__xludf.DUMMYFUNCTION("MIN(FILTER(M54:M1098, F54:F1098=F54))"),2.0)</f>
        <v>2</v>
      </c>
      <c r="AQ54" s="76">
        <f t="shared" si="2"/>
        <v>4</v>
      </c>
      <c r="AR54" s="86">
        <f>IFERROR(__xludf.DUMMYFUNCTION("IF(and(REGEXMATCH(S54,""Vengence""),not(REGEXMATCH(S54, ""Protective Markings""))),AQ54,AQ54 * 6 / iferror(R54-1,6))"),4.0)</f>
        <v>4</v>
      </c>
      <c r="AS54" s="143">
        <f t="shared" si="3"/>
        <v>7</v>
      </c>
      <c r="AT54" s="89">
        <f t="shared" si="4"/>
        <v>14</v>
      </c>
      <c r="AU54" s="86">
        <f>IFERROR(__xludf.DUMMYFUNCTION("IF(REGEXMATCH(S54,""&lt;b&gt;Poison&lt;/b&gt;""),1+((1/(7-N54))/3),1)"),1.0)</f>
        <v>1</v>
      </c>
      <c r="AV54" s="86">
        <f>IFERROR(__xludf.DUMMYFUNCTION("IF(REGEXMATCH(S54,""Vengence""),(7 - R54) / 3,0)"),0.0)</f>
        <v>0</v>
      </c>
      <c r="AW54" s="86">
        <f t="shared" si="5"/>
        <v>11.66666667</v>
      </c>
      <c r="AX54" s="84">
        <f t="shared" si="6"/>
        <v>21.5</v>
      </c>
      <c r="AY54" s="76" t="b">
        <f>IFERROR(__xludf.DUMMYFUNCTION("if(regexmatch(G54,""Mage|War Machine""),true,false)"),FALSE)</f>
        <v>0</v>
      </c>
    </row>
    <row r="55" ht="22.5" hidden="1" customHeight="1">
      <c r="A55" s="44" t="s">
        <v>842</v>
      </c>
      <c r="B55" s="44" t="s">
        <v>364</v>
      </c>
      <c r="C55" s="44" t="str">
        <f t="shared" si="1"/>
        <v>Gobbo Hunting Party</v>
      </c>
      <c r="D55" s="44" t="b">
        <v>1</v>
      </c>
      <c r="E55" s="57" t="s">
        <v>7</v>
      </c>
      <c r="F55" s="44" t="s">
        <v>838</v>
      </c>
      <c r="G55" s="57" t="s">
        <v>151</v>
      </c>
      <c r="H55" s="60">
        <v>5.0</v>
      </c>
      <c r="I55" s="62">
        <v>2.0</v>
      </c>
      <c r="J55" s="62"/>
      <c r="K55" s="62"/>
      <c r="L55" s="62">
        <v>2.0</v>
      </c>
      <c r="M55" s="62">
        <v>2.0</v>
      </c>
      <c r="N55" s="62">
        <v>5.0</v>
      </c>
      <c r="O55" s="64">
        <v>4.0</v>
      </c>
      <c r="P55" s="66" t="s">
        <v>372</v>
      </c>
      <c r="Q55" s="62">
        <v>4.0</v>
      </c>
      <c r="R55" s="66" t="s">
        <v>153</v>
      </c>
      <c r="S55" s="67" t="s">
        <v>843</v>
      </c>
      <c r="T55" s="6">
        <v>3.0</v>
      </c>
      <c r="U55" s="6"/>
      <c r="V55" s="6"/>
      <c r="W55" s="6"/>
      <c r="X55" s="6"/>
      <c r="Y55" s="6">
        <v>2.0</v>
      </c>
      <c r="Z55" s="6">
        <v>2.0</v>
      </c>
      <c r="AA55" s="6">
        <v>2.0</v>
      </c>
      <c r="AB55" s="6">
        <v>2.0</v>
      </c>
      <c r="AC55" s="6">
        <v>2.0</v>
      </c>
      <c r="AD55" s="6">
        <v>2.0</v>
      </c>
      <c r="AE55" s="90" t="s">
        <v>195</v>
      </c>
      <c r="AF55" s="69" t="s">
        <v>171</v>
      </c>
      <c r="AG55" s="90" t="s">
        <v>195</v>
      </c>
      <c r="AH55" s="69" t="s">
        <v>171</v>
      </c>
      <c r="AI55" s="90" t="s">
        <v>195</v>
      </c>
      <c r="AJ55" s="68" t="s">
        <v>167</v>
      </c>
      <c r="AK55" s="76" t="str">
        <f t="array" ref="AK55">INDEX(Factions!C:C, MATCH(E55, Factions!B:B, 0))</f>
        <v>#00dd28</v>
      </c>
      <c r="AL55" s="6" t="str">
        <f t="array" ref="AL55">INDEX(Factions!D:D, MATCH(E55, Factions!B:B, 0))</f>
        <v>#00941A</v>
      </c>
      <c r="AM55" s="6" t="str">
        <f t="array" ref="AM55">INDEX(Factions!E:E, MATCH(E55, Factions!B:B, 0))</f>
        <v>#000000</v>
      </c>
      <c r="AN55" s="76" t="str">
        <f t="array" ref="AN55">INDEX(Factions!F:F, MATCH(E55, Factions!B:B, 0))</f>
        <v>#ffffff</v>
      </c>
      <c r="AO55" s="76" t="str">
        <f t="array" ref="AO55">concat(INDEX(Factions!G:G, MATCH(E55, Factions!B:B, 0)),".png")</f>
        <v>gobbos.png</v>
      </c>
      <c r="AP55" s="84">
        <f>IFERROR(__xludf.DUMMYFUNCTION("MIN(FILTER(M55:M1098, F55:F1098=F55))"),2.0)</f>
        <v>2</v>
      </c>
      <c r="AQ55" s="76">
        <f t="shared" si="2"/>
        <v>8</v>
      </c>
      <c r="AR55" s="86">
        <f>IFERROR(__xludf.DUMMYFUNCTION("IF(and(REGEXMATCH(S55,""Vengence""),not(REGEXMATCH(S55, ""Protective Markings""))),AQ55,AQ55 * 6 / iferror(R55-1,6))"),12.0)</f>
        <v>12</v>
      </c>
      <c r="AS55" s="88">
        <f t="shared" si="3"/>
        <v>2</v>
      </c>
      <c r="AT55" s="89">
        <f t="shared" si="4"/>
        <v>4</v>
      </c>
      <c r="AU55" s="86">
        <f>IFERROR(__xludf.DUMMYFUNCTION("IF(REGEXMATCH(S55,""&lt;b&gt;Poison&lt;/b&gt;""),1+((1/(7-N55))/3),1)"),1.0)</f>
        <v>1</v>
      </c>
      <c r="AV55" s="86">
        <f>IFERROR(__xludf.DUMMYFUNCTION("IF(REGEXMATCH(S55,""Vengence""),(7 - R55) / 3,0)"),0.0)</f>
        <v>0</v>
      </c>
      <c r="AW55" s="86">
        <f t="shared" si="5"/>
        <v>1.333333333</v>
      </c>
      <c r="AX55" s="84">
        <f t="shared" si="6"/>
        <v>14</v>
      </c>
      <c r="AY55" s="76" t="b">
        <f>IFERROR(__xludf.DUMMYFUNCTION("if(regexmatch(G55,""Mage|War Machine""),true,false)"),FALSE)</f>
        <v>0</v>
      </c>
    </row>
    <row r="56" ht="22.5" hidden="1" customHeight="1">
      <c r="A56" s="44" t="s">
        <v>844</v>
      </c>
      <c r="B56" s="44" t="s">
        <v>375</v>
      </c>
      <c r="C56" s="44" t="str">
        <f t="shared" si="1"/>
        <v>Gobbo Starchucker</v>
      </c>
      <c r="D56" s="44" t="b">
        <v>1</v>
      </c>
      <c r="E56" s="57" t="s">
        <v>7</v>
      </c>
      <c r="F56" s="44" t="s">
        <v>845</v>
      </c>
      <c r="G56" s="57" t="s">
        <v>156</v>
      </c>
      <c r="H56" s="60">
        <v>6.0</v>
      </c>
      <c r="I56" s="64">
        <v>2.0</v>
      </c>
      <c r="J56" s="62"/>
      <c r="K56" s="62"/>
      <c r="L56" s="64">
        <v>1.0</v>
      </c>
      <c r="M56" s="62">
        <v>1.0</v>
      </c>
      <c r="N56" s="62">
        <v>6.0</v>
      </c>
      <c r="O56" s="64">
        <v>3.0</v>
      </c>
      <c r="P56" s="66" t="s">
        <v>372</v>
      </c>
      <c r="Q56" s="62">
        <v>3.0</v>
      </c>
      <c r="R56" s="66" t="s">
        <v>217</v>
      </c>
      <c r="S56" s="67" t="s">
        <v>846</v>
      </c>
      <c r="T56" s="6">
        <v>1.0</v>
      </c>
      <c r="U56" s="76"/>
      <c r="V56" s="76"/>
      <c r="W56" s="76"/>
      <c r="X56" s="76"/>
      <c r="Y56" s="76"/>
      <c r="Z56" s="76"/>
      <c r="AA56" s="76"/>
      <c r="AB56" s="76"/>
      <c r="AC56" s="76"/>
      <c r="AD56" s="76"/>
      <c r="AE56" s="68" t="s">
        <v>167</v>
      </c>
      <c r="AF56" s="68" t="s">
        <v>167</v>
      </c>
      <c r="AG56" s="129" t="s">
        <v>354</v>
      </c>
      <c r="AH56" s="68" t="s">
        <v>167</v>
      </c>
      <c r="AI56" s="68" t="s">
        <v>167</v>
      </c>
      <c r="AJ56" s="68" t="s">
        <v>167</v>
      </c>
      <c r="AK56" s="76" t="str">
        <f t="array" ref="AK56">INDEX(Factions!C:C, MATCH(E56, Factions!B:B, 0))</f>
        <v>#00dd28</v>
      </c>
      <c r="AL56" s="6" t="str">
        <f t="array" ref="AL56">INDEX(Factions!D:D, MATCH(E56, Factions!B:B, 0))</f>
        <v>#00941A</v>
      </c>
      <c r="AM56" s="6" t="str">
        <f t="array" ref="AM56">INDEX(Factions!E:E, MATCH(E56, Factions!B:B, 0))</f>
        <v>#000000</v>
      </c>
      <c r="AN56" s="76" t="str">
        <f t="array" ref="AN56">INDEX(Factions!F:F, MATCH(E56, Factions!B:B, 0))</f>
        <v>#ffffff</v>
      </c>
      <c r="AO56" s="76" t="str">
        <f t="array" ref="AO56">concat(INDEX(Factions!G:G, MATCH(E56, Factions!B:B, 0)),".png")</f>
        <v>gobbos.png</v>
      </c>
      <c r="AP56" s="84">
        <f>IFERROR(__xludf.DUMMYFUNCTION("MIN(FILTER(M56:M1098, F56:F1098=F56))"),1.0)</f>
        <v>1</v>
      </c>
      <c r="AQ56" s="76">
        <f t="shared" si="2"/>
        <v>3</v>
      </c>
      <c r="AR56" s="86">
        <f>IFERROR(__xludf.DUMMYFUNCTION("IF(and(REGEXMATCH(S56,""Vengence""),not(REGEXMATCH(S56, ""Protective Markings""))),AQ56,AQ56 * 6 / iferror(R56-1,6))"),3.6)</f>
        <v>3.6</v>
      </c>
      <c r="AS56" s="88">
        <f t="shared" si="3"/>
        <v>2</v>
      </c>
      <c r="AT56" s="89">
        <f t="shared" si="4"/>
        <v>2</v>
      </c>
      <c r="AU56" s="86">
        <f>IFERROR(__xludf.DUMMYFUNCTION("IF(REGEXMATCH(S56,""&lt;b&gt;Poison&lt;/b&gt;""),1+((1/(7-N56))/3),1)"),1.0)</f>
        <v>1</v>
      </c>
      <c r="AV56" s="86">
        <f>IFERROR(__xludf.DUMMYFUNCTION("IF(REGEXMATCH(S56,""Vengence""),(7 - R56) / 3,0)"),0.0)</f>
        <v>0</v>
      </c>
      <c r="AW56" s="86">
        <f t="shared" si="5"/>
        <v>0.3333333333</v>
      </c>
      <c r="AX56" s="84">
        <f t="shared" si="6"/>
        <v>4.1</v>
      </c>
      <c r="AY56" s="76" t="b">
        <f>IFERROR(__xludf.DUMMYFUNCTION("if(regexmatch(G56,""Mage|War Machine""),true,false)"),TRUE)</f>
        <v>1</v>
      </c>
    </row>
    <row r="57" ht="22.5" hidden="1" customHeight="1">
      <c r="A57" s="44" t="s">
        <v>847</v>
      </c>
      <c r="B57" s="44" t="s">
        <v>792</v>
      </c>
      <c r="C57" s="44" t="str">
        <f t="shared" si="1"/>
        <v>Gobbo Boombox</v>
      </c>
      <c r="D57" s="44" t="b">
        <v>1</v>
      </c>
      <c r="E57" s="57" t="s">
        <v>7</v>
      </c>
      <c r="F57" s="44" t="s">
        <v>845</v>
      </c>
      <c r="G57" s="57" t="s">
        <v>156</v>
      </c>
      <c r="H57" s="60">
        <v>6.0</v>
      </c>
      <c r="I57" s="64">
        <v>2.0</v>
      </c>
      <c r="J57" s="62"/>
      <c r="K57" s="62"/>
      <c r="L57" s="64">
        <v>1.0</v>
      </c>
      <c r="M57" s="62">
        <v>1.0</v>
      </c>
      <c r="N57" s="62">
        <v>6.0</v>
      </c>
      <c r="O57" s="64" t="s">
        <v>147</v>
      </c>
      <c r="P57" s="66" t="s">
        <v>372</v>
      </c>
      <c r="Q57" s="62">
        <v>3.0</v>
      </c>
      <c r="R57" s="66" t="s">
        <v>217</v>
      </c>
      <c r="S57" s="67" t="s">
        <v>793</v>
      </c>
      <c r="T57" s="6">
        <v>1.0</v>
      </c>
      <c r="U57" s="76"/>
      <c r="V57" s="76"/>
      <c r="W57" s="76"/>
      <c r="X57" s="76"/>
      <c r="Y57" s="76"/>
      <c r="Z57" s="76"/>
      <c r="AA57" s="76"/>
      <c r="AB57" s="76"/>
      <c r="AC57" s="76"/>
      <c r="AD57" s="76"/>
      <c r="AE57" s="68" t="s">
        <v>167</v>
      </c>
      <c r="AF57" s="68" t="s">
        <v>167</v>
      </c>
      <c r="AG57" s="68" t="s">
        <v>167</v>
      </c>
      <c r="AH57" s="68" t="s">
        <v>167</v>
      </c>
      <c r="AI57" s="68" t="s">
        <v>167</v>
      </c>
      <c r="AJ57" s="68" t="s">
        <v>167</v>
      </c>
      <c r="AK57" s="76" t="str">
        <f t="array" ref="AK57">INDEX(Factions!C:C, MATCH(E57, Factions!B:B, 0))</f>
        <v>#00dd28</v>
      </c>
      <c r="AL57" s="6" t="str">
        <f t="array" ref="AL57">INDEX(Factions!D:D, MATCH(E57, Factions!B:B, 0))</f>
        <v>#00941A</v>
      </c>
      <c r="AM57" s="6" t="str">
        <f t="array" ref="AM57">INDEX(Factions!E:E, MATCH(E57, Factions!B:B, 0))</f>
        <v>#000000</v>
      </c>
      <c r="AN57" s="76" t="str">
        <f t="array" ref="AN57">INDEX(Factions!F:F, MATCH(E57, Factions!B:B, 0))</f>
        <v>#ffffff</v>
      </c>
      <c r="AO57" s="76" t="str">
        <f t="array" ref="AO57">concat(INDEX(Factions!G:G, MATCH(E57, Factions!B:B, 0)),".png")</f>
        <v>gobbos.png</v>
      </c>
      <c r="AP57" s="84">
        <f>IFERROR(__xludf.DUMMYFUNCTION("MIN(FILTER(M57:M1098, F57:F1098=F57))"),1.0)</f>
        <v>1</v>
      </c>
      <c r="AQ57" s="76">
        <f t="shared" si="2"/>
        <v>3</v>
      </c>
      <c r="AR57" s="86">
        <f>IFERROR(__xludf.DUMMYFUNCTION("IF(and(REGEXMATCH(S57,""Vengence""),not(REGEXMATCH(S57, ""Protective Markings""))),AQ57,AQ57 * 6 / iferror(R57-1,6))"),3.6)</f>
        <v>3.6</v>
      </c>
      <c r="AS57" s="88">
        <f t="shared" si="3"/>
        <v>2</v>
      </c>
      <c r="AT57" s="89">
        <f t="shared" si="4"/>
        <v>2</v>
      </c>
      <c r="AU57" s="86">
        <f>IFERROR(__xludf.DUMMYFUNCTION("IF(REGEXMATCH(S57,""&lt;b&gt;Poison&lt;/b&gt;""),1+((1/(7-N57))/3),1)"),1.0)</f>
        <v>1</v>
      </c>
      <c r="AV57" s="86">
        <f>IFERROR(__xludf.DUMMYFUNCTION("IF(REGEXMATCH(S57,""Vengence""),(7 - R57) / 3,0)"),0.0)</f>
        <v>0</v>
      </c>
      <c r="AW57" s="86">
        <f t="shared" si="5"/>
        <v>0.3333333333</v>
      </c>
      <c r="AX57" s="84">
        <f t="shared" si="6"/>
        <v>4.1</v>
      </c>
      <c r="AY57" s="76" t="b">
        <f>IFERROR(__xludf.DUMMYFUNCTION("if(regexmatch(G57,""Mage|War Machine""),true,false)"),TRUE)</f>
        <v>1</v>
      </c>
    </row>
    <row r="58" ht="22.5" hidden="1" customHeight="1">
      <c r="A58" s="44" t="s">
        <v>848</v>
      </c>
      <c r="B58" s="6" t="s">
        <v>379</v>
      </c>
      <c r="C58" s="6" t="str">
        <f t="shared" si="1"/>
        <v>Gobbo Firetruck</v>
      </c>
      <c r="D58" s="6" t="b">
        <v>1</v>
      </c>
      <c r="E58" s="5" t="s">
        <v>7</v>
      </c>
      <c r="F58" s="6" t="s">
        <v>845</v>
      </c>
      <c r="G58" s="57" t="s">
        <v>154</v>
      </c>
      <c r="H58" s="60">
        <v>6.0</v>
      </c>
      <c r="I58" s="135">
        <v>2.0</v>
      </c>
      <c r="J58" s="135"/>
      <c r="K58" s="135"/>
      <c r="L58" s="135">
        <v>1.0</v>
      </c>
      <c r="M58" s="135">
        <v>1.0</v>
      </c>
      <c r="N58" s="135">
        <v>4.0</v>
      </c>
      <c r="O58" s="60" t="s">
        <v>147</v>
      </c>
      <c r="P58" s="136" t="s">
        <v>372</v>
      </c>
      <c r="Q58" s="135">
        <v>6.0</v>
      </c>
      <c r="R58" s="136" t="s">
        <v>194</v>
      </c>
      <c r="S58" s="144" t="s">
        <v>849</v>
      </c>
      <c r="T58" s="6">
        <v>0.0</v>
      </c>
      <c r="U58" s="76"/>
      <c r="V58" s="76"/>
      <c r="W58" s="76"/>
      <c r="X58" s="76"/>
      <c r="Y58" s="76"/>
      <c r="Z58" s="76"/>
      <c r="AA58" s="76"/>
      <c r="AB58" s="76"/>
      <c r="AC58" s="76"/>
      <c r="AD58" s="76"/>
      <c r="AE58" s="68" t="s">
        <v>167</v>
      </c>
      <c r="AF58" s="68" t="s">
        <v>167</v>
      </c>
      <c r="AG58" s="68" t="s">
        <v>167</v>
      </c>
      <c r="AH58" s="68" t="s">
        <v>167</v>
      </c>
      <c r="AI58" s="90" t="s">
        <v>195</v>
      </c>
      <c r="AJ58" s="90" t="s">
        <v>195</v>
      </c>
      <c r="AK58" s="76" t="str">
        <f t="array" ref="AK58">INDEX(Factions!C:C, MATCH(E58, Factions!B:B, 0))</f>
        <v>#00dd28</v>
      </c>
      <c r="AL58" s="6" t="str">
        <f t="array" ref="AL58">INDEX(Factions!D:D, MATCH(E58, Factions!B:B, 0))</f>
        <v>#00941A</v>
      </c>
      <c r="AM58" s="6" t="str">
        <f t="array" ref="AM58">INDEX(Factions!E:E, MATCH(E58, Factions!B:B, 0))</f>
        <v>#000000</v>
      </c>
      <c r="AN58" s="76" t="str">
        <f t="array" ref="AN58">INDEX(Factions!F:F, MATCH(E58, Factions!B:B, 0))</f>
        <v>#ffffff</v>
      </c>
      <c r="AO58" s="76" t="str">
        <f t="array" ref="AO58">concat(INDEX(Factions!G:G, MATCH(E58, Factions!B:B, 0)),".png")</f>
        <v>gobbos.png</v>
      </c>
      <c r="AP58" s="84">
        <f>IFERROR(__xludf.DUMMYFUNCTION("MIN(FILTER(M58:M1098, F58:F1098=F58))"),1.0)</f>
        <v>1</v>
      </c>
      <c r="AQ58" s="76">
        <f t="shared" si="2"/>
        <v>6</v>
      </c>
      <c r="AR58" s="86">
        <f>IFERROR(__xludf.DUMMYFUNCTION("IF(and(REGEXMATCH(S58,""Vengence""),not(REGEXMATCH(S58, ""Protective Markings""))),AQ58,AQ58 * 6 / iferror(R58-1,6))"),12.0)</f>
        <v>12</v>
      </c>
      <c r="AS58" s="88">
        <f t="shared" si="3"/>
        <v>2</v>
      </c>
      <c r="AT58" s="89">
        <f t="shared" si="4"/>
        <v>2</v>
      </c>
      <c r="AU58" s="86">
        <f>IFERROR(__xludf.DUMMYFUNCTION("IF(REGEXMATCH(S58,""&lt;b&gt;Poison&lt;/b&gt;""),1+((1/(7-N58))/3),1)"),1.0)</f>
        <v>1</v>
      </c>
      <c r="AV58" s="86">
        <f>IFERROR(__xludf.DUMMYFUNCTION("IF(REGEXMATCH(S58,""Vengence""),(7 - R58) / 3,0)"),0.0)</f>
        <v>0</v>
      </c>
      <c r="AW58" s="86">
        <f t="shared" si="5"/>
        <v>1</v>
      </c>
      <c r="AX58" s="84">
        <f t="shared" si="6"/>
        <v>13.5</v>
      </c>
      <c r="AY58" s="76" t="b">
        <f>IFERROR(__xludf.DUMMYFUNCTION("if(regexmatch(G58,""Mage|War Machine""),true,false)"),FALSE)</f>
        <v>0</v>
      </c>
    </row>
    <row r="59" ht="22.5" hidden="1" customHeight="1">
      <c r="A59" s="44" t="s">
        <v>850</v>
      </c>
      <c r="B59" s="44" t="s">
        <v>851</v>
      </c>
      <c r="C59" s="44" t="str">
        <f t="shared" si="1"/>
        <v>Gobbo Flagellants</v>
      </c>
      <c r="D59" s="44" t="b">
        <v>1</v>
      </c>
      <c r="E59" s="57" t="s">
        <v>7</v>
      </c>
      <c r="F59" s="44" t="s">
        <v>852</v>
      </c>
      <c r="G59" s="57" t="s">
        <v>145</v>
      </c>
      <c r="H59" s="60">
        <v>6.0</v>
      </c>
      <c r="I59" s="64">
        <v>2.0</v>
      </c>
      <c r="J59" s="62"/>
      <c r="K59" s="62"/>
      <c r="L59" s="62">
        <v>6.0</v>
      </c>
      <c r="M59" s="64">
        <v>1.0</v>
      </c>
      <c r="N59" s="64">
        <v>4.0</v>
      </c>
      <c r="O59" s="64" t="s">
        <v>147</v>
      </c>
      <c r="P59" s="66" t="s">
        <v>380</v>
      </c>
      <c r="Q59" s="64">
        <v>1.0</v>
      </c>
      <c r="R59" s="66" t="s">
        <v>147</v>
      </c>
      <c r="S59" s="67" t="s">
        <v>853</v>
      </c>
      <c r="T59" s="6">
        <v>7.25</v>
      </c>
      <c r="U59" s="76"/>
      <c r="V59" s="76"/>
      <c r="W59" s="76"/>
      <c r="X59" s="76"/>
      <c r="Y59" s="76"/>
      <c r="Z59" s="76"/>
      <c r="AA59" s="6">
        <v>2.0</v>
      </c>
      <c r="AB59" s="76"/>
      <c r="AC59" s="76"/>
      <c r="AD59" s="76"/>
      <c r="AE59" s="68" t="s">
        <v>167</v>
      </c>
      <c r="AF59" s="68" t="s">
        <v>167</v>
      </c>
      <c r="AG59" s="68" t="s">
        <v>167</v>
      </c>
      <c r="AH59" s="129" t="s">
        <v>354</v>
      </c>
      <c r="AI59" s="68" t="s">
        <v>167</v>
      </c>
      <c r="AJ59" s="69" t="s">
        <v>171</v>
      </c>
      <c r="AK59" s="76" t="str">
        <f t="array" ref="AK59">INDEX(Factions!C:C, MATCH(E59, Factions!B:B, 0))</f>
        <v>#00dd28</v>
      </c>
      <c r="AL59" s="6" t="str">
        <f t="array" ref="AL59">INDEX(Factions!D:D, MATCH(E59, Factions!B:B, 0))</f>
        <v>#00941A</v>
      </c>
      <c r="AM59" s="6" t="str">
        <f t="array" ref="AM59">INDEX(Factions!E:E, MATCH(E59, Factions!B:B, 0))</f>
        <v>#000000</v>
      </c>
      <c r="AN59" s="76" t="str">
        <f t="array" ref="AN59">INDEX(Factions!F:F, MATCH(E59, Factions!B:B, 0))</f>
        <v>#ffffff</v>
      </c>
      <c r="AO59" s="76" t="str">
        <f t="array" ref="AO59">concat(INDEX(Factions!G:G, MATCH(E59, Factions!B:B, 0)),".png")</f>
        <v>gobbos.png</v>
      </c>
      <c r="AP59" s="76">
        <f>IFERROR(__xludf.DUMMYFUNCTION("MIN(FILTER(M59:M1098, F59:F1098=F59))"),1.0)</f>
        <v>1</v>
      </c>
      <c r="AQ59" s="76">
        <f t="shared" si="2"/>
        <v>6</v>
      </c>
      <c r="AR59" s="86">
        <f>IFERROR(__xludf.DUMMYFUNCTION("IF(and(REGEXMATCH(S59,""Vengence""),not(REGEXMATCH(S59, ""Protective Markings""))),AQ59,AQ59 * 6 / iferror(R59-1,6))"),6.0)</f>
        <v>6</v>
      </c>
      <c r="AS59" s="88">
        <f t="shared" si="3"/>
        <v>3</v>
      </c>
      <c r="AT59" s="89">
        <f t="shared" si="4"/>
        <v>18</v>
      </c>
      <c r="AU59" s="86">
        <f>IFERROR(__xludf.DUMMYFUNCTION("IF(REGEXMATCH(S59,""&lt;b&gt;Poison&lt;/b&gt;""),1+((1/(7-N59))/3),1)"),1.0)</f>
        <v>1</v>
      </c>
      <c r="AV59" s="86">
        <f>IFERROR(__xludf.DUMMYFUNCTION("IF(REGEXMATCH(S59,""Vengence""),(7 - R59) / 3,0)"),0.0)</f>
        <v>0</v>
      </c>
      <c r="AW59" s="86">
        <f t="shared" si="5"/>
        <v>9</v>
      </c>
      <c r="AX59" s="84">
        <f t="shared" si="6"/>
        <v>19.5</v>
      </c>
      <c r="AY59" s="76" t="b">
        <f>IFERROR(__xludf.DUMMYFUNCTION("if(regexmatch(G59,""Mage|War Machine""),true,false)"),FALSE)</f>
        <v>0</v>
      </c>
    </row>
    <row r="60" ht="22.5" hidden="1" customHeight="1">
      <c r="A60" s="44" t="s">
        <v>854</v>
      </c>
      <c r="B60" s="44" t="s">
        <v>855</v>
      </c>
      <c r="C60" s="44" t="str">
        <f t="shared" si="1"/>
        <v>Gobbo Tincans</v>
      </c>
      <c r="D60" s="44" t="b">
        <v>1</v>
      </c>
      <c r="E60" s="57" t="s">
        <v>7</v>
      </c>
      <c r="F60" s="44" t="s">
        <v>852</v>
      </c>
      <c r="G60" s="57" t="s">
        <v>144</v>
      </c>
      <c r="H60" s="60">
        <v>6.0</v>
      </c>
      <c r="I60" s="64">
        <v>2.0</v>
      </c>
      <c r="J60" s="62"/>
      <c r="K60" s="62"/>
      <c r="L60" s="62">
        <v>6.0</v>
      </c>
      <c r="M60" s="64">
        <v>1.0</v>
      </c>
      <c r="N60" s="64">
        <v>4.0</v>
      </c>
      <c r="O60" s="64">
        <v>6.0</v>
      </c>
      <c r="P60" s="66" t="s">
        <v>150</v>
      </c>
      <c r="Q60" s="64">
        <v>1.0</v>
      </c>
      <c r="R60" s="66" t="s">
        <v>380</v>
      </c>
      <c r="S60" s="67" t="s">
        <v>856</v>
      </c>
      <c r="T60" s="6">
        <v>7.25</v>
      </c>
      <c r="U60" s="6"/>
      <c r="V60" s="6"/>
      <c r="W60" s="6"/>
      <c r="X60" s="6"/>
      <c r="Y60" s="6">
        <v>2.0</v>
      </c>
      <c r="Z60" s="6">
        <v>2.0</v>
      </c>
      <c r="AA60" s="6">
        <v>2.0</v>
      </c>
      <c r="AB60" s="6">
        <v>2.0</v>
      </c>
      <c r="AC60" s="6">
        <v>2.0</v>
      </c>
      <c r="AD60" s="6">
        <v>1.0</v>
      </c>
      <c r="AE60" s="68" t="s">
        <v>167</v>
      </c>
      <c r="AF60" s="68" t="s">
        <v>167</v>
      </c>
      <c r="AG60" s="68" t="s">
        <v>167</v>
      </c>
      <c r="AH60" s="68" t="s">
        <v>167</v>
      </c>
      <c r="AI60" s="68" t="s">
        <v>167</v>
      </c>
      <c r="AJ60" s="129" t="s">
        <v>354</v>
      </c>
      <c r="AK60" s="76" t="str">
        <f t="array" ref="AK60">INDEX(Factions!C:C, MATCH(E60, Factions!B:B, 0))</f>
        <v>#00dd28</v>
      </c>
      <c r="AL60" s="6" t="str">
        <f t="array" ref="AL60">INDEX(Factions!D:D, MATCH(E60, Factions!B:B, 0))</f>
        <v>#00941A</v>
      </c>
      <c r="AM60" s="6" t="str">
        <f t="array" ref="AM60">INDEX(Factions!E:E, MATCH(E60, Factions!B:B, 0))</f>
        <v>#000000</v>
      </c>
      <c r="AN60" s="76" t="str">
        <f t="array" ref="AN60">INDEX(Factions!F:F, MATCH(E60, Factions!B:B, 0))</f>
        <v>#ffffff</v>
      </c>
      <c r="AO60" s="76" t="str">
        <f t="array" ref="AO60">concat(INDEX(Factions!G:G, MATCH(E60, Factions!B:B, 0)),".png")</f>
        <v>gobbos.png</v>
      </c>
      <c r="AP60" s="76">
        <f>IFERROR(__xludf.DUMMYFUNCTION("MIN(FILTER(M60:M1098, F60:F1098=F60))"),1.0)</f>
        <v>1</v>
      </c>
      <c r="AQ60" s="76">
        <f t="shared" si="2"/>
        <v>6</v>
      </c>
      <c r="AR60" s="86">
        <f>IFERROR(__xludf.DUMMYFUNCTION("IF(and(REGEXMATCH(S60,""Vengence""),not(REGEXMATCH(S60, ""Protective Markings""))),AQ60,AQ60 * 6 / iferror(R60-1,6))"),18.0)</f>
        <v>18</v>
      </c>
      <c r="AS60" s="88">
        <f t="shared" si="3"/>
        <v>1</v>
      </c>
      <c r="AT60" s="89">
        <f t="shared" si="4"/>
        <v>6</v>
      </c>
      <c r="AU60" s="86">
        <f>IFERROR(__xludf.DUMMYFUNCTION("IF(REGEXMATCH(S60,""&lt;b&gt;Poison&lt;/b&gt;""),1+((1/(7-N60))/3),1)"),1.0)</f>
        <v>1</v>
      </c>
      <c r="AV60" s="86">
        <f>IFERROR(__xludf.DUMMYFUNCTION("IF(REGEXMATCH(S60,""Vengence""),(7 - R60) / 3,0)"),0.0)</f>
        <v>0</v>
      </c>
      <c r="AW60" s="86">
        <f t="shared" si="5"/>
        <v>3</v>
      </c>
      <c r="AX60" s="84">
        <f t="shared" si="6"/>
        <v>22.5</v>
      </c>
      <c r="AY60" s="76" t="b">
        <f>IFERROR(__xludf.DUMMYFUNCTION("if(regexmatch(G60,""Mage|War Machine""),true,false)"),FALSE)</f>
        <v>0</v>
      </c>
    </row>
    <row r="61" ht="22.5" hidden="1" customHeight="1">
      <c r="A61" s="44" t="s">
        <v>857</v>
      </c>
      <c r="B61" s="6" t="s">
        <v>231</v>
      </c>
      <c r="C61" s="6" t="str">
        <f t="shared" si="1"/>
        <v>Gobbo Skypriests</v>
      </c>
      <c r="D61" s="6" t="b">
        <v>1</v>
      </c>
      <c r="E61" s="5" t="s">
        <v>7</v>
      </c>
      <c r="F61" s="6" t="s">
        <v>852</v>
      </c>
      <c r="G61" s="5" t="s">
        <v>146</v>
      </c>
      <c r="H61" s="60">
        <v>6.0</v>
      </c>
      <c r="I61" s="135">
        <v>2.0</v>
      </c>
      <c r="J61" s="135"/>
      <c r="K61" s="135"/>
      <c r="L61" s="135">
        <v>6.0</v>
      </c>
      <c r="M61" s="135">
        <v>1.0</v>
      </c>
      <c r="N61" s="135">
        <v>4.0</v>
      </c>
      <c r="O61" s="60" t="s">
        <v>147</v>
      </c>
      <c r="P61" s="136" t="s">
        <v>150</v>
      </c>
      <c r="Q61" s="135">
        <v>1.0</v>
      </c>
      <c r="R61" s="136" t="s">
        <v>153</v>
      </c>
      <c r="S61" s="144" t="s">
        <v>858</v>
      </c>
      <c r="T61" s="6">
        <v>4.0</v>
      </c>
      <c r="U61" s="6"/>
      <c r="V61" s="6"/>
      <c r="W61" s="6"/>
      <c r="X61" s="6"/>
      <c r="Y61" s="6">
        <v>2.0</v>
      </c>
      <c r="Z61" s="6">
        <v>2.0</v>
      </c>
      <c r="AA61" s="6">
        <v>2.0</v>
      </c>
      <c r="AB61" s="6">
        <v>2.0</v>
      </c>
      <c r="AC61" s="6">
        <v>2.0</v>
      </c>
      <c r="AD61" s="6">
        <v>1.0</v>
      </c>
      <c r="AE61" s="68" t="s">
        <v>167</v>
      </c>
      <c r="AF61" s="68" t="s">
        <v>167</v>
      </c>
      <c r="AG61" s="68" t="s">
        <v>167</v>
      </c>
      <c r="AH61" s="68" t="s">
        <v>167</v>
      </c>
      <c r="AI61" s="68" t="s">
        <v>167</v>
      </c>
      <c r="AJ61" s="68" t="s">
        <v>167</v>
      </c>
      <c r="AK61" s="76" t="str">
        <f t="array" ref="AK61">INDEX(Factions!C:C, MATCH(E61, Factions!B:B, 0))</f>
        <v>#00dd28</v>
      </c>
      <c r="AL61" s="6" t="str">
        <f t="array" ref="AL61">INDEX(Factions!D:D, MATCH(E61, Factions!B:B, 0))</f>
        <v>#00941A</v>
      </c>
      <c r="AM61" s="6" t="str">
        <f t="array" ref="AM61">INDEX(Factions!E:E, MATCH(E61, Factions!B:B, 0))</f>
        <v>#000000</v>
      </c>
      <c r="AN61" s="76" t="str">
        <f t="array" ref="AN61">INDEX(Factions!F:F, MATCH(E61, Factions!B:B, 0))</f>
        <v>#ffffff</v>
      </c>
      <c r="AO61" s="76" t="str">
        <f t="array" ref="AO61">concat(INDEX(Factions!G:G, MATCH(E61, Factions!B:B, 0)),".png")</f>
        <v>gobbos.png</v>
      </c>
      <c r="AP61" s="84">
        <f>IFERROR(__xludf.DUMMYFUNCTION("MIN(FILTER(M61:M1098, F61:F1098=F61))"),1.0)</f>
        <v>1</v>
      </c>
      <c r="AQ61" s="76">
        <f t="shared" si="2"/>
        <v>6</v>
      </c>
      <c r="AR61" s="86">
        <f>IFERROR(__xludf.DUMMYFUNCTION("IF(and(REGEXMATCH(S61,""Vengence""),not(REGEXMATCH(S61, ""Protective Markings""))),AQ61,AQ61 * 6 / iferror(R61-1,6))"),9.0)</f>
        <v>9</v>
      </c>
      <c r="AS61" s="88">
        <f t="shared" si="3"/>
        <v>1</v>
      </c>
      <c r="AT61" s="89">
        <f t="shared" si="4"/>
        <v>6</v>
      </c>
      <c r="AU61" s="86">
        <f>IFERROR(__xludf.DUMMYFUNCTION("IF(REGEXMATCH(S61,""&lt;b&gt;Poison&lt;/b&gt;""),1+((1/(7-N61))/3),1)"),1.0)</f>
        <v>1</v>
      </c>
      <c r="AV61" s="86">
        <f>IFERROR(__xludf.DUMMYFUNCTION("IF(REGEXMATCH(S61,""Vengence""),(7 - R61) / 3,0)"),0.0)</f>
        <v>0</v>
      </c>
      <c r="AW61" s="86">
        <f t="shared" si="5"/>
        <v>3</v>
      </c>
      <c r="AX61" s="84">
        <f t="shared" si="6"/>
        <v>13.5</v>
      </c>
      <c r="AY61" s="76" t="b">
        <f>IFERROR(__xludf.DUMMYFUNCTION("if(regexmatch(G61,""Mage|War Machine""),true,false)"),FALSE)</f>
        <v>0</v>
      </c>
    </row>
    <row r="62" ht="22.5" hidden="1" customHeight="1">
      <c r="A62" s="44" t="s">
        <v>859</v>
      </c>
      <c r="B62" s="44" t="s">
        <v>860</v>
      </c>
      <c r="C62" s="44" t="str">
        <f t="shared" si="1"/>
        <v>Ratkin Horde</v>
      </c>
      <c r="D62" s="44" t="b">
        <v>1</v>
      </c>
      <c r="E62" s="57" t="s">
        <v>203</v>
      </c>
      <c r="F62" s="44" t="s">
        <v>861</v>
      </c>
      <c r="G62" s="57" t="s">
        <v>140</v>
      </c>
      <c r="H62" s="60" t="s">
        <v>147</v>
      </c>
      <c r="I62" s="64">
        <v>1.0</v>
      </c>
      <c r="J62" s="64">
        <v>1.0</v>
      </c>
      <c r="K62" s="62"/>
      <c r="L62" s="62">
        <v>9.0</v>
      </c>
      <c r="M62" s="64">
        <v>1.0</v>
      </c>
      <c r="N62" s="64">
        <v>6.0</v>
      </c>
      <c r="O62" s="64" t="s">
        <v>147</v>
      </c>
      <c r="P62" s="66" t="s">
        <v>150</v>
      </c>
      <c r="Q62" s="64">
        <v>1.0</v>
      </c>
      <c r="R62" s="64" t="s">
        <v>147</v>
      </c>
      <c r="S62" s="144" t="s">
        <v>834</v>
      </c>
      <c r="T62" s="6">
        <v>3.0</v>
      </c>
      <c r="U62" s="6"/>
      <c r="V62" s="6"/>
      <c r="W62" s="6"/>
      <c r="X62" s="6"/>
      <c r="Y62" s="6">
        <v>1.0</v>
      </c>
      <c r="Z62" s="76"/>
      <c r="AA62" s="76"/>
      <c r="AB62" s="76"/>
      <c r="AC62" s="6">
        <v>1.0</v>
      </c>
      <c r="AD62" s="76"/>
      <c r="AE62" s="68" t="s">
        <v>167</v>
      </c>
      <c r="AF62" s="69" t="s">
        <v>171</v>
      </c>
      <c r="AG62" s="68" t="s">
        <v>167</v>
      </c>
      <c r="AH62" s="68" t="s">
        <v>167</v>
      </c>
      <c r="AI62" s="68" t="s">
        <v>167</v>
      </c>
      <c r="AJ62" s="69" t="s">
        <v>171</v>
      </c>
      <c r="AK62" s="76" t="str">
        <f t="array" ref="AK62">INDEX(Factions!C:C, MATCH(E62, Factions!B:B, 0))</f>
        <v>#ffb380</v>
      </c>
      <c r="AL62" s="6" t="str">
        <f t="array" ref="AL62">INDEX(Factions!D:D, MATCH(E62, Factions!B:B, 0))</f>
        <v>#733d00</v>
      </c>
      <c r="AM62" s="6" t="str">
        <f t="array" ref="AM62">INDEX(Factions!E:E, MATCH(E62, Factions!B:B, 0))</f>
        <v>#000000</v>
      </c>
      <c r="AN62" s="76" t="str">
        <f t="array" ref="AN62">INDEX(Factions!F:F, MATCH(E62, Factions!B:B, 0))</f>
        <v>#ffffff</v>
      </c>
      <c r="AO62" s="76" t="str">
        <f t="array" ref="AO62">concat(INDEX(Factions!G:G, MATCH(E62, Factions!B:B, 0)),".png")</f>
        <v>rats.png</v>
      </c>
      <c r="AP62" s="76">
        <f>IFERROR(__xludf.DUMMYFUNCTION("MIN(FILTER(M62:M1098, F62:F1098=F62))"),1.0)</f>
        <v>1</v>
      </c>
      <c r="AQ62" s="76">
        <f t="shared" si="2"/>
        <v>9</v>
      </c>
      <c r="AR62" s="86">
        <f>IFERROR(__xludf.DUMMYFUNCTION("IF(and(REGEXMATCH(S62,""Vengence""),not(REGEXMATCH(S62, ""Protective Markings""))),AQ62,AQ62 * 6 / iferror(R62-1,6))"),9.0)</f>
        <v>9</v>
      </c>
      <c r="AS62" s="88">
        <f t="shared" si="3"/>
        <v>1</v>
      </c>
      <c r="AT62" s="89">
        <f t="shared" si="4"/>
        <v>9</v>
      </c>
      <c r="AU62" s="86">
        <f>IFERROR(__xludf.DUMMYFUNCTION("IF(REGEXMATCH(S62,""&lt;b&gt;Poison&lt;/b&gt;""),1+((1/(7-N62))/3),1)"),1.0)</f>
        <v>1</v>
      </c>
      <c r="AV62" s="86">
        <f>IFERROR(__xludf.DUMMYFUNCTION("IF(REGEXMATCH(S62,""Vengence""),(7 - R62) / 3,0)"),0.0)</f>
        <v>0</v>
      </c>
      <c r="AW62" s="86">
        <f t="shared" si="5"/>
        <v>1.5</v>
      </c>
      <c r="AX62" s="84">
        <f t="shared" si="6"/>
        <v>11.25</v>
      </c>
      <c r="AY62" s="76" t="b">
        <f>IFERROR(__xludf.DUMMYFUNCTION("if(regexmatch(G62,""Mage|War Machine""),true,false)"),FALSE)</f>
        <v>0</v>
      </c>
    </row>
    <row r="63" ht="22.5" hidden="1" customHeight="1">
      <c r="A63" s="44" t="s">
        <v>862</v>
      </c>
      <c r="B63" s="6" t="s">
        <v>863</v>
      </c>
      <c r="C63" s="6" t="str">
        <f t="shared" si="1"/>
        <v>Ratkin Peltlings</v>
      </c>
      <c r="D63" s="6" t="b">
        <v>1</v>
      </c>
      <c r="E63" s="201" t="s">
        <v>203</v>
      </c>
      <c r="F63" s="6" t="s">
        <v>861</v>
      </c>
      <c r="G63" s="5" t="s">
        <v>140</v>
      </c>
      <c r="H63" s="60" t="s">
        <v>147</v>
      </c>
      <c r="I63" s="135">
        <v>1.0</v>
      </c>
      <c r="J63" s="135">
        <v>1.0</v>
      </c>
      <c r="K63" s="135"/>
      <c r="L63" s="135">
        <v>9.0</v>
      </c>
      <c r="M63" s="135">
        <v>1.0</v>
      </c>
      <c r="N63" s="135">
        <v>6.0</v>
      </c>
      <c r="O63" s="60">
        <v>5.0</v>
      </c>
      <c r="P63" s="136" t="s">
        <v>150</v>
      </c>
      <c r="Q63" s="135">
        <v>1.0</v>
      </c>
      <c r="R63" s="136" t="s">
        <v>147</v>
      </c>
      <c r="S63" s="144" t="s">
        <v>864</v>
      </c>
      <c r="T63" s="6">
        <v>2.0</v>
      </c>
      <c r="U63" s="76"/>
      <c r="V63" s="76"/>
      <c r="W63" s="76"/>
      <c r="X63" s="76"/>
      <c r="Y63" s="76"/>
      <c r="Z63" s="76"/>
      <c r="AA63" s="76"/>
      <c r="AB63" s="76"/>
      <c r="AC63" s="76"/>
      <c r="AD63" s="6">
        <v>1.0</v>
      </c>
      <c r="AE63" s="68" t="s">
        <v>167</v>
      </c>
      <c r="AF63" s="69" t="s">
        <v>171</v>
      </c>
      <c r="AG63" s="90" t="s">
        <v>195</v>
      </c>
      <c r="AH63" s="68" t="s">
        <v>167</v>
      </c>
      <c r="AI63" s="68" t="s">
        <v>167</v>
      </c>
      <c r="AJ63" s="69" t="s">
        <v>171</v>
      </c>
      <c r="AK63" s="76" t="str">
        <f t="array" ref="AK63">INDEX(Factions!C:C, MATCH(E63, Factions!B:B, 0))</f>
        <v>#ffb380</v>
      </c>
      <c r="AL63" s="6" t="str">
        <f t="array" ref="AL63">INDEX(Factions!D:D, MATCH(E63, Factions!B:B, 0))</f>
        <v>#733d00</v>
      </c>
      <c r="AM63" s="6" t="str">
        <f t="array" ref="AM63">INDEX(Factions!E:E, MATCH(E63, Factions!B:B, 0))</f>
        <v>#000000</v>
      </c>
      <c r="AN63" s="76" t="str">
        <f t="array" ref="AN63">INDEX(Factions!F:F, MATCH(E63, Factions!B:B, 0))</f>
        <v>#ffffff</v>
      </c>
      <c r="AO63" s="76" t="str">
        <f t="array" ref="AO63">concat(INDEX(Factions!G:G, MATCH(E63, Factions!B:B, 0)),".png")</f>
        <v>rats.png</v>
      </c>
      <c r="AP63" s="84">
        <f>IFERROR(__xludf.DUMMYFUNCTION("MIN(FILTER(M63:M1098, F63:F1098=F63))"),1.0)</f>
        <v>1</v>
      </c>
      <c r="AQ63" s="76">
        <f t="shared" si="2"/>
        <v>9</v>
      </c>
      <c r="AR63" s="86">
        <f>IFERROR(__xludf.DUMMYFUNCTION("IF(and(REGEXMATCH(S63,""Vengence""),not(REGEXMATCH(S63, ""Protective Markings""))),AQ63,AQ63 * 6 / iferror(R63-1,6))"),9.0)</f>
        <v>9</v>
      </c>
      <c r="AS63" s="88">
        <f t="shared" si="3"/>
        <v>1</v>
      </c>
      <c r="AT63" s="89">
        <f t="shared" si="4"/>
        <v>9</v>
      </c>
      <c r="AU63" s="86">
        <f>IFERROR(__xludf.DUMMYFUNCTION("IF(REGEXMATCH(S63,""&lt;b&gt;Poison&lt;/b&gt;""),1+((1/(7-N63))/3),1)"),1.0)</f>
        <v>1</v>
      </c>
      <c r="AV63" s="86">
        <f>IFERROR(__xludf.DUMMYFUNCTION("IF(REGEXMATCH(S63,""Vengence""),(7 - R63) / 3,0)"),0.0)</f>
        <v>0</v>
      </c>
      <c r="AW63" s="86">
        <f t="shared" si="5"/>
        <v>1.5</v>
      </c>
      <c r="AX63" s="84">
        <f t="shared" si="6"/>
        <v>11.25</v>
      </c>
      <c r="AY63" s="76" t="b">
        <f>IFERROR(__xludf.DUMMYFUNCTION("if(regexmatch(G63,""Mage|War Machine""),true,false)"),FALSE)</f>
        <v>0</v>
      </c>
    </row>
    <row r="64" ht="22.5" hidden="1" customHeight="1">
      <c r="A64" s="44" t="s">
        <v>865</v>
      </c>
      <c r="B64" s="44" t="s">
        <v>866</v>
      </c>
      <c r="C64" s="44" t="str">
        <f t="shared" si="1"/>
        <v>Ratkin Pelters</v>
      </c>
      <c r="D64" s="44" t="b">
        <v>1</v>
      </c>
      <c r="E64" s="57" t="s">
        <v>203</v>
      </c>
      <c r="F64" s="44" t="s">
        <v>861</v>
      </c>
      <c r="G64" s="57" t="s">
        <v>142</v>
      </c>
      <c r="H64" s="60" t="s">
        <v>147</v>
      </c>
      <c r="I64" s="64">
        <v>1.0</v>
      </c>
      <c r="J64" s="64">
        <v>2.0</v>
      </c>
      <c r="K64" s="62"/>
      <c r="L64" s="64">
        <v>9.0</v>
      </c>
      <c r="M64" s="64">
        <v>1.0</v>
      </c>
      <c r="N64" s="64">
        <v>5.0</v>
      </c>
      <c r="O64" s="64">
        <v>5.0</v>
      </c>
      <c r="P64" s="66" t="s">
        <v>150</v>
      </c>
      <c r="Q64" s="64">
        <v>1.0</v>
      </c>
      <c r="R64" s="66" t="s">
        <v>147</v>
      </c>
      <c r="S64" s="67" t="s">
        <v>834</v>
      </c>
      <c r="T64" s="6">
        <v>3.5</v>
      </c>
      <c r="U64" s="76"/>
      <c r="V64" s="76"/>
      <c r="W64" s="76"/>
      <c r="X64" s="76"/>
      <c r="Y64" s="76"/>
      <c r="Z64" s="76"/>
      <c r="AA64" s="76"/>
      <c r="AB64" s="76"/>
      <c r="AC64" s="76"/>
      <c r="AD64" s="6">
        <v>1.0</v>
      </c>
      <c r="AE64" s="68" t="s">
        <v>167</v>
      </c>
      <c r="AF64" s="69" t="s">
        <v>171</v>
      </c>
      <c r="AG64" s="90" t="s">
        <v>195</v>
      </c>
      <c r="AH64" s="68" t="s">
        <v>167</v>
      </c>
      <c r="AI64" s="68" t="s">
        <v>167</v>
      </c>
      <c r="AJ64" s="69" t="s">
        <v>171</v>
      </c>
      <c r="AK64" s="76" t="str">
        <f t="array" ref="AK64">INDEX(Factions!C:C, MATCH(E64, Factions!B:B, 0))</f>
        <v>#ffb380</v>
      </c>
      <c r="AL64" s="6" t="str">
        <f t="array" ref="AL64">INDEX(Factions!D:D, MATCH(E64, Factions!B:B, 0))</f>
        <v>#733d00</v>
      </c>
      <c r="AM64" s="6" t="str">
        <f t="array" ref="AM64">INDEX(Factions!E:E, MATCH(E64, Factions!B:B, 0))</f>
        <v>#000000</v>
      </c>
      <c r="AN64" s="76" t="str">
        <f t="array" ref="AN64">INDEX(Factions!F:F, MATCH(E64, Factions!B:B, 0))</f>
        <v>#ffffff</v>
      </c>
      <c r="AO64" s="76" t="str">
        <f t="array" ref="AO64">concat(INDEX(Factions!G:G, MATCH(E64, Factions!B:B, 0)),".png")</f>
        <v>rats.png</v>
      </c>
      <c r="AP64" s="76">
        <f>IFERROR(__xludf.DUMMYFUNCTION("MIN(FILTER(M64:M1098, F64:F1098=F64))"),1.0)</f>
        <v>1</v>
      </c>
      <c r="AQ64" s="76">
        <f t="shared" si="2"/>
        <v>9</v>
      </c>
      <c r="AR64" s="86">
        <f>IFERROR(__xludf.DUMMYFUNCTION("IF(and(REGEXMATCH(S64,""Vengence""),not(REGEXMATCH(S64, ""Protective Markings""))),AQ64,AQ64 * 6 / iferror(R64-1,6))"),9.0)</f>
        <v>9</v>
      </c>
      <c r="AS64" s="88">
        <f t="shared" si="3"/>
        <v>1</v>
      </c>
      <c r="AT64" s="89">
        <f t="shared" si="4"/>
        <v>9</v>
      </c>
      <c r="AU64" s="86">
        <f>IFERROR(__xludf.DUMMYFUNCTION("IF(REGEXMATCH(S64,""&lt;b&gt;Poison&lt;/b&gt;""),1+((1/(7-N64))/3),1)"),1.0)</f>
        <v>1</v>
      </c>
      <c r="AV64" s="86">
        <f>IFERROR(__xludf.DUMMYFUNCTION("IF(REGEXMATCH(S64,""Vengence""),(7 - R64) / 3,0)"),0.0)</f>
        <v>0</v>
      </c>
      <c r="AW64" s="86">
        <f t="shared" si="5"/>
        <v>3</v>
      </c>
      <c r="AX64" s="84">
        <f t="shared" si="6"/>
        <v>13.5</v>
      </c>
      <c r="AY64" s="76" t="b">
        <f>IFERROR(__xludf.DUMMYFUNCTION("if(regexmatch(G64,""Mage|War Machine""),true,false)"),FALSE)</f>
        <v>0</v>
      </c>
    </row>
    <row r="65" ht="22.5" hidden="1" customHeight="1">
      <c r="A65" s="44" t="s">
        <v>867</v>
      </c>
      <c r="B65" s="44" t="s">
        <v>81</v>
      </c>
      <c r="C65" s="44" t="str">
        <f t="shared" si="1"/>
        <v>Ratkin Warriors</v>
      </c>
      <c r="D65" s="44" t="b">
        <v>1</v>
      </c>
      <c r="E65" s="57" t="s">
        <v>203</v>
      </c>
      <c r="F65" s="44" t="s">
        <v>861</v>
      </c>
      <c r="G65" s="57" t="s">
        <v>81</v>
      </c>
      <c r="H65" s="64" t="s">
        <v>147</v>
      </c>
      <c r="I65" s="64">
        <v>1.0</v>
      </c>
      <c r="J65" s="64">
        <v>2.0</v>
      </c>
      <c r="K65" s="62"/>
      <c r="L65" s="64">
        <v>9.0</v>
      </c>
      <c r="M65" s="64">
        <v>1.0</v>
      </c>
      <c r="N65" s="64">
        <v>5.0</v>
      </c>
      <c r="O65" s="64">
        <v>6.0</v>
      </c>
      <c r="P65" s="66" t="s">
        <v>150</v>
      </c>
      <c r="Q65" s="64">
        <v>1.0</v>
      </c>
      <c r="R65" s="64" t="s">
        <v>217</v>
      </c>
      <c r="S65" s="144" t="s">
        <v>834</v>
      </c>
      <c r="T65" s="6">
        <v>4.0</v>
      </c>
      <c r="U65" s="6"/>
      <c r="V65" s="6"/>
      <c r="W65" s="6"/>
      <c r="X65" s="6"/>
      <c r="Y65" s="6">
        <v>1.0</v>
      </c>
      <c r="Z65" s="6">
        <v>1.0</v>
      </c>
      <c r="AA65" s="6">
        <v>1.0</v>
      </c>
      <c r="AB65" s="6">
        <v>1.0</v>
      </c>
      <c r="AC65" s="6">
        <v>1.0</v>
      </c>
      <c r="AD65" s="6">
        <v>1.0</v>
      </c>
      <c r="AE65" s="68" t="s">
        <v>167</v>
      </c>
      <c r="AF65" s="69" t="s">
        <v>171</v>
      </c>
      <c r="AG65" s="68" t="s">
        <v>167</v>
      </c>
      <c r="AH65" s="68" t="s">
        <v>167</v>
      </c>
      <c r="AI65" s="68" t="s">
        <v>167</v>
      </c>
      <c r="AJ65" s="69" t="s">
        <v>171</v>
      </c>
      <c r="AK65" s="76" t="str">
        <f t="array" ref="AK65">INDEX(Factions!C:C, MATCH(E65, Factions!B:B, 0))</f>
        <v>#ffb380</v>
      </c>
      <c r="AL65" s="6" t="str">
        <f t="array" ref="AL65">INDEX(Factions!D:D, MATCH(E65, Factions!B:B, 0))</f>
        <v>#733d00</v>
      </c>
      <c r="AM65" s="6" t="str">
        <f t="array" ref="AM65">INDEX(Factions!E:E, MATCH(E65, Factions!B:B, 0))</f>
        <v>#000000</v>
      </c>
      <c r="AN65" s="76" t="str">
        <f t="array" ref="AN65">INDEX(Factions!F:F, MATCH(E65, Factions!B:B, 0))</f>
        <v>#ffffff</v>
      </c>
      <c r="AO65" s="76" t="str">
        <f t="array" ref="AO65">concat(INDEX(Factions!G:G, MATCH(E65, Factions!B:B, 0)),".png")</f>
        <v>rats.png</v>
      </c>
      <c r="AP65" s="76">
        <f>IFERROR(__xludf.DUMMYFUNCTION("MIN(FILTER(M65:M1098, F65:F1098=F65))"),1.0)</f>
        <v>1</v>
      </c>
      <c r="AQ65" s="76">
        <f t="shared" si="2"/>
        <v>9</v>
      </c>
      <c r="AR65" s="86">
        <f>IFERROR(__xludf.DUMMYFUNCTION("IF(and(REGEXMATCH(S65,""Vengence""),not(REGEXMATCH(S65, ""Protective Markings""))),AQ65,AQ65 * 6 / iferror(R65-1,6))"),10.8)</f>
        <v>10.8</v>
      </c>
      <c r="AS65" s="88">
        <f t="shared" si="3"/>
        <v>1</v>
      </c>
      <c r="AT65" s="89">
        <f t="shared" si="4"/>
        <v>9</v>
      </c>
      <c r="AU65" s="86">
        <f>IFERROR(__xludf.DUMMYFUNCTION("IF(REGEXMATCH(S65,""&lt;b&gt;Poison&lt;/b&gt;""),1+((1/(7-N65))/3),1)"),1.0)</f>
        <v>1</v>
      </c>
      <c r="AV65" s="86">
        <f>IFERROR(__xludf.DUMMYFUNCTION("IF(REGEXMATCH(S65,""Vengence""),(7 - R65) / 3,0)"),0.0)</f>
        <v>0</v>
      </c>
      <c r="AW65" s="86">
        <f t="shared" si="5"/>
        <v>3</v>
      </c>
      <c r="AX65" s="84">
        <f t="shared" si="6"/>
        <v>15.3</v>
      </c>
      <c r="AY65" s="76" t="b">
        <f>IFERROR(__xludf.DUMMYFUNCTION("if(regexmatch(G65,""Mage|War Machine""),true,false)"),FALSE)</f>
        <v>0</v>
      </c>
    </row>
    <row r="66" ht="22.5" hidden="1" customHeight="1">
      <c r="A66" s="44" t="s">
        <v>868</v>
      </c>
      <c r="B66" s="6" t="s">
        <v>869</v>
      </c>
      <c r="C66" s="6" t="str">
        <f t="shared" si="1"/>
        <v>Ratkin Assasslings</v>
      </c>
      <c r="D66" s="6" t="b">
        <v>1</v>
      </c>
      <c r="E66" s="201" t="s">
        <v>203</v>
      </c>
      <c r="F66" s="6" t="s">
        <v>861</v>
      </c>
      <c r="G66" s="5" t="s">
        <v>143</v>
      </c>
      <c r="H66" s="60" t="s">
        <v>147</v>
      </c>
      <c r="I66" s="135">
        <v>1.0</v>
      </c>
      <c r="J66" s="135">
        <v>3.0</v>
      </c>
      <c r="K66" s="135"/>
      <c r="L66" s="62">
        <v>9.0</v>
      </c>
      <c r="M66" s="135">
        <v>1.0</v>
      </c>
      <c r="N66" s="135">
        <v>5.0</v>
      </c>
      <c r="O66" s="60">
        <v>6.0</v>
      </c>
      <c r="P66" s="136" t="s">
        <v>150</v>
      </c>
      <c r="Q66" s="135">
        <v>1.0</v>
      </c>
      <c r="R66" s="136" t="s">
        <v>147</v>
      </c>
      <c r="S66" s="67" t="s">
        <v>870</v>
      </c>
      <c r="T66" s="6">
        <v>5.0</v>
      </c>
      <c r="U66" s="6"/>
      <c r="V66" s="6"/>
      <c r="W66" s="6"/>
      <c r="X66" s="6"/>
      <c r="Y66" s="6">
        <v>1.0</v>
      </c>
      <c r="Z66" s="76"/>
      <c r="AA66" s="76"/>
      <c r="AB66" s="6"/>
      <c r="AC66" s="76"/>
      <c r="AD66" s="6">
        <v>1.0</v>
      </c>
      <c r="AE66" s="68" t="s">
        <v>167</v>
      </c>
      <c r="AF66" s="69" t="s">
        <v>171</v>
      </c>
      <c r="AG66" s="68" t="s">
        <v>167</v>
      </c>
      <c r="AH66" s="68" t="s">
        <v>167</v>
      </c>
      <c r="AI66" s="68" t="s">
        <v>167</v>
      </c>
      <c r="AJ66" s="69" t="s">
        <v>171</v>
      </c>
      <c r="AK66" s="76" t="str">
        <f t="array" ref="AK66">INDEX(Factions!C:C, MATCH(E66, Factions!B:B, 0))</f>
        <v>#ffb380</v>
      </c>
      <c r="AL66" s="6" t="str">
        <f t="array" ref="AL66">INDEX(Factions!D:D, MATCH(E66, Factions!B:B, 0))</f>
        <v>#733d00</v>
      </c>
      <c r="AM66" s="6" t="str">
        <f t="array" ref="AM66">INDEX(Factions!E:E, MATCH(E66, Factions!B:B, 0))</f>
        <v>#000000</v>
      </c>
      <c r="AN66" s="76" t="str">
        <f t="array" ref="AN66">INDEX(Factions!F:F, MATCH(E66, Factions!B:B, 0))</f>
        <v>#ffffff</v>
      </c>
      <c r="AO66" s="76" t="str">
        <f t="array" ref="AO66">concat(INDEX(Factions!G:G, MATCH(E66, Factions!B:B, 0)),".png")</f>
        <v>rats.png</v>
      </c>
      <c r="AP66" s="84">
        <f>IFERROR(__xludf.DUMMYFUNCTION("MIN(FILTER(M66:M1098, F66:F1098=F66))"),1.0)</f>
        <v>1</v>
      </c>
      <c r="AQ66" s="76">
        <f t="shared" si="2"/>
        <v>9</v>
      </c>
      <c r="AR66" s="86">
        <f>IFERROR(__xludf.DUMMYFUNCTION("IF(and(REGEXMATCH(S66,""Vengence""),not(REGEXMATCH(S66, ""Protective Markings""))),AQ66,AQ66 * 6 / iferror(R66-1,6))"),9.0)</f>
        <v>9</v>
      </c>
      <c r="AS66" s="88">
        <f t="shared" si="3"/>
        <v>1</v>
      </c>
      <c r="AT66" s="89">
        <f t="shared" si="4"/>
        <v>9</v>
      </c>
      <c r="AU66" s="86">
        <f>IFERROR(__xludf.DUMMYFUNCTION("IF(REGEXMATCH(S66,""&lt;b&gt;Poison&lt;/b&gt;""),1+((1/(7-N66))/3),1)"),1.1666666666666667)</f>
        <v>1.166666667</v>
      </c>
      <c r="AV66" s="86">
        <f>IFERROR(__xludf.DUMMYFUNCTION("IF(REGEXMATCH(S66,""Vengence""),(7 - R66) / 3,0)"),0.0)</f>
        <v>0</v>
      </c>
      <c r="AW66" s="86">
        <f t="shared" si="5"/>
        <v>3.5</v>
      </c>
      <c r="AX66" s="84">
        <f t="shared" si="6"/>
        <v>14.25</v>
      </c>
      <c r="AY66" s="76" t="b">
        <f>IFERROR(__xludf.DUMMYFUNCTION("if(regexmatch(G66,""Mage|War Machine""),true,false)"),FALSE)</f>
        <v>0</v>
      </c>
    </row>
    <row r="67" ht="22.5" hidden="1" customHeight="1">
      <c r="A67" s="44" t="s">
        <v>871</v>
      </c>
      <c r="B67" s="44" t="s">
        <v>872</v>
      </c>
      <c r="C67" s="44" t="str">
        <f t="shared" si="1"/>
        <v>Ratkin Skitterers</v>
      </c>
      <c r="D67" s="44" t="b">
        <v>1</v>
      </c>
      <c r="E67" s="57" t="s">
        <v>203</v>
      </c>
      <c r="F67" s="44" t="s">
        <v>861</v>
      </c>
      <c r="G67" s="57" t="s">
        <v>146</v>
      </c>
      <c r="H67" s="60" t="s">
        <v>147</v>
      </c>
      <c r="I67" s="64">
        <v>1.0</v>
      </c>
      <c r="J67" s="64">
        <v>3.0</v>
      </c>
      <c r="K67" s="62"/>
      <c r="L67" s="64">
        <v>9.0</v>
      </c>
      <c r="M67" s="64">
        <v>2.0</v>
      </c>
      <c r="N67" s="64">
        <v>5.0</v>
      </c>
      <c r="O67" s="64">
        <v>5.0</v>
      </c>
      <c r="P67" s="66" t="s">
        <v>150</v>
      </c>
      <c r="Q67" s="64">
        <v>1.0</v>
      </c>
      <c r="R67" s="66" t="s">
        <v>217</v>
      </c>
      <c r="S67" s="67" t="s">
        <v>873</v>
      </c>
      <c r="T67" s="6">
        <v>4.0</v>
      </c>
      <c r="U67" s="6"/>
      <c r="V67" s="6"/>
      <c r="W67" s="6"/>
      <c r="X67" s="6"/>
      <c r="Y67" s="6">
        <v>1.0</v>
      </c>
      <c r="Z67" s="6">
        <v>1.0</v>
      </c>
      <c r="AA67" s="6">
        <v>1.0</v>
      </c>
      <c r="AB67" s="6">
        <v>1.0</v>
      </c>
      <c r="AC67" s="76"/>
      <c r="AD67" s="6">
        <v>1.0</v>
      </c>
      <c r="AE67" s="90" t="s">
        <v>195</v>
      </c>
      <c r="AF67" s="69" t="s">
        <v>171</v>
      </c>
      <c r="AG67" s="90" t="s">
        <v>195</v>
      </c>
      <c r="AH67" s="68" t="s">
        <v>167</v>
      </c>
      <c r="AI67" s="68" t="s">
        <v>167</v>
      </c>
      <c r="AJ67" s="69" t="s">
        <v>171</v>
      </c>
      <c r="AK67" s="76" t="str">
        <f t="array" ref="AK67">INDEX(Factions!C:C, MATCH(E67, Factions!B:B, 0))</f>
        <v>#ffb380</v>
      </c>
      <c r="AL67" s="6" t="str">
        <f t="array" ref="AL67">INDEX(Factions!D:D, MATCH(E67, Factions!B:B, 0))</f>
        <v>#733d00</v>
      </c>
      <c r="AM67" s="6" t="str">
        <f t="array" ref="AM67">INDEX(Factions!E:E, MATCH(E67, Factions!B:B, 0))</f>
        <v>#000000</v>
      </c>
      <c r="AN67" s="76" t="str">
        <f t="array" ref="AN67">INDEX(Factions!F:F, MATCH(E67, Factions!B:B, 0))</f>
        <v>#ffffff</v>
      </c>
      <c r="AO67" s="76" t="str">
        <f t="array" ref="AO67">concat(INDEX(Factions!G:G, MATCH(E67, Factions!B:B, 0)),".png")</f>
        <v>rats.png</v>
      </c>
      <c r="AP67" s="76">
        <f>IFERROR(__xludf.DUMMYFUNCTION("MIN(FILTER(M67:M1098, F67:F1098=F67))"),2.0)</f>
        <v>2</v>
      </c>
      <c r="AQ67" s="76">
        <f t="shared" si="2"/>
        <v>9</v>
      </c>
      <c r="AR67" s="86">
        <f>IFERROR(__xludf.DUMMYFUNCTION("IF(and(REGEXMATCH(S67,""Vengence""),not(REGEXMATCH(S67, ""Protective Markings""))),AQ67,AQ67 * 6 / iferror(R67-1,6))"),10.8)</f>
        <v>10.8</v>
      </c>
      <c r="AS67" s="88">
        <f t="shared" si="3"/>
        <v>1</v>
      </c>
      <c r="AT67" s="89">
        <f t="shared" si="4"/>
        <v>9</v>
      </c>
      <c r="AU67" s="86">
        <f>IFERROR(__xludf.DUMMYFUNCTION("IF(REGEXMATCH(S67,""&lt;b&gt;Poison&lt;/b&gt;""),1+((1/(7-N67))/3),1)"),1.0)</f>
        <v>1</v>
      </c>
      <c r="AV67" s="86">
        <f>IFERROR(__xludf.DUMMYFUNCTION("IF(REGEXMATCH(S67,""Vengence""),(7 - R67) / 3,0)"),0.0)</f>
        <v>0</v>
      </c>
      <c r="AW67" s="86">
        <f t="shared" si="5"/>
        <v>3</v>
      </c>
      <c r="AX67" s="84">
        <f t="shared" si="6"/>
        <v>15.3</v>
      </c>
      <c r="AY67" s="76" t="b">
        <f>IFERROR(__xludf.DUMMYFUNCTION("if(regexmatch(G67,""Mage|War Machine""),true,false)"),FALSE)</f>
        <v>0</v>
      </c>
    </row>
    <row r="68" ht="22.5" hidden="1" customHeight="1">
      <c r="A68" s="44" t="s">
        <v>874</v>
      </c>
      <c r="B68" s="44" t="s">
        <v>875</v>
      </c>
      <c r="C68" s="44" t="str">
        <f t="shared" si="1"/>
        <v>Ratkin Ninjas</v>
      </c>
      <c r="D68" s="44" t="b">
        <v>1</v>
      </c>
      <c r="E68" s="57" t="s">
        <v>203</v>
      </c>
      <c r="F68" s="44" t="s">
        <v>876</v>
      </c>
      <c r="G68" s="57" t="s">
        <v>146</v>
      </c>
      <c r="H68" s="60" t="s">
        <v>147</v>
      </c>
      <c r="I68" s="64">
        <v>2.0</v>
      </c>
      <c r="J68" s="62"/>
      <c r="K68" s="62"/>
      <c r="L68" s="62">
        <v>9.0</v>
      </c>
      <c r="M68" s="62">
        <v>2.0</v>
      </c>
      <c r="N68" s="62">
        <v>4.0</v>
      </c>
      <c r="O68" s="64">
        <v>5.0</v>
      </c>
      <c r="P68" s="66" t="s">
        <v>150</v>
      </c>
      <c r="Q68" s="62">
        <v>1.0</v>
      </c>
      <c r="R68" s="66" t="s">
        <v>147</v>
      </c>
      <c r="S68" s="67" t="s">
        <v>877</v>
      </c>
      <c r="T68" s="6">
        <v>6.0</v>
      </c>
      <c r="U68" s="76"/>
      <c r="V68" s="76"/>
      <c r="W68" s="76"/>
      <c r="X68" s="76"/>
      <c r="Y68" s="76"/>
      <c r="Z68" s="76"/>
      <c r="AA68" s="76"/>
      <c r="AB68" s="6">
        <v>2.0</v>
      </c>
      <c r="AC68" s="76"/>
      <c r="AD68" s="6">
        <v>2.0</v>
      </c>
      <c r="AE68" s="90" t="s">
        <v>195</v>
      </c>
      <c r="AF68" s="68" t="s">
        <v>167</v>
      </c>
      <c r="AG68" s="68" t="s">
        <v>167</v>
      </c>
      <c r="AH68" s="68" t="s">
        <v>167</v>
      </c>
      <c r="AI68" s="68" t="s">
        <v>167</v>
      </c>
      <c r="AJ68" s="69" t="s">
        <v>171</v>
      </c>
      <c r="AK68" s="76" t="str">
        <f t="array" ref="AK68">INDEX(Factions!C:C, MATCH(E68, Factions!B:B, 0))</f>
        <v>#ffb380</v>
      </c>
      <c r="AL68" s="6" t="str">
        <f t="array" ref="AL68">INDEX(Factions!D:D, MATCH(E68, Factions!B:B, 0))</f>
        <v>#733d00</v>
      </c>
      <c r="AM68" s="6" t="str">
        <f t="array" ref="AM68">INDEX(Factions!E:E, MATCH(E68, Factions!B:B, 0))</f>
        <v>#000000</v>
      </c>
      <c r="AN68" s="76" t="str">
        <f t="array" ref="AN68">INDEX(Factions!F:F, MATCH(E68, Factions!B:B, 0))</f>
        <v>#ffffff</v>
      </c>
      <c r="AO68" s="76" t="str">
        <f t="array" ref="AO68">concat(INDEX(Factions!G:G, MATCH(E68, Factions!B:B, 0)),".png")</f>
        <v>rats.png</v>
      </c>
      <c r="AP68" s="84">
        <f>IFERROR(__xludf.DUMMYFUNCTION("MIN(FILTER(M68:M1098, F68:F1098=F68))"),1.0)</f>
        <v>1</v>
      </c>
      <c r="AQ68" s="76">
        <f t="shared" si="2"/>
        <v>9</v>
      </c>
      <c r="AR68" s="86">
        <f>IFERROR(__xludf.DUMMYFUNCTION("IF(and(REGEXMATCH(S68,""Vengence""),not(REGEXMATCH(S68, ""Protective Markings""))),AQ68,AQ68 * 6 / iferror(R68-1,6))"),9.0)</f>
        <v>9</v>
      </c>
      <c r="AS68" s="88">
        <f t="shared" si="3"/>
        <v>1</v>
      </c>
      <c r="AT68" s="89">
        <f t="shared" si="4"/>
        <v>9</v>
      </c>
      <c r="AU68" s="86">
        <f>IFERROR(__xludf.DUMMYFUNCTION("IF(REGEXMATCH(S68,""&lt;b&gt;Poison&lt;/b&gt;""),1+((1/(7-N68))/3),1)"),1.0)</f>
        <v>1</v>
      </c>
      <c r="AV68" s="86">
        <f>IFERROR(__xludf.DUMMYFUNCTION("IF(REGEXMATCH(S68,""Vengence""),(7 - R68) / 3,0)"),0.0)</f>
        <v>0</v>
      </c>
      <c r="AW68" s="86">
        <f t="shared" si="5"/>
        <v>4.5</v>
      </c>
      <c r="AX68" s="84">
        <f t="shared" si="6"/>
        <v>15.75</v>
      </c>
      <c r="AY68" s="76" t="b">
        <f>IFERROR(__xludf.DUMMYFUNCTION("if(regexmatch(G68,""Mage|War Machine""),true,false)"),FALSE)</f>
        <v>0</v>
      </c>
    </row>
    <row r="69" ht="22.5" hidden="1" customHeight="1">
      <c r="A69" s="44" t="s">
        <v>878</v>
      </c>
      <c r="B69" s="44" t="s">
        <v>879</v>
      </c>
      <c r="C69" s="44" t="str">
        <f t="shared" si="1"/>
        <v>Ratkin Heavies</v>
      </c>
      <c r="D69" s="44" t="b">
        <v>1</v>
      </c>
      <c r="E69" s="57" t="s">
        <v>203</v>
      </c>
      <c r="F69" s="44" t="s">
        <v>876</v>
      </c>
      <c r="G69" s="57" t="s">
        <v>144</v>
      </c>
      <c r="H69" s="60">
        <v>6.0</v>
      </c>
      <c r="I69" s="64">
        <v>2.0</v>
      </c>
      <c r="J69" s="62"/>
      <c r="K69" s="62"/>
      <c r="L69" s="62">
        <v>9.0</v>
      </c>
      <c r="M69" s="62">
        <v>1.0</v>
      </c>
      <c r="N69" s="62">
        <v>5.0</v>
      </c>
      <c r="O69" s="64">
        <v>6.0</v>
      </c>
      <c r="P69" s="66" t="s">
        <v>150</v>
      </c>
      <c r="Q69" s="62">
        <v>1.0</v>
      </c>
      <c r="R69" s="66" t="s">
        <v>194</v>
      </c>
      <c r="S69" s="67" t="s">
        <v>880</v>
      </c>
      <c r="T69" s="6">
        <v>7.0</v>
      </c>
      <c r="U69" s="6"/>
      <c r="V69" s="6"/>
      <c r="W69" s="6"/>
      <c r="X69" s="6"/>
      <c r="Y69" s="6">
        <v>2.0</v>
      </c>
      <c r="Z69" s="6">
        <v>2.0</v>
      </c>
      <c r="AA69" s="6">
        <v>2.0</v>
      </c>
      <c r="AB69" s="6">
        <v>2.0</v>
      </c>
      <c r="AC69" s="6">
        <v>2.0</v>
      </c>
      <c r="AD69" s="6">
        <v>1.0</v>
      </c>
      <c r="AE69" s="68" t="s">
        <v>167</v>
      </c>
      <c r="AF69" s="69" t="s">
        <v>171</v>
      </c>
      <c r="AG69" s="68" t="s">
        <v>167</v>
      </c>
      <c r="AH69" s="68" t="s">
        <v>167</v>
      </c>
      <c r="AI69" s="68" t="s">
        <v>167</v>
      </c>
      <c r="AJ69" s="90" t="s">
        <v>195</v>
      </c>
      <c r="AK69" s="76" t="str">
        <f t="array" ref="AK69">INDEX(Factions!C:C, MATCH(E69, Factions!B:B, 0))</f>
        <v>#ffb380</v>
      </c>
      <c r="AL69" s="6" t="str">
        <f t="array" ref="AL69">INDEX(Factions!D:D, MATCH(E69, Factions!B:B, 0))</f>
        <v>#733d00</v>
      </c>
      <c r="AM69" s="6" t="str">
        <f t="array" ref="AM69">INDEX(Factions!E:E, MATCH(E69, Factions!B:B, 0))</f>
        <v>#000000</v>
      </c>
      <c r="AN69" s="76" t="str">
        <f t="array" ref="AN69">INDEX(Factions!F:F, MATCH(E69, Factions!B:B, 0))</f>
        <v>#ffffff</v>
      </c>
      <c r="AO69" s="76" t="str">
        <f t="array" ref="AO69">concat(INDEX(Factions!G:G, MATCH(E69, Factions!B:B, 0)),".png")</f>
        <v>rats.png</v>
      </c>
      <c r="AP69" s="84">
        <f>IFERROR(__xludf.DUMMYFUNCTION("MIN(FILTER(M69:M1098, F69:F1098=F69))"),1.0)</f>
        <v>1</v>
      </c>
      <c r="AQ69" s="76">
        <f t="shared" si="2"/>
        <v>9</v>
      </c>
      <c r="AR69" s="86">
        <f>IFERROR(__xludf.DUMMYFUNCTION("IF(and(REGEXMATCH(S69,""Vengence""),not(REGEXMATCH(S69, ""Protective Markings""))),AQ69,AQ69 * 6 / iferror(R69-1,6))"),18.0)</f>
        <v>18</v>
      </c>
      <c r="AS69" s="88">
        <f t="shared" si="3"/>
        <v>1</v>
      </c>
      <c r="AT69" s="89">
        <f t="shared" si="4"/>
        <v>9</v>
      </c>
      <c r="AU69" s="86">
        <f>IFERROR(__xludf.DUMMYFUNCTION("IF(REGEXMATCH(S69,""&lt;b&gt;Poison&lt;/b&gt;""),1+((1/(7-N69))/3),1)"),1.0)</f>
        <v>1</v>
      </c>
      <c r="AV69" s="86">
        <f>IFERROR(__xludf.DUMMYFUNCTION("IF(REGEXMATCH(S69,""Vengence""),(7 - R69) / 3,0)"),0.0)</f>
        <v>0</v>
      </c>
      <c r="AW69" s="86">
        <f t="shared" si="5"/>
        <v>3</v>
      </c>
      <c r="AX69" s="84">
        <f t="shared" si="6"/>
        <v>22.5</v>
      </c>
      <c r="AY69" s="76" t="b">
        <f>IFERROR(__xludf.DUMMYFUNCTION("if(regexmatch(G69,""Mage|War Machine""),true,false)"),FALSE)</f>
        <v>0</v>
      </c>
    </row>
    <row r="70" ht="22.5" hidden="1" customHeight="1">
      <c r="A70" s="44" t="s">
        <v>881</v>
      </c>
      <c r="B70" s="6" t="s">
        <v>882</v>
      </c>
      <c r="C70" s="6" t="str">
        <f t="shared" si="1"/>
        <v>Ratkin Thiefwagon</v>
      </c>
      <c r="D70" s="6" t="b">
        <v>1</v>
      </c>
      <c r="E70" s="201" t="s">
        <v>203</v>
      </c>
      <c r="F70" s="6" t="s">
        <v>883</v>
      </c>
      <c r="G70" s="5" t="s">
        <v>151</v>
      </c>
      <c r="H70" s="60">
        <v>6.0</v>
      </c>
      <c r="I70" s="135">
        <v>2.0</v>
      </c>
      <c r="J70" s="135"/>
      <c r="K70" s="135"/>
      <c r="L70" s="135">
        <v>1.0</v>
      </c>
      <c r="M70" s="135">
        <v>2.0</v>
      </c>
      <c r="N70" s="135">
        <v>5.0</v>
      </c>
      <c r="O70" s="60">
        <v>5.0</v>
      </c>
      <c r="P70" s="136" t="s">
        <v>217</v>
      </c>
      <c r="Q70" s="135">
        <v>5.0</v>
      </c>
      <c r="R70" s="136" t="s">
        <v>153</v>
      </c>
      <c r="S70" s="144" t="s">
        <v>884</v>
      </c>
      <c r="T70" s="6">
        <v>4.0</v>
      </c>
      <c r="U70" s="76"/>
      <c r="V70" s="76"/>
      <c r="W70" s="76"/>
      <c r="X70" s="76"/>
      <c r="Y70" s="76"/>
      <c r="Z70" s="76"/>
      <c r="AA70" s="76"/>
      <c r="AB70" s="76"/>
      <c r="AC70" s="76"/>
      <c r="AD70" s="76"/>
      <c r="AE70" s="90" t="s">
        <v>195</v>
      </c>
      <c r="AF70" s="69" t="s">
        <v>171</v>
      </c>
      <c r="AG70" s="68" t="s">
        <v>167</v>
      </c>
      <c r="AH70" s="90" t="s">
        <v>195</v>
      </c>
      <c r="AI70" s="90" t="s">
        <v>195</v>
      </c>
      <c r="AJ70" s="68" t="s">
        <v>167</v>
      </c>
      <c r="AK70" s="76" t="str">
        <f t="array" ref="AK70">INDEX(Factions!C:C, MATCH(E70, Factions!B:B, 0))</f>
        <v>#ffb380</v>
      </c>
      <c r="AL70" s="6" t="str">
        <f t="array" ref="AL70">INDEX(Factions!D:D, MATCH(E70, Factions!B:B, 0))</f>
        <v>#733d00</v>
      </c>
      <c r="AM70" s="6" t="str">
        <f t="array" ref="AM70">INDEX(Factions!E:E, MATCH(E70, Factions!B:B, 0))</f>
        <v>#000000</v>
      </c>
      <c r="AN70" s="76" t="str">
        <f t="array" ref="AN70">INDEX(Factions!F:F, MATCH(E70, Factions!B:B, 0))</f>
        <v>#ffffff</v>
      </c>
      <c r="AO70" s="76" t="str">
        <f t="array" ref="AO70">concat(INDEX(Factions!G:G, MATCH(E70, Factions!B:B, 0)),".png")</f>
        <v>rats.png</v>
      </c>
      <c r="AP70" s="84">
        <f>IFERROR(__xludf.DUMMYFUNCTION("MIN(FILTER(M70:M1098, F70:F1098=F70))"),2.0)</f>
        <v>2</v>
      </c>
      <c r="AQ70" s="76">
        <f t="shared" si="2"/>
        <v>5</v>
      </c>
      <c r="AR70" s="86">
        <f>IFERROR(__xludf.DUMMYFUNCTION("IF(and(REGEXMATCH(S70,""Vengence""),not(REGEXMATCH(S70, ""Protective Markings""))),AQ70,AQ70 * 6 / iferror(R70-1,6))"),7.5)</f>
        <v>7.5</v>
      </c>
      <c r="AS70" s="88">
        <f t="shared" si="3"/>
        <v>6</v>
      </c>
      <c r="AT70" s="89">
        <f t="shared" si="4"/>
        <v>6</v>
      </c>
      <c r="AU70" s="86">
        <f>IFERROR(__xludf.DUMMYFUNCTION("IF(REGEXMATCH(S70,""&lt;b&gt;Poison&lt;/b&gt;""),1+((1/(7-N70))/3),1)"),1.0)</f>
        <v>1</v>
      </c>
      <c r="AV70" s="86">
        <f>IFERROR(__xludf.DUMMYFUNCTION("IF(REGEXMATCH(S70,""Vengence""),(7 - R70) / 3,0)"),0.0)</f>
        <v>0</v>
      </c>
      <c r="AW70" s="86">
        <f t="shared" si="5"/>
        <v>2</v>
      </c>
      <c r="AX70" s="84">
        <f t="shared" si="6"/>
        <v>10.5</v>
      </c>
      <c r="AY70" s="76" t="b">
        <f>IFERROR(__xludf.DUMMYFUNCTION("if(regexmatch(G70,""Mage|War Machine""),true,false)"),FALSE)</f>
        <v>0</v>
      </c>
    </row>
    <row r="71" ht="22.5" hidden="1" customHeight="1">
      <c r="A71" s="44" t="s">
        <v>885</v>
      </c>
      <c r="B71" s="44" t="s">
        <v>886</v>
      </c>
      <c r="C71" s="44" t="str">
        <f t="shared" si="1"/>
        <v>Ratkin Battering-Rat</v>
      </c>
      <c r="D71" s="44" t="b">
        <v>1</v>
      </c>
      <c r="E71" s="57" t="s">
        <v>203</v>
      </c>
      <c r="F71" s="44" t="s">
        <v>883</v>
      </c>
      <c r="G71" s="57" t="s">
        <v>151</v>
      </c>
      <c r="H71" s="60">
        <v>6.0</v>
      </c>
      <c r="I71" s="64">
        <v>2.0</v>
      </c>
      <c r="J71" s="62"/>
      <c r="K71" s="62"/>
      <c r="L71" s="62">
        <v>1.0</v>
      </c>
      <c r="M71" s="62">
        <v>2.0</v>
      </c>
      <c r="N71" s="62">
        <v>5.0</v>
      </c>
      <c r="O71" s="64" t="s">
        <v>147</v>
      </c>
      <c r="P71" s="66" t="s">
        <v>217</v>
      </c>
      <c r="Q71" s="62">
        <v>4.0</v>
      </c>
      <c r="R71" s="64" t="s">
        <v>153</v>
      </c>
      <c r="S71" s="67" t="s">
        <v>887</v>
      </c>
      <c r="T71" s="6">
        <v>3.0</v>
      </c>
      <c r="U71" s="76"/>
      <c r="V71" s="76"/>
      <c r="W71" s="76"/>
      <c r="X71" s="76"/>
      <c r="Y71" s="76"/>
      <c r="Z71" s="76"/>
      <c r="AA71" s="76"/>
      <c r="AB71" s="76"/>
      <c r="AC71" s="76"/>
      <c r="AD71" s="76"/>
      <c r="AE71" s="90" t="s">
        <v>195</v>
      </c>
      <c r="AF71" s="69" t="s">
        <v>171</v>
      </c>
      <c r="AG71" s="68" t="s">
        <v>167</v>
      </c>
      <c r="AH71" s="90" t="s">
        <v>195</v>
      </c>
      <c r="AI71" s="68" t="s">
        <v>167</v>
      </c>
      <c r="AJ71" s="68" t="s">
        <v>167</v>
      </c>
      <c r="AK71" s="76" t="str">
        <f t="array" ref="AK71">INDEX(Factions!C:C, MATCH(E71, Factions!B:B, 0))</f>
        <v>#ffb380</v>
      </c>
      <c r="AL71" s="6" t="str">
        <f t="array" ref="AL71">INDEX(Factions!D:D, MATCH(E71, Factions!B:B, 0))</f>
        <v>#733d00</v>
      </c>
      <c r="AM71" s="6" t="str">
        <f t="array" ref="AM71">INDEX(Factions!E:E, MATCH(E71, Factions!B:B, 0))</f>
        <v>#000000</v>
      </c>
      <c r="AN71" s="76" t="str">
        <f t="array" ref="AN71">INDEX(Factions!F:F, MATCH(E71, Factions!B:B, 0))</f>
        <v>#ffffff</v>
      </c>
      <c r="AO71" s="76" t="str">
        <f t="array" ref="AO71">concat(INDEX(Factions!G:G, MATCH(E71, Factions!B:B, 0)),".png")</f>
        <v>rats.png</v>
      </c>
      <c r="AP71" s="84">
        <f>IFERROR(__xludf.DUMMYFUNCTION("MIN(FILTER(M71:M1098, F71:F1098=F71))"),2.0)</f>
        <v>2</v>
      </c>
      <c r="AQ71" s="76">
        <f t="shared" si="2"/>
        <v>4</v>
      </c>
      <c r="AR71" s="86">
        <f>IFERROR(__xludf.DUMMYFUNCTION("IF(and(REGEXMATCH(S71,""Vengence""),not(REGEXMATCH(S71, ""Protective Markings""))),AQ71,AQ71 * 6 / iferror(R71-1,6))"),6.0)</f>
        <v>6</v>
      </c>
      <c r="AS71" s="88">
        <f t="shared" si="3"/>
        <v>6</v>
      </c>
      <c r="AT71" s="89">
        <f t="shared" si="4"/>
        <v>6</v>
      </c>
      <c r="AU71" s="86">
        <f>IFERROR(__xludf.DUMMYFUNCTION("IF(REGEXMATCH(S71,""&lt;b&gt;Poison&lt;/b&gt;""),1+((1/(7-N71))/3),1)"),1.0)</f>
        <v>1</v>
      </c>
      <c r="AV71" s="86">
        <f>IFERROR(__xludf.DUMMYFUNCTION("IF(REGEXMATCH(S71,""Vengence""),(7 - R71) / 3,0)"),0.0)</f>
        <v>0</v>
      </c>
      <c r="AW71" s="86">
        <f t="shared" si="5"/>
        <v>2</v>
      </c>
      <c r="AX71" s="84">
        <f t="shared" si="6"/>
        <v>9</v>
      </c>
      <c r="AY71" s="76" t="b">
        <f>IFERROR(__xludf.DUMMYFUNCTION("if(regexmatch(G71,""Mage|War Machine""),true,false)"),FALSE)</f>
        <v>0</v>
      </c>
    </row>
    <row r="72" ht="22.5" hidden="1" customHeight="1">
      <c r="A72" s="44" t="s">
        <v>888</v>
      </c>
      <c r="B72" s="6" t="s">
        <v>889</v>
      </c>
      <c r="C72" s="6" t="str">
        <f t="shared" si="1"/>
        <v>Ratkin Fearaltar</v>
      </c>
      <c r="D72" s="6" t="b">
        <v>1</v>
      </c>
      <c r="E72" s="201" t="s">
        <v>203</v>
      </c>
      <c r="F72" s="44" t="s">
        <v>890</v>
      </c>
      <c r="G72" s="57" t="s">
        <v>158</v>
      </c>
      <c r="H72" s="60">
        <v>5.0</v>
      </c>
      <c r="I72" s="135">
        <v>2.0</v>
      </c>
      <c r="J72" s="135"/>
      <c r="K72" s="135"/>
      <c r="L72" s="135">
        <v>1.0</v>
      </c>
      <c r="M72" s="135">
        <v>1.0</v>
      </c>
      <c r="N72" s="135">
        <v>4.0</v>
      </c>
      <c r="O72" s="60" t="s">
        <v>147</v>
      </c>
      <c r="P72" s="136" t="s">
        <v>153</v>
      </c>
      <c r="Q72" s="62">
        <v>3.0</v>
      </c>
      <c r="R72" s="66" t="s">
        <v>153</v>
      </c>
      <c r="S72" s="144" t="s">
        <v>891</v>
      </c>
      <c r="T72" s="6">
        <v>0.0</v>
      </c>
      <c r="U72" s="6"/>
      <c r="V72" s="6"/>
      <c r="W72" s="6">
        <v>2.0</v>
      </c>
      <c r="X72" s="76"/>
      <c r="Y72" s="76"/>
      <c r="Z72" s="76"/>
      <c r="AA72" s="76"/>
      <c r="AB72" s="6">
        <v>2.0</v>
      </c>
      <c r="AC72" s="76"/>
      <c r="AD72" s="76"/>
      <c r="AE72" s="68" t="s">
        <v>167</v>
      </c>
      <c r="AF72" s="68" t="s">
        <v>167</v>
      </c>
      <c r="AG72" s="68" t="s">
        <v>167</v>
      </c>
      <c r="AH72" s="90" t="s">
        <v>195</v>
      </c>
      <c r="AI72" s="68" t="s">
        <v>167</v>
      </c>
      <c r="AJ72" s="68" t="s">
        <v>167</v>
      </c>
      <c r="AK72" s="76" t="str">
        <f t="array" ref="AK72">INDEX(Factions!C:C, MATCH(E72, Factions!B:B, 0))</f>
        <v>#ffb380</v>
      </c>
      <c r="AL72" s="6" t="str">
        <f t="array" ref="AL72">INDEX(Factions!D:D, MATCH(E72, Factions!B:B, 0))</f>
        <v>#733d00</v>
      </c>
      <c r="AM72" s="6" t="str">
        <f t="array" ref="AM72">INDEX(Factions!E:E, MATCH(E72, Factions!B:B, 0))</f>
        <v>#000000</v>
      </c>
      <c r="AN72" s="76" t="str">
        <f t="array" ref="AN72">INDEX(Factions!F:F, MATCH(E72, Factions!B:B, 0))</f>
        <v>#ffffff</v>
      </c>
      <c r="AO72" s="76" t="str">
        <f t="array" ref="AO72">concat(INDEX(Factions!G:G, MATCH(E72, Factions!B:B, 0)),".png")</f>
        <v>rats.png</v>
      </c>
      <c r="AP72" s="84">
        <f>IFERROR(__xludf.DUMMYFUNCTION("MIN(FILTER(M72:M1098, F72:F1098=F72))"),1.0)</f>
        <v>1</v>
      </c>
      <c r="AQ72" s="76">
        <f t="shared" si="2"/>
        <v>3</v>
      </c>
      <c r="AR72" s="86">
        <f>IFERROR(__xludf.DUMMYFUNCTION("IF(and(REGEXMATCH(S72,""Vengence""),not(REGEXMATCH(S72, ""Protective Markings""))),AQ72,AQ72 * 6 / iferror(R72-1,6))"),4.5)</f>
        <v>4.5</v>
      </c>
      <c r="AS72" s="88">
        <f t="shared" si="3"/>
        <v>5</v>
      </c>
      <c r="AT72" s="89">
        <f t="shared" si="4"/>
        <v>5</v>
      </c>
      <c r="AU72" s="86">
        <f>IFERROR(__xludf.DUMMYFUNCTION("IF(REGEXMATCH(S72,""&lt;b&gt;Poison&lt;/b&gt;""),1+((1/(7-N72))/3),1)"),1.0)</f>
        <v>1</v>
      </c>
      <c r="AV72" s="86">
        <f>IFERROR(__xludf.DUMMYFUNCTION("IF(REGEXMATCH(S72,""Vengence""),(7 - R72) / 3,0)"),0.0)</f>
        <v>0</v>
      </c>
      <c r="AW72" s="86">
        <f t="shared" si="5"/>
        <v>2.5</v>
      </c>
      <c r="AX72" s="84">
        <f t="shared" si="6"/>
        <v>8.25</v>
      </c>
      <c r="AY72" s="76" t="b">
        <f>IFERROR(__xludf.DUMMYFUNCTION("if(regexmatch(G72,""Mage|War Machine""),true,false)"),TRUE)</f>
        <v>1</v>
      </c>
    </row>
    <row r="73" ht="22.5" hidden="1" customHeight="1">
      <c r="A73" s="44" t="s">
        <v>892</v>
      </c>
      <c r="B73" s="44" t="s">
        <v>893</v>
      </c>
      <c r="C73" s="44" t="str">
        <f t="shared" si="1"/>
        <v>Ratkin Swarmaltar</v>
      </c>
      <c r="D73" s="44" t="b">
        <v>1</v>
      </c>
      <c r="E73" s="57" t="s">
        <v>203</v>
      </c>
      <c r="F73" s="44" t="s">
        <v>890</v>
      </c>
      <c r="G73" s="57" t="s">
        <v>158</v>
      </c>
      <c r="H73" s="60">
        <v>5.0</v>
      </c>
      <c r="I73" s="64">
        <v>2.0</v>
      </c>
      <c r="J73" s="62"/>
      <c r="K73" s="62"/>
      <c r="L73" s="62">
        <v>1.0</v>
      </c>
      <c r="M73" s="62">
        <v>1.0</v>
      </c>
      <c r="N73" s="62">
        <v>5.0</v>
      </c>
      <c r="O73" s="64" t="s">
        <v>147</v>
      </c>
      <c r="P73" s="66" t="s">
        <v>194</v>
      </c>
      <c r="Q73" s="62">
        <v>3.0</v>
      </c>
      <c r="R73" s="66" t="s">
        <v>153</v>
      </c>
      <c r="S73" s="67" t="s">
        <v>894</v>
      </c>
      <c r="T73" s="6">
        <v>0.0</v>
      </c>
      <c r="U73" s="6"/>
      <c r="V73" s="6"/>
      <c r="W73" s="6">
        <v>2.0</v>
      </c>
      <c r="X73" s="76"/>
      <c r="Y73" s="76"/>
      <c r="Z73" s="76"/>
      <c r="AA73" s="76"/>
      <c r="AB73" s="6">
        <v>2.0</v>
      </c>
      <c r="AC73" s="76"/>
      <c r="AD73" s="76"/>
      <c r="AE73" s="68" t="s">
        <v>167</v>
      </c>
      <c r="AF73" s="68" t="s">
        <v>167</v>
      </c>
      <c r="AG73" s="68" t="s">
        <v>167</v>
      </c>
      <c r="AH73" s="68" t="s">
        <v>167</v>
      </c>
      <c r="AI73" s="68" t="s">
        <v>167</v>
      </c>
      <c r="AJ73" s="68" t="s">
        <v>167</v>
      </c>
      <c r="AK73" s="76" t="str">
        <f t="array" ref="AK73">INDEX(Factions!C:C, MATCH(E73, Factions!B:B, 0))</f>
        <v>#ffb380</v>
      </c>
      <c r="AL73" s="6" t="str">
        <f t="array" ref="AL73">INDEX(Factions!D:D, MATCH(E73, Factions!B:B, 0))</f>
        <v>#733d00</v>
      </c>
      <c r="AM73" s="6" t="str">
        <f t="array" ref="AM73">INDEX(Factions!E:E, MATCH(E73, Factions!B:B, 0))</f>
        <v>#000000</v>
      </c>
      <c r="AN73" s="76" t="str">
        <f t="array" ref="AN73">INDEX(Factions!F:F, MATCH(E73, Factions!B:B, 0))</f>
        <v>#ffffff</v>
      </c>
      <c r="AO73" s="76" t="str">
        <f t="array" ref="AO73">concat(INDEX(Factions!G:G, MATCH(E73, Factions!B:B, 0)),".png")</f>
        <v>rats.png</v>
      </c>
      <c r="AP73" s="84">
        <f>IFERROR(__xludf.DUMMYFUNCTION("MIN(FILTER(M73:M1098, F73:F1098=F73))"),1.0)</f>
        <v>1</v>
      </c>
      <c r="AQ73" s="76">
        <f t="shared" si="2"/>
        <v>3</v>
      </c>
      <c r="AR73" s="86">
        <f>IFERROR(__xludf.DUMMYFUNCTION("IF(and(REGEXMATCH(S73,""Vengence""),not(REGEXMATCH(S73, ""Protective Markings""))),AQ73,AQ73 * 6 / iferror(R73-1,6))"),4.5)</f>
        <v>4.5</v>
      </c>
      <c r="AS73" s="88">
        <f t="shared" si="3"/>
        <v>4</v>
      </c>
      <c r="AT73" s="89">
        <f t="shared" si="4"/>
        <v>4</v>
      </c>
      <c r="AU73" s="86">
        <f>IFERROR(__xludf.DUMMYFUNCTION("IF(REGEXMATCH(S73,""&lt;b&gt;Poison&lt;/b&gt;""),1+((1/(7-N73))/3),1)"),1.0)</f>
        <v>1</v>
      </c>
      <c r="AV73" s="86">
        <f>IFERROR(__xludf.DUMMYFUNCTION("IF(REGEXMATCH(S73,""Vengence""),(7 - R73) / 3,0)"),0.0)</f>
        <v>0</v>
      </c>
      <c r="AW73" s="86">
        <f t="shared" si="5"/>
        <v>1.333333333</v>
      </c>
      <c r="AX73" s="84">
        <f t="shared" si="6"/>
        <v>6.5</v>
      </c>
      <c r="AY73" s="76" t="b">
        <f>IFERROR(__xludf.DUMMYFUNCTION("if(regexmatch(G73,""Mage|War Machine""),true,false)"),TRUE)</f>
        <v>1</v>
      </c>
    </row>
    <row r="74" ht="22.5" hidden="1" customHeight="1">
      <c r="A74" s="44" t="s">
        <v>895</v>
      </c>
      <c r="B74" s="44" t="s">
        <v>896</v>
      </c>
      <c r="C74" s="44" t="str">
        <f t="shared" si="1"/>
        <v>Ratkin Feastaltar</v>
      </c>
      <c r="D74" s="44" t="b">
        <v>1</v>
      </c>
      <c r="E74" s="57" t="s">
        <v>203</v>
      </c>
      <c r="F74" s="44" t="s">
        <v>890</v>
      </c>
      <c r="G74" s="57" t="s">
        <v>158</v>
      </c>
      <c r="H74" s="60">
        <v>5.0</v>
      </c>
      <c r="I74" s="64">
        <v>2.0</v>
      </c>
      <c r="J74" s="62"/>
      <c r="K74" s="62"/>
      <c r="L74" s="62">
        <v>1.0</v>
      </c>
      <c r="M74" s="62">
        <v>1.0</v>
      </c>
      <c r="N74" s="62">
        <v>5.0</v>
      </c>
      <c r="O74" s="64" t="s">
        <v>147</v>
      </c>
      <c r="P74" s="66" t="s">
        <v>153</v>
      </c>
      <c r="Q74" s="62">
        <v>3.0</v>
      </c>
      <c r="R74" s="66" t="s">
        <v>153</v>
      </c>
      <c r="S74" s="67" t="s">
        <v>897</v>
      </c>
      <c r="T74" s="6">
        <v>0.0</v>
      </c>
      <c r="U74" s="6"/>
      <c r="V74" s="6"/>
      <c r="W74" s="6">
        <v>2.0</v>
      </c>
      <c r="X74" s="76"/>
      <c r="Y74" s="76"/>
      <c r="Z74" s="76"/>
      <c r="AA74" s="76"/>
      <c r="AB74" s="6">
        <v>2.0</v>
      </c>
      <c r="AC74" s="76"/>
      <c r="AD74" s="76"/>
      <c r="AE74" s="68" t="s">
        <v>167</v>
      </c>
      <c r="AF74" s="68" t="s">
        <v>167</v>
      </c>
      <c r="AG74" s="68" t="s">
        <v>167</v>
      </c>
      <c r="AH74" s="90" t="s">
        <v>195</v>
      </c>
      <c r="AI74" s="68" t="s">
        <v>167</v>
      </c>
      <c r="AJ74" s="68" t="s">
        <v>167</v>
      </c>
      <c r="AK74" s="76" t="str">
        <f t="array" ref="AK74">INDEX(Factions!C:C, MATCH(E74, Factions!B:B, 0))</f>
        <v>#ffb380</v>
      </c>
      <c r="AL74" s="6" t="str">
        <f t="array" ref="AL74">INDEX(Factions!D:D, MATCH(E74, Factions!B:B, 0))</f>
        <v>#733d00</v>
      </c>
      <c r="AM74" s="6" t="str">
        <f t="array" ref="AM74">INDEX(Factions!E:E, MATCH(E74, Factions!B:B, 0))</f>
        <v>#000000</v>
      </c>
      <c r="AN74" s="76" t="str">
        <f t="array" ref="AN74">INDEX(Factions!F:F, MATCH(E74, Factions!B:B, 0))</f>
        <v>#ffffff</v>
      </c>
      <c r="AO74" s="76" t="str">
        <f t="array" ref="AO74">concat(INDEX(Factions!G:G, MATCH(E74, Factions!B:B, 0)),".png")</f>
        <v>rats.png</v>
      </c>
      <c r="AP74" s="84">
        <f>IFERROR(__xludf.DUMMYFUNCTION("MIN(FILTER(M74:M1098, F74:F1098=F74))"),1.0)</f>
        <v>1</v>
      </c>
      <c r="AQ74" s="76">
        <f t="shared" si="2"/>
        <v>3</v>
      </c>
      <c r="AR74" s="86">
        <f>IFERROR(__xludf.DUMMYFUNCTION("IF(and(REGEXMATCH(S74,""Vengence""),not(REGEXMATCH(S74, ""Protective Markings""))),AQ74,AQ74 * 6 / iferror(R74-1,6))"),4.5)</f>
        <v>4.5</v>
      </c>
      <c r="AS74" s="88">
        <f t="shared" si="3"/>
        <v>5</v>
      </c>
      <c r="AT74" s="89">
        <f t="shared" si="4"/>
        <v>5</v>
      </c>
      <c r="AU74" s="86">
        <f>IFERROR(__xludf.DUMMYFUNCTION("IF(REGEXMATCH(S74,""&lt;b&gt;Poison&lt;/b&gt;""),1+((1/(7-N74))/3),1)"),1.0)</f>
        <v>1</v>
      </c>
      <c r="AV74" s="86">
        <f>IFERROR(__xludf.DUMMYFUNCTION("IF(REGEXMATCH(S74,""Vengence""),(7 - R74) / 3,0)"),0.0)</f>
        <v>0</v>
      </c>
      <c r="AW74" s="86">
        <f t="shared" si="5"/>
        <v>1.666666667</v>
      </c>
      <c r="AX74" s="84">
        <f t="shared" si="6"/>
        <v>7</v>
      </c>
      <c r="AY74" s="76" t="b">
        <f>IFERROR(__xludf.DUMMYFUNCTION("if(regexmatch(G74,""Mage|War Machine""),true,false)"),TRUE)</f>
        <v>1</v>
      </c>
    </row>
    <row r="75" ht="22.5" hidden="1" customHeight="1">
      <c r="A75" s="44" t="s">
        <v>898</v>
      </c>
      <c r="B75" s="44" t="s">
        <v>899</v>
      </c>
      <c r="C75" s="44" t="str">
        <f t="shared" si="1"/>
        <v>Ratkin Chumpwagon</v>
      </c>
      <c r="D75" s="44" t="b">
        <v>1</v>
      </c>
      <c r="E75" s="57" t="s">
        <v>203</v>
      </c>
      <c r="F75" s="44" t="s">
        <v>883</v>
      </c>
      <c r="G75" s="57" t="s">
        <v>75</v>
      </c>
      <c r="H75" s="60">
        <v>6.0</v>
      </c>
      <c r="I75" s="64">
        <v>2.0</v>
      </c>
      <c r="J75" s="62"/>
      <c r="K75" s="62"/>
      <c r="L75" s="62">
        <v>1.0</v>
      </c>
      <c r="M75" s="62">
        <v>2.0</v>
      </c>
      <c r="N75" s="62">
        <v>5.0</v>
      </c>
      <c r="O75" s="64" t="s">
        <v>147</v>
      </c>
      <c r="P75" s="66" t="s">
        <v>217</v>
      </c>
      <c r="Q75" s="62">
        <v>4.0</v>
      </c>
      <c r="R75" s="64" t="s">
        <v>217</v>
      </c>
      <c r="S75" s="67" t="s">
        <v>900</v>
      </c>
      <c r="T75" s="6">
        <v>0.0</v>
      </c>
      <c r="U75" s="6"/>
      <c r="V75" s="6"/>
      <c r="W75" s="6"/>
      <c r="X75" s="6"/>
      <c r="Y75" s="6">
        <v>2.0</v>
      </c>
      <c r="Z75" s="6">
        <v>2.0</v>
      </c>
      <c r="AA75" s="6">
        <v>2.0</v>
      </c>
      <c r="AB75" s="6">
        <v>2.0</v>
      </c>
      <c r="AC75" s="76"/>
      <c r="AD75" s="76"/>
      <c r="AE75" s="90" t="s">
        <v>195</v>
      </c>
      <c r="AF75" s="69" t="s">
        <v>171</v>
      </c>
      <c r="AG75" s="68" t="s">
        <v>167</v>
      </c>
      <c r="AH75" s="90" t="s">
        <v>195</v>
      </c>
      <c r="AI75" s="68" t="s">
        <v>167</v>
      </c>
      <c r="AJ75" s="69" t="s">
        <v>171</v>
      </c>
      <c r="AK75" s="76" t="str">
        <f t="array" ref="AK75">INDEX(Factions!C:C, MATCH(E75, Factions!B:B, 0))</f>
        <v>#ffb380</v>
      </c>
      <c r="AL75" s="6" t="str">
        <f t="array" ref="AL75">INDEX(Factions!D:D, MATCH(E75, Factions!B:B, 0))</f>
        <v>#733d00</v>
      </c>
      <c r="AM75" s="6" t="str">
        <f t="array" ref="AM75">INDEX(Factions!E:E, MATCH(E75, Factions!B:B, 0))</f>
        <v>#000000</v>
      </c>
      <c r="AN75" s="76" t="str">
        <f t="array" ref="AN75">INDEX(Factions!F:F, MATCH(E75, Factions!B:B, 0))</f>
        <v>#ffffff</v>
      </c>
      <c r="AO75" s="76" t="str">
        <f t="array" ref="AO75">concat(INDEX(Factions!G:G, MATCH(E75, Factions!B:B, 0)),".png")</f>
        <v>rats.png</v>
      </c>
      <c r="AP75" s="84">
        <f>IFERROR(__xludf.DUMMYFUNCTION("MIN(FILTER(M75:M1098, F75:F1098=F75))"),2.0)</f>
        <v>2</v>
      </c>
      <c r="AQ75" s="76">
        <f t="shared" si="2"/>
        <v>4</v>
      </c>
      <c r="AR75" s="86">
        <f>IFERROR(__xludf.DUMMYFUNCTION("IF(and(REGEXMATCH(S75,""Vengence""),not(REGEXMATCH(S75, ""Protective Markings""))),AQ75,AQ75 * 6 / iferror(R75-1,6))"),4.8)</f>
        <v>4.8</v>
      </c>
      <c r="AS75" s="88">
        <f t="shared" si="3"/>
        <v>6</v>
      </c>
      <c r="AT75" s="89">
        <f t="shared" si="4"/>
        <v>6</v>
      </c>
      <c r="AU75" s="86">
        <f>IFERROR(__xludf.DUMMYFUNCTION("IF(REGEXMATCH(S75,""&lt;b&gt;Poison&lt;/b&gt;""),1+((1/(7-N75))/3),1)"),1.0)</f>
        <v>1</v>
      </c>
      <c r="AV75" s="86">
        <f>IFERROR(__xludf.DUMMYFUNCTION("IF(REGEXMATCH(S75,""Vengence""),(7 - R75) / 3,0)"),0.0)</f>
        <v>0</v>
      </c>
      <c r="AW75" s="86">
        <f t="shared" si="5"/>
        <v>2</v>
      </c>
      <c r="AX75" s="84">
        <f t="shared" si="6"/>
        <v>7.8</v>
      </c>
      <c r="AY75" s="76" t="b">
        <f>IFERROR(__xludf.DUMMYFUNCTION("if(regexmatch(G75,""Mage|War Machine""),true,false)"),FALSE)</f>
        <v>0</v>
      </c>
    </row>
    <row r="76" ht="22.5" hidden="1" customHeight="1">
      <c r="A76" s="44" t="s">
        <v>901</v>
      </c>
      <c r="B76" s="6" t="s">
        <v>902</v>
      </c>
      <c r="C76" s="6" t="str">
        <f t="shared" si="1"/>
        <v>Ratkin Throatnicks</v>
      </c>
      <c r="D76" s="6" t="b">
        <v>1</v>
      </c>
      <c r="E76" s="201" t="s">
        <v>203</v>
      </c>
      <c r="F76" s="6" t="s">
        <v>876</v>
      </c>
      <c r="G76" s="5" t="s">
        <v>145</v>
      </c>
      <c r="H76" s="60">
        <v>6.0</v>
      </c>
      <c r="I76" s="135">
        <v>2.0</v>
      </c>
      <c r="J76" s="135"/>
      <c r="K76" s="135"/>
      <c r="L76" s="62">
        <v>9.0</v>
      </c>
      <c r="M76" s="62">
        <v>1.0</v>
      </c>
      <c r="N76" s="135">
        <v>4.0</v>
      </c>
      <c r="O76" s="60">
        <v>5.0</v>
      </c>
      <c r="P76" s="66" t="s">
        <v>150</v>
      </c>
      <c r="Q76" s="62">
        <v>1.0</v>
      </c>
      <c r="R76" s="136" t="s">
        <v>217</v>
      </c>
      <c r="S76" s="67" t="s">
        <v>903</v>
      </c>
      <c r="T76" s="6">
        <v>7.0</v>
      </c>
      <c r="U76" s="6"/>
      <c r="V76" s="6"/>
      <c r="W76" s="6"/>
      <c r="X76" s="6"/>
      <c r="Y76" s="6">
        <v>1.0</v>
      </c>
      <c r="Z76" s="6">
        <v>2.0</v>
      </c>
      <c r="AA76" s="76"/>
      <c r="AB76" s="6">
        <v>2.0</v>
      </c>
      <c r="AC76" s="76"/>
      <c r="AD76" s="6">
        <v>2.0</v>
      </c>
      <c r="AE76" s="68" t="s">
        <v>167</v>
      </c>
      <c r="AF76" s="68" t="s">
        <v>167</v>
      </c>
      <c r="AG76" s="90" t="s">
        <v>195</v>
      </c>
      <c r="AH76" s="68" t="s">
        <v>167</v>
      </c>
      <c r="AI76" s="68" t="s">
        <v>167</v>
      </c>
      <c r="AJ76" s="69" t="s">
        <v>171</v>
      </c>
      <c r="AK76" s="76" t="str">
        <f t="array" ref="AK76">INDEX(Factions!C:C, MATCH(E76, Factions!B:B, 0))</f>
        <v>#ffb380</v>
      </c>
      <c r="AL76" s="6" t="str">
        <f t="array" ref="AL76">INDEX(Factions!D:D, MATCH(E76, Factions!B:B, 0))</f>
        <v>#733d00</v>
      </c>
      <c r="AM76" s="6" t="str">
        <f t="array" ref="AM76">INDEX(Factions!E:E, MATCH(E76, Factions!B:B, 0))</f>
        <v>#000000</v>
      </c>
      <c r="AN76" s="76" t="str">
        <f t="array" ref="AN76">INDEX(Factions!F:F, MATCH(E76, Factions!B:B, 0))</f>
        <v>#ffffff</v>
      </c>
      <c r="AO76" s="76" t="str">
        <f t="array" ref="AO76">concat(INDEX(Factions!G:G, MATCH(E76, Factions!B:B, 0)),".png")</f>
        <v>rats.png</v>
      </c>
      <c r="AP76" s="84">
        <f>IFERROR(__xludf.DUMMYFUNCTION("MIN(FILTER(M76:M1098, F76:F1098=F76))"),1.0)</f>
        <v>1</v>
      </c>
      <c r="AQ76" s="76">
        <f t="shared" si="2"/>
        <v>9</v>
      </c>
      <c r="AR76" s="86">
        <f>IFERROR(__xludf.DUMMYFUNCTION("IF(and(REGEXMATCH(S76,""Vengence""),not(REGEXMATCH(S76, ""Protective Markings""))),AQ76,AQ76 * 6 / iferror(R76-1,6))"),10.8)</f>
        <v>10.8</v>
      </c>
      <c r="AS76" s="88">
        <f t="shared" si="3"/>
        <v>1</v>
      </c>
      <c r="AT76" s="89">
        <f t="shared" si="4"/>
        <v>9</v>
      </c>
      <c r="AU76" s="86">
        <f>IFERROR(__xludf.DUMMYFUNCTION("IF(REGEXMATCH(S76,""&lt;b&gt;Poison&lt;/b&gt;""),1+((1/(7-N76))/3),1)"),1.1111111111111112)</f>
        <v>1.111111111</v>
      </c>
      <c r="AV76" s="86">
        <f>IFERROR(__xludf.DUMMYFUNCTION("IF(REGEXMATCH(S76,""Vengence""),(7 - R76) / 3,0)"),0.0)</f>
        <v>0</v>
      </c>
      <c r="AW76" s="86">
        <f t="shared" si="5"/>
        <v>5</v>
      </c>
      <c r="AX76" s="84">
        <f t="shared" si="6"/>
        <v>18.3</v>
      </c>
      <c r="AY76" s="76" t="b">
        <f>IFERROR(__xludf.DUMMYFUNCTION("if(regexmatch(G76,""Mage|War Machine""),true,false)"),FALSE)</f>
        <v>0</v>
      </c>
    </row>
    <row r="77" ht="22.5" hidden="1" customHeight="1">
      <c r="A77" s="6" t="s">
        <v>904</v>
      </c>
      <c r="B77" s="6" t="s">
        <v>81</v>
      </c>
      <c r="C77" s="6" t="str">
        <f t="shared" si="1"/>
        <v>Redspines Warriors</v>
      </c>
      <c r="D77" s="44" t="b">
        <v>1</v>
      </c>
      <c r="E77" s="5" t="s">
        <v>204</v>
      </c>
      <c r="F77" s="134" t="s">
        <v>905</v>
      </c>
      <c r="G77" s="5" t="s">
        <v>81</v>
      </c>
      <c r="H77" s="60">
        <v>5.0</v>
      </c>
      <c r="I77" s="135">
        <v>1.0</v>
      </c>
      <c r="J77" s="135">
        <v>2.0</v>
      </c>
      <c r="L77" s="135">
        <v>6.0</v>
      </c>
      <c r="M77" s="135">
        <v>1.0</v>
      </c>
      <c r="N77" s="135">
        <v>4.0</v>
      </c>
      <c r="O77" s="60">
        <v>6.0</v>
      </c>
      <c r="P77" s="136" t="s">
        <v>150</v>
      </c>
      <c r="Q77" s="135">
        <v>1.0</v>
      </c>
      <c r="R77" s="136" t="s">
        <v>153</v>
      </c>
      <c r="S77" s="67" t="s">
        <v>636</v>
      </c>
      <c r="T77" s="6">
        <v>4.0</v>
      </c>
      <c r="U77" s="76"/>
      <c r="V77" s="76"/>
      <c r="W77" s="76"/>
      <c r="X77" s="76"/>
      <c r="Y77" s="6">
        <v>1.0</v>
      </c>
      <c r="Z77" s="6">
        <v>1.0</v>
      </c>
      <c r="AA77" s="6">
        <v>1.0</v>
      </c>
      <c r="AB77" s="6">
        <v>1.0</v>
      </c>
      <c r="AC77" s="6">
        <v>1.0</v>
      </c>
      <c r="AD77" s="6">
        <v>1.0</v>
      </c>
      <c r="AE77" s="68" t="s">
        <v>167</v>
      </c>
      <c r="AF77" s="68" t="s">
        <v>167</v>
      </c>
      <c r="AG77" s="68" t="s">
        <v>167</v>
      </c>
      <c r="AH77" s="68" t="s">
        <v>167</v>
      </c>
      <c r="AI77" s="68" t="s">
        <v>167</v>
      </c>
      <c r="AJ77" s="68" t="s">
        <v>167</v>
      </c>
      <c r="AK77" s="76" t="str">
        <f t="array" ref="AK77">INDEX(Factions!C:C, MATCH(E77, Factions!B:B, 0))</f>
        <v>#e78e7e</v>
      </c>
      <c r="AL77" s="6" t="str">
        <f t="array" ref="AL77">INDEX(Factions!D:D, MATCH(E77, Factions!B:B, 0))</f>
        <v>#cf0000</v>
      </c>
      <c r="AM77" s="6" t="str">
        <f t="array" ref="AM77">INDEX(Factions!E:E, MATCH(E77, Factions!B:B, 0))</f>
        <v>#000000</v>
      </c>
      <c r="AN77" s="76" t="str">
        <f t="array" ref="AN77">INDEX(Factions!F:F, MATCH(E77, Factions!B:B, 0))</f>
        <v>#ffffff</v>
      </c>
      <c r="AO77" s="76" t="str">
        <f t="array" ref="AO77">concat(INDEX(Factions!G:G, MATCH(E77, Factions!B:B, 0)),".png")</f>
        <v>redspines.png</v>
      </c>
      <c r="AP77" s="84">
        <f>IFERROR(__xludf.DUMMYFUNCTION("MIN(FILTER(M77:M1098, F77:F1098=F77))"),1.0)</f>
        <v>1</v>
      </c>
      <c r="AQ77" s="76">
        <f t="shared" si="2"/>
        <v>6</v>
      </c>
      <c r="AR77" s="86">
        <f>IFERROR(__xludf.DUMMYFUNCTION("IF(and(REGEXMATCH(S77,""Vengence""),not(REGEXMATCH(S77, ""Protective Markings""))),AQ77,AQ77 * 6 / iferror(R77-1,6))"),6.0)</f>
        <v>6</v>
      </c>
      <c r="AS77" s="88">
        <f t="shared" si="3"/>
        <v>1</v>
      </c>
      <c r="AT77" s="89">
        <f t="shared" si="4"/>
        <v>6</v>
      </c>
      <c r="AU77" s="86">
        <f>IFERROR(__xludf.DUMMYFUNCTION("IF(REGEXMATCH(S77,""&lt;b&gt;Poison&lt;/b&gt;""),1+((1/(7-N77))/3),1)"),1.0)</f>
        <v>1</v>
      </c>
      <c r="AV77" s="86">
        <f>IFERROR(__xludf.DUMMYFUNCTION("IF(REGEXMATCH(S77,""Vengence""),(7 - R77) / 3,0)"),0.6666666666666666)</f>
        <v>0.6666666667</v>
      </c>
      <c r="AW77" s="86">
        <f t="shared" si="5"/>
        <v>3.666666667</v>
      </c>
      <c r="AX77" s="84">
        <f t="shared" si="6"/>
        <v>11.5</v>
      </c>
      <c r="AY77" s="76" t="b">
        <f>IFERROR(__xludf.DUMMYFUNCTION("if(regexmatch(G77,""Mage|War Machine""),true,false)"),FALSE)</f>
        <v>0</v>
      </c>
    </row>
    <row r="78" ht="22.5" hidden="1" customHeight="1">
      <c r="A78" s="6" t="s">
        <v>906</v>
      </c>
      <c r="B78" s="6" t="s">
        <v>142</v>
      </c>
      <c r="C78" s="6" t="str">
        <f t="shared" si="1"/>
        <v>Redspines Archers</v>
      </c>
      <c r="D78" s="44" t="b">
        <v>1</v>
      </c>
      <c r="E78" s="5" t="s">
        <v>204</v>
      </c>
      <c r="F78" s="134" t="s">
        <v>905</v>
      </c>
      <c r="G78" s="5" t="s">
        <v>142</v>
      </c>
      <c r="H78" s="60">
        <v>5.0</v>
      </c>
      <c r="I78" s="135">
        <v>1.0</v>
      </c>
      <c r="J78" s="135">
        <v>2.0</v>
      </c>
      <c r="L78" s="135">
        <v>6.0</v>
      </c>
      <c r="M78" s="135">
        <v>1.0</v>
      </c>
      <c r="N78" s="135">
        <v>5.0</v>
      </c>
      <c r="O78" s="60">
        <v>4.0</v>
      </c>
      <c r="P78" s="136" t="s">
        <v>150</v>
      </c>
      <c r="Q78" s="135">
        <v>1.0</v>
      </c>
      <c r="R78" s="136" t="s">
        <v>153</v>
      </c>
      <c r="S78" s="67" t="s">
        <v>907</v>
      </c>
      <c r="T78" s="6">
        <v>3.0</v>
      </c>
      <c r="U78" s="76"/>
      <c r="V78" s="76"/>
      <c r="W78" s="76"/>
      <c r="X78" s="76"/>
      <c r="Y78" s="6"/>
      <c r="Z78" s="6"/>
      <c r="AA78" s="6"/>
      <c r="AB78" s="6"/>
      <c r="AC78" s="6"/>
      <c r="AD78" s="6">
        <v>1.0</v>
      </c>
      <c r="AE78" s="68" t="s">
        <v>167</v>
      </c>
      <c r="AF78" s="69" t="s">
        <v>171</v>
      </c>
      <c r="AG78" s="90" t="s">
        <v>195</v>
      </c>
      <c r="AH78" s="68" t="s">
        <v>167</v>
      </c>
      <c r="AI78" s="68" t="s">
        <v>167</v>
      </c>
      <c r="AJ78" s="68" t="s">
        <v>167</v>
      </c>
      <c r="AK78" s="76" t="str">
        <f t="array" ref="AK78">INDEX(Factions!C:C, MATCH(E78, Factions!B:B, 0))</f>
        <v>#e78e7e</v>
      </c>
      <c r="AL78" s="6" t="str">
        <f t="array" ref="AL78">INDEX(Factions!D:D, MATCH(E78, Factions!B:B, 0))</f>
        <v>#cf0000</v>
      </c>
      <c r="AM78" s="6" t="str">
        <f t="array" ref="AM78">INDEX(Factions!E:E, MATCH(E78, Factions!B:B, 0))</f>
        <v>#000000</v>
      </c>
      <c r="AN78" s="76" t="str">
        <f t="array" ref="AN78">INDEX(Factions!F:F, MATCH(E78, Factions!B:B, 0))</f>
        <v>#ffffff</v>
      </c>
      <c r="AO78" s="76" t="str">
        <f t="array" ref="AO78">concat(INDEX(Factions!G:G, MATCH(E78, Factions!B:B, 0)),".png")</f>
        <v>redspines.png</v>
      </c>
      <c r="AP78" s="84">
        <f>IFERROR(__xludf.DUMMYFUNCTION("MIN(FILTER(M78:M1098, F78:F1098=F78))"),1.0)</f>
        <v>1</v>
      </c>
      <c r="AQ78" s="76">
        <f t="shared" si="2"/>
        <v>6</v>
      </c>
      <c r="AR78" s="86">
        <f>IFERROR(__xludf.DUMMYFUNCTION("IF(and(REGEXMATCH(S78,""Vengence""),not(REGEXMATCH(S78, ""Protective Markings""))),AQ78,AQ78 * 6 / iferror(R78-1,6))"),6.0)</f>
        <v>6</v>
      </c>
      <c r="AS78" s="88">
        <f t="shared" si="3"/>
        <v>1</v>
      </c>
      <c r="AT78" s="89">
        <f t="shared" si="4"/>
        <v>6</v>
      </c>
      <c r="AU78" s="86">
        <f>IFERROR(__xludf.DUMMYFUNCTION("IF(REGEXMATCH(S78,""&lt;b&gt;Poison&lt;/b&gt;""),1+((1/(7-N78))/3),1)"),1.0)</f>
        <v>1</v>
      </c>
      <c r="AV78" s="86">
        <f>IFERROR(__xludf.DUMMYFUNCTION("IF(REGEXMATCH(S78,""Vengence""),(7 - R78) / 3,0)"),0.6666666666666666)</f>
        <v>0.6666666667</v>
      </c>
      <c r="AW78" s="86">
        <f t="shared" si="5"/>
        <v>2.666666667</v>
      </c>
      <c r="AX78" s="84">
        <f t="shared" si="6"/>
        <v>10</v>
      </c>
      <c r="AY78" s="76" t="b">
        <f>IFERROR(__xludf.DUMMYFUNCTION("if(regexmatch(G78,""Mage|War Machine""),true,false)"),FALSE)</f>
        <v>0</v>
      </c>
    </row>
    <row r="79" ht="22.5" hidden="1" customHeight="1">
      <c r="A79" s="6" t="s">
        <v>908</v>
      </c>
      <c r="B79" s="6" t="s">
        <v>909</v>
      </c>
      <c r="C79" s="6" t="str">
        <f t="shared" si="1"/>
        <v>Redspines Crowseekers</v>
      </c>
      <c r="D79" s="44" t="b">
        <v>1</v>
      </c>
      <c r="E79" s="5" t="s">
        <v>204</v>
      </c>
      <c r="F79" s="134" t="s">
        <v>905</v>
      </c>
      <c r="G79" s="5" t="s">
        <v>143</v>
      </c>
      <c r="H79" s="60">
        <v>5.0</v>
      </c>
      <c r="I79" s="135">
        <v>1.0</v>
      </c>
      <c r="J79" s="135">
        <v>2.0</v>
      </c>
      <c r="L79" s="135">
        <v>6.0</v>
      </c>
      <c r="M79" s="135">
        <v>1.0</v>
      </c>
      <c r="N79" s="135">
        <v>5.0</v>
      </c>
      <c r="O79" s="60" t="s">
        <v>147</v>
      </c>
      <c r="P79" s="136" t="s">
        <v>150</v>
      </c>
      <c r="Q79" s="135">
        <v>1.0</v>
      </c>
      <c r="R79" s="136" t="s">
        <v>153</v>
      </c>
      <c r="S79" s="67" t="s">
        <v>910</v>
      </c>
      <c r="T79" s="6">
        <v>4.0</v>
      </c>
      <c r="U79" s="76"/>
      <c r="V79" s="76"/>
      <c r="W79" s="76"/>
      <c r="X79" s="76"/>
      <c r="Y79" s="6">
        <v>1.0</v>
      </c>
      <c r="Z79" s="6">
        <v>1.0</v>
      </c>
      <c r="AA79" s="6">
        <v>1.0</v>
      </c>
      <c r="AB79" s="6"/>
      <c r="AC79" s="6"/>
      <c r="AD79" s="6"/>
      <c r="AE79" s="68" t="s">
        <v>167</v>
      </c>
      <c r="AF79" s="69" t="s">
        <v>171</v>
      </c>
      <c r="AG79" s="68" t="s">
        <v>167</v>
      </c>
      <c r="AH79" s="68" t="s">
        <v>167</v>
      </c>
      <c r="AI79" s="68" t="s">
        <v>167</v>
      </c>
      <c r="AJ79" s="68" t="s">
        <v>167</v>
      </c>
      <c r="AK79" s="76" t="str">
        <f t="array" ref="AK79">INDEX(Factions!C:C, MATCH(E79, Factions!B:B, 0))</f>
        <v>#e78e7e</v>
      </c>
      <c r="AL79" s="6" t="str">
        <f t="array" ref="AL79">INDEX(Factions!D:D, MATCH(E79, Factions!B:B, 0))</f>
        <v>#cf0000</v>
      </c>
      <c r="AM79" s="6" t="str">
        <f t="array" ref="AM79">INDEX(Factions!E:E, MATCH(E79, Factions!B:B, 0))</f>
        <v>#000000</v>
      </c>
      <c r="AN79" s="76" t="str">
        <f t="array" ref="AN79">INDEX(Factions!F:F, MATCH(E79, Factions!B:B, 0))</f>
        <v>#ffffff</v>
      </c>
      <c r="AO79" s="76" t="str">
        <f t="array" ref="AO79">concat(INDEX(Factions!G:G, MATCH(E79, Factions!B:B, 0)),".png")</f>
        <v>redspines.png</v>
      </c>
      <c r="AP79" s="84">
        <f>IFERROR(__xludf.DUMMYFUNCTION("MIN(FILTER(M79:M1098, F79:F1098=F79))"),1.0)</f>
        <v>1</v>
      </c>
      <c r="AQ79" s="76">
        <f t="shared" si="2"/>
        <v>6</v>
      </c>
      <c r="AR79" s="86">
        <f>IFERROR(__xludf.DUMMYFUNCTION("IF(and(REGEXMATCH(S79,""Vengence""),not(REGEXMATCH(S79, ""Protective Markings""))),AQ79,AQ79 * 6 / iferror(R79-1,6))"),6.0)</f>
        <v>6</v>
      </c>
      <c r="AS79" s="88">
        <f t="shared" si="3"/>
        <v>1</v>
      </c>
      <c r="AT79" s="89">
        <f t="shared" si="4"/>
        <v>6</v>
      </c>
      <c r="AU79" s="86">
        <f>IFERROR(__xludf.DUMMYFUNCTION("IF(REGEXMATCH(S79,""&lt;b&gt;Poison&lt;/b&gt;""),1+((1/(7-N79))/3),1)"),1.0)</f>
        <v>1</v>
      </c>
      <c r="AV79" s="86">
        <f>IFERROR(__xludf.DUMMYFUNCTION("IF(REGEXMATCH(S79,""Vengence""),(7 - R79) / 3,0)"),0.6666666666666666)</f>
        <v>0.6666666667</v>
      </c>
      <c r="AW79" s="86">
        <f t="shared" si="5"/>
        <v>2.666666667</v>
      </c>
      <c r="AX79" s="84">
        <f t="shared" si="6"/>
        <v>10</v>
      </c>
      <c r="AY79" s="76" t="b">
        <f>IFERROR(__xludf.DUMMYFUNCTION("if(regexmatch(G79,""Mage|War Machine""),true,false)"),FALSE)</f>
        <v>0</v>
      </c>
    </row>
    <row r="80" ht="22.5" hidden="1" customHeight="1">
      <c r="A80" s="6" t="s">
        <v>911</v>
      </c>
      <c r="B80" s="6" t="s">
        <v>912</v>
      </c>
      <c r="C80" s="6" t="str">
        <f t="shared" si="1"/>
        <v>Redspines Beserks</v>
      </c>
      <c r="D80" s="44" t="b">
        <v>1</v>
      </c>
      <c r="E80" s="5" t="s">
        <v>204</v>
      </c>
      <c r="F80" s="134" t="s">
        <v>905</v>
      </c>
      <c r="G80" s="5" t="s">
        <v>146</v>
      </c>
      <c r="H80" s="60">
        <v>5.0</v>
      </c>
      <c r="I80" s="135">
        <v>1.0</v>
      </c>
      <c r="J80" s="135">
        <v>3.0</v>
      </c>
      <c r="L80" s="135">
        <v>6.0</v>
      </c>
      <c r="M80" s="64" t="s">
        <v>829</v>
      </c>
      <c r="N80" s="62">
        <v>4.0</v>
      </c>
      <c r="O80" s="64" t="s">
        <v>147</v>
      </c>
      <c r="P80" s="66" t="s">
        <v>150</v>
      </c>
      <c r="Q80" s="62">
        <v>1.0</v>
      </c>
      <c r="R80" s="64" t="s">
        <v>153</v>
      </c>
      <c r="S80" s="67" t="s">
        <v>913</v>
      </c>
      <c r="T80" s="6">
        <v>4.0</v>
      </c>
      <c r="U80" s="76"/>
      <c r="V80" s="76"/>
      <c r="W80" s="76"/>
      <c r="X80" s="76"/>
      <c r="Y80" s="6"/>
      <c r="Z80" s="6">
        <v>1.0</v>
      </c>
      <c r="AA80" s="6">
        <v>1.0</v>
      </c>
      <c r="AB80" s="6">
        <v>1.0</v>
      </c>
      <c r="AC80" s="6"/>
      <c r="AD80" s="6"/>
      <c r="AE80" s="90" t="s">
        <v>195</v>
      </c>
      <c r="AF80" s="68" t="s">
        <v>167</v>
      </c>
      <c r="AG80" s="68" t="s">
        <v>167</v>
      </c>
      <c r="AH80" s="68" t="s">
        <v>167</v>
      </c>
      <c r="AI80" s="68" t="s">
        <v>167</v>
      </c>
      <c r="AJ80" s="68" t="s">
        <v>167</v>
      </c>
      <c r="AK80" s="76" t="str">
        <f t="array" ref="AK80">INDEX(Factions!C:C, MATCH(E80, Factions!B:B, 0))</f>
        <v>#e78e7e</v>
      </c>
      <c r="AL80" s="6" t="str">
        <f t="array" ref="AL80">INDEX(Factions!D:D, MATCH(E80, Factions!B:B, 0))</f>
        <v>#cf0000</v>
      </c>
      <c r="AM80" s="6" t="str">
        <f t="array" ref="AM80">INDEX(Factions!E:E, MATCH(E80, Factions!B:B, 0))</f>
        <v>#000000</v>
      </c>
      <c r="AN80" s="76" t="str">
        <f t="array" ref="AN80">INDEX(Factions!F:F, MATCH(E80, Factions!B:B, 0))</f>
        <v>#ffffff</v>
      </c>
      <c r="AO80" s="76" t="str">
        <f t="array" ref="AO80">concat(INDEX(Factions!G:G, MATCH(E80, Factions!B:B, 0)),".png")</f>
        <v>redspines.png</v>
      </c>
      <c r="AP80" s="76">
        <f>IFERROR(__xludf.DUMMYFUNCTION("MIN(FILTER(M80:M1098, F80:F1098=F80))"),1.0)</f>
        <v>1</v>
      </c>
      <c r="AQ80" s="76">
        <f t="shared" si="2"/>
        <v>6</v>
      </c>
      <c r="AR80" s="86">
        <f>IFERROR(__xludf.DUMMYFUNCTION("IF(and(REGEXMATCH(S80,""Vengence""),not(REGEXMATCH(S80, ""Protective Markings""))),AQ80,AQ80 * 6 / iferror(R80-1,6))"),6.0)</f>
        <v>6</v>
      </c>
      <c r="AS80" s="88">
        <f t="shared" si="3"/>
        <v>1</v>
      </c>
      <c r="AT80" s="89">
        <f t="shared" si="4"/>
        <v>6</v>
      </c>
      <c r="AU80" s="86">
        <f>IFERROR(__xludf.DUMMYFUNCTION("IF(REGEXMATCH(S80,""&lt;b&gt;Poison&lt;/b&gt;""),1+((1/(7-N80))/3),1)"),1.0)</f>
        <v>1</v>
      </c>
      <c r="AV80" s="86">
        <f>IFERROR(__xludf.DUMMYFUNCTION("IF(REGEXMATCH(S80,""Vengence""),(7 - R80) / 3,0)"),0.6666666666666666)</f>
        <v>0.6666666667</v>
      </c>
      <c r="AW80" s="86">
        <f t="shared" si="5"/>
        <v>3.666666667</v>
      </c>
      <c r="AX80" s="84">
        <f t="shared" si="6"/>
        <v>11.5</v>
      </c>
      <c r="AY80" s="76" t="b">
        <f>IFERROR(__xludf.DUMMYFUNCTION("if(regexmatch(G80,""Mage|War Machine""),true,false)"),FALSE)</f>
        <v>0</v>
      </c>
    </row>
    <row r="81" ht="22.5" hidden="1" customHeight="1">
      <c r="A81" s="6" t="s">
        <v>914</v>
      </c>
      <c r="B81" s="6" t="s">
        <v>915</v>
      </c>
      <c r="C81" s="6" t="str">
        <f t="shared" si="1"/>
        <v>Redspines Relentless</v>
      </c>
      <c r="D81" s="44" t="b">
        <v>1</v>
      </c>
      <c r="E81" s="5" t="s">
        <v>204</v>
      </c>
      <c r="F81" s="134" t="s">
        <v>905</v>
      </c>
      <c r="G81" s="5" t="s">
        <v>143</v>
      </c>
      <c r="H81" s="60">
        <v>5.0</v>
      </c>
      <c r="I81" s="135">
        <v>1.0</v>
      </c>
      <c r="J81" s="135">
        <v>3.0</v>
      </c>
      <c r="L81" s="135">
        <v>6.0</v>
      </c>
      <c r="M81" s="135">
        <v>1.0</v>
      </c>
      <c r="N81" s="135">
        <v>4.0</v>
      </c>
      <c r="O81" s="60" t="s">
        <v>147</v>
      </c>
      <c r="P81" s="136" t="s">
        <v>150</v>
      </c>
      <c r="Q81" s="135">
        <v>1.0</v>
      </c>
      <c r="R81" s="136" t="s">
        <v>153</v>
      </c>
      <c r="S81" s="67" t="s">
        <v>916</v>
      </c>
      <c r="T81" s="6">
        <v>4.0</v>
      </c>
      <c r="U81" s="76"/>
      <c r="V81" s="76"/>
      <c r="W81" s="76"/>
      <c r="X81" s="76"/>
      <c r="Y81" s="6"/>
      <c r="Z81" s="6">
        <v>1.0</v>
      </c>
      <c r="AA81" s="6">
        <v>1.0</v>
      </c>
      <c r="AB81" s="6">
        <v>1.0</v>
      </c>
      <c r="AC81" s="6"/>
      <c r="AD81" s="6"/>
      <c r="AE81" s="68" t="s">
        <v>167</v>
      </c>
      <c r="AF81" s="68" t="s">
        <v>167</v>
      </c>
      <c r="AG81" s="68" t="s">
        <v>167</v>
      </c>
      <c r="AH81" s="68" t="s">
        <v>167</v>
      </c>
      <c r="AI81" s="68" t="s">
        <v>167</v>
      </c>
      <c r="AJ81" s="68" t="s">
        <v>167</v>
      </c>
      <c r="AK81" s="76" t="str">
        <f t="array" ref="AK81">INDEX(Factions!C:C, MATCH(E81, Factions!B:B, 0))</f>
        <v>#e78e7e</v>
      </c>
      <c r="AL81" s="6" t="str">
        <f t="array" ref="AL81">INDEX(Factions!D:D, MATCH(E81, Factions!B:B, 0))</f>
        <v>#cf0000</v>
      </c>
      <c r="AM81" s="6" t="str">
        <f t="array" ref="AM81">INDEX(Factions!E:E, MATCH(E81, Factions!B:B, 0))</f>
        <v>#000000</v>
      </c>
      <c r="AN81" s="76" t="str">
        <f t="array" ref="AN81">INDEX(Factions!F:F, MATCH(E81, Factions!B:B, 0))</f>
        <v>#ffffff</v>
      </c>
      <c r="AO81" s="76" t="str">
        <f t="array" ref="AO81">concat(INDEX(Factions!G:G, MATCH(E81, Factions!B:B, 0)),".png")</f>
        <v>redspines.png</v>
      </c>
      <c r="AP81" s="84">
        <f>IFERROR(__xludf.DUMMYFUNCTION("MIN(FILTER(M81:M1098, F81:F1098=F81))"),1.0)</f>
        <v>1</v>
      </c>
      <c r="AQ81" s="76">
        <f t="shared" si="2"/>
        <v>6</v>
      </c>
      <c r="AR81" s="86">
        <f>IFERROR(__xludf.DUMMYFUNCTION("IF(and(REGEXMATCH(S81,""Vengence""),not(REGEXMATCH(S81, ""Protective Markings""))),AQ81,AQ81 * 6 / iferror(R81-1,6))"),6.0)</f>
        <v>6</v>
      </c>
      <c r="AS81" s="88">
        <f t="shared" si="3"/>
        <v>1</v>
      </c>
      <c r="AT81" s="89">
        <f t="shared" si="4"/>
        <v>6</v>
      </c>
      <c r="AU81" s="86">
        <f>IFERROR(__xludf.DUMMYFUNCTION("IF(REGEXMATCH(S81,""&lt;b&gt;Poison&lt;/b&gt;""),1+((1/(7-N81))/3),1)"),1.0)</f>
        <v>1</v>
      </c>
      <c r="AV81" s="86">
        <f>IFERROR(__xludf.DUMMYFUNCTION("IF(REGEXMATCH(S81,""Vengence""),(7 - R81) / 3,0)"),0.6666666666666666)</f>
        <v>0.6666666667</v>
      </c>
      <c r="AW81" s="86">
        <f t="shared" si="5"/>
        <v>3.666666667</v>
      </c>
      <c r="AX81" s="84">
        <f t="shared" si="6"/>
        <v>11.5</v>
      </c>
      <c r="AY81" s="76" t="b">
        <f>IFERROR(__xludf.DUMMYFUNCTION("if(regexmatch(G81,""Mage|War Machine""),true,false)"),FALSE)</f>
        <v>0</v>
      </c>
    </row>
    <row r="82" ht="22.5" hidden="1" customHeight="1">
      <c r="A82" s="6" t="s">
        <v>917</v>
      </c>
      <c r="B82" s="6" t="s">
        <v>918</v>
      </c>
      <c r="C82" s="6" t="str">
        <f t="shared" si="1"/>
        <v>Redspines Pincushions</v>
      </c>
      <c r="D82" s="44" t="b">
        <v>1</v>
      </c>
      <c r="E82" s="5" t="s">
        <v>204</v>
      </c>
      <c r="F82" s="134" t="s">
        <v>905</v>
      </c>
      <c r="G82" s="5" t="s">
        <v>143</v>
      </c>
      <c r="H82" s="60">
        <v>5.0</v>
      </c>
      <c r="I82" s="135">
        <v>1.0</v>
      </c>
      <c r="J82" s="135">
        <v>3.0</v>
      </c>
      <c r="L82" s="135">
        <v>6.0</v>
      </c>
      <c r="M82" s="135">
        <v>1.0</v>
      </c>
      <c r="N82" s="135">
        <v>4.0</v>
      </c>
      <c r="O82" s="60">
        <v>5.0</v>
      </c>
      <c r="P82" s="136" t="s">
        <v>150</v>
      </c>
      <c r="Q82" s="135">
        <v>1.0</v>
      </c>
      <c r="R82" s="136" t="s">
        <v>153</v>
      </c>
      <c r="S82" s="67" t="s">
        <v>919</v>
      </c>
      <c r="T82" s="6">
        <v>4.0</v>
      </c>
      <c r="U82" s="76"/>
      <c r="V82" s="76"/>
      <c r="W82" s="76"/>
      <c r="X82" s="76"/>
      <c r="Y82" s="6">
        <v>1.0</v>
      </c>
      <c r="Z82" s="6">
        <v>1.0</v>
      </c>
      <c r="AA82" s="6">
        <v>1.0</v>
      </c>
      <c r="AB82" s="6"/>
      <c r="AC82" s="6">
        <v>1.0</v>
      </c>
      <c r="AD82" s="6">
        <v>1.0</v>
      </c>
      <c r="AE82" s="68" t="s">
        <v>167</v>
      </c>
      <c r="AF82" s="68" t="s">
        <v>167</v>
      </c>
      <c r="AG82" s="68" t="s">
        <v>167</v>
      </c>
      <c r="AH82" s="68" t="s">
        <v>167</v>
      </c>
      <c r="AI82" s="68" t="s">
        <v>167</v>
      </c>
      <c r="AJ82" s="68" t="s">
        <v>167</v>
      </c>
      <c r="AK82" s="76" t="str">
        <f t="array" ref="AK82">INDEX(Factions!C:C, MATCH(E82, Factions!B:B, 0))</f>
        <v>#e78e7e</v>
      </c>
      <c r="AL82" s="6" t="str">
        <f t="array" ref="AL82">INDEX(Factions!D:D, MATCH(E82, Factions!B:B, 0))</f>
        <v>#cf0000</v>
      </c>
      <c r="AM82" s="6" t="str">
        <f t="array" ref="AM82">INDEX(Factions!E:E, MATCH(E82, Factions!B:B, 0))</f>
        <v>#000000</v>
      </c>
      <c r="AN82" s="76" t="str">
        <f t="array" ref="AN82">INDEX(Factions!F:F, MATCH(E82, Factions!B:B, 0))</f>
        <v>#ffffff</v>
      </c>
      <c r="AO82" s="76" t="str">
        <f t="array" ref="AO82">concat(INDEX(Factions!G:G, MATCH(E82, Factions!B:B, 0)),".png")</f>
        <v>redspines.png</v>
      </c>
      <c r="AP82" s="84">
        <f>IFERROR(__xludf.DUMMYFUNCTION("MIN(FILTER(M82:M1098, F82:F1098=F82))"),1.0)</f>
        <v>1</v>
      </c>
      <c r="AQ82" s="76">
        <f t="shared" si="2"/>
        <v>6</v>
      </c>
      <c r="AR82" s="86">
        <f>IFERROR(__xludf.DUMMYFUNCTION("IF(and(REGEXMATCH(S82,""Vengence""),not(REGEXMATCH(S82, ""Protective Markings""))),AQ82,AQ82 * 6 / iferror(R82-1,6))"),6.0)</f>
        <v>6</v>
      </c>
      <c r="AS82" s="88">
        <f t="shared" si="3"/>
        <v>1</v>
      </c>
      <c r="AT82" s="89">
        <f t="shared" si="4"/>
        <v>6</v>
      </c>
      <c r="AU82" s="86">
        <f>IFERROR(__xludf.DUMMYFUNCTION("IF(REGEXMATCH(S82,""&lt;b&gt;Poison&lt;/b&gt;""),1+((1/(7-N82))/3),1)"),1.0)</f>
        <v>1</v>
      </c>
      <c r="AV82" s="86">
        <f>IFERROR(__xludf.DUMMYFUNCTION("IF(REGEXMATCH(S82,""Vengence""),(7 - R82) / 3,0)"),0.6666666666666666)</f>
        <v>0.6666666667</v>
      </c>
      <c r="AW82" s="86">
        <f t="shared" si="5"/>
        <v>3.666666667</v>
      </c>
      <c r="AX82" s="84">
        <f t="shared" si="6"/>
        <v>11.5</v>
      </c>
      <c r="AY82" s="76" t="b">
        <f>IFERROR(__xludf.DUMMYFUNCTION("if(regexmatch(G82,""Mage|War Machine""),true,false)"),FALSE)</f>
        <v>0</v>
      </c>
    </row>
    <row r="83" ht="22.5" hidden="1" customHeight="1">
      <c r="A83" s="6" t="s">
        <v>920</v>
      </c>
      <c r="B83" s="6" t="s">
        <v>921</v>
      </c>
      <c r="C83" s="6" t="str">
        <f t="shared" si="1"/>
        <v>Redspines Harvesters</v>
      </c>
      <c r="D83" s="44" t="b">
        <v>1</v>
      </c>
      <c r="E83" s="5" t="s">
        <v>204</v>
      </c>
      <c r="F83" s="134" t="s">
        <v>922</v>
      </c>
      <c r="G83" s="5" t="s">
        <v>158</v>
      </c>
      <c r="H83" s="60">
        <v>6.0</v>
      </c>
      <c r="I83" s="135">
        <v>2.0</v>
      </c>
      <c r="J83" s="135"/>
      <c r="K83" s="135"/>
      <c r="L83" s="135">
        <v>3.0</v>
      </c>
      <c r="M83" s="135">
        <v>1.0</v>
      </c>
      <c r="N83" s="135">
        <v>6.0</v>
      </c>
      <c r="O83" s="60" t="s">
        <v>147</v>
      </c>
      <c r="P83" s="136" t="s">
        <v>372</v>
      </c>
      <c r="Q83" s="135">
        <v>3.0</v>
      </c>
      <c r="R83" s="136" t="s">
        <v>194</v>
      </c>
      <c r="S83" s="67" t="s">
        <v>923</v>
      </c>
      <c r="T83" s="6">
        <v>4.0</v>
      </c>
      <c r="U83" s="6"/>
      <c r="V83" s="6"/>
      <c r="W83" s="6">
        <v>2.0</v>
      </c>
      <c r="X83" s="76"/>
      <c r="Y83" s="6"/>
      <c r="Z83" s="6"/>
      <c r="AA83" s="6"/>
      <c r="AB83" s="6">
        <v>1.0</v>
      </c>
      <c r="AC83" s="6"/>
      <c r="AD83" s="6"/>
      <c r="AE83" s="68" t="s">
        <v>167</v>
      </c>
      <c r="AF83" s="69" t="s">
        <v>171</v>
      </c>
      <c r="AG83" s="68" t="s">
        <v>167</v>
      </c>
      <c r="AH83" s="68" t="s">
        <v>167</v>
      </c>
      <c r="AI83" s="90" t="s">
        <v>195</v>
      </c>
      <c r="AJ83" s="90" t="s">
        <v>195</v>
      </c>
      <c r="AK83" s="76" t="str">
        <f t="array" ref="AK83">INDEX(Factions!C:C, MATCH(E83, Factions!B:B, 0))</f>
        <v>#e78e7e</v>
      </c>
      <c r="AL83" s="6" t="str">
        <f t="array" ref="AL83">INDEX(Factions!D:D, MATCH(E83, Factions!B:B, 0))</f>
        <v>#cf0000</v>
      </c>
      <c r="AM83" s="6" t="str">
        <f t="array" ref="AM83">INDEX(Factions!E:E, MATCH(E83, Factions!B:B, 0))</f>
        <v>#000000</v>
      </c>
      <c r="AN83" s="76" t="str">
        <f t="array" ref="AN83">INDEX(Factions!F:F, MATCH(E83, Factions!B:B, 0))</f>
        <v>#ffffff</v>
      </c>
      <c r="AO83" s="76" t="str">
        <f t="array" ref="AO83">concat(INDEX(Factions!G:G, MATCH(E83, Factions!B:B, 0)),".png")</f>
        <v>redspines.png</v>
      </c>
      <c r="AP83" s="84">
        <f>IFERROR(__xludf.DUMMYFUNCTION("MIN(FILTER(M83:M1098, F83:F1098=F83))"),1.0)</f>
        <v>1</v>
      </c>
      <c r="AQ83" s="76">
        <f t="shared" si="2"/>
        <v>9</v>
      </c>
      <c r="AR83" s="86">
        <f>IFERROR(__xludf.DUMMYFUNCTION("IF(and(REGEXMATCH(S83,""Vengence""),not(REGEXMATCH(S83, ""Protective Markings""))),AQ83,AQ83 * 6 / iferror(R83-1,6))"),9.0)</f>
        <v>9</v>
      </c>
      <c r="AS83" s="88">
        <f t="shared" si="3"/>
        <v>2</v>
      </c>
      <c r="AT83" s="89">
        <f t="shared" si="4"/>
        <v>6</v>
      </c>
      <c r="AU83" s="86">
        <f>IFERROR(__xludf.DUMMYFUNCTION("IF(REGEXMATCH(S83,""&lt;b&gt;Poison&lt;/b&gt;""),1+((1/(7-N83))/3),1)"),1.0)</f>
        <v>1</v>
      </c>
      <c r="AV83" s="86">
        <f>IFERROR(__xludf.DUMMYFUNCTION("IF(REGEXMATCH(S83,""Vengence""),(7 - R83) / 3,0)"),1.0)</f>
        <v>1</v>
      </c>
      <c r="AW83" s="86">
        <f t="shared" si="5"/>
        <v>2</v>
      </c>
      <c r="AX83" s="84">
        <f t="shared" si="6"/>
        <v>12</v>
      </c>
      <c r="AY83" s="76" t="b">
        <f>IFERROR(__xludf.DUMMYFUNCTION("if(regexmatch(G83,""Mage|War Machine""),true,false)"),TRUE)</f>
        <v>1</v>
      </c>
    </row>
    <row r="84" ht="22.5" hidden="1" customHeight="1">
      <c r="A84" s="6" t="s">
        <v>924</v>
      </c>
      <c r="B84" s="6" t="s">
        <v>925</v>
      </c>
      <c r="C84" s="6" t="str">
        <f t="shared" si="1"/>
        <v>Redspines Meatwads</v>
      </c>
      <c r="D84" s="44" t="b">
        <v>1</v>
      </c>
      <c r="E84" s="5" t="s">
        <v>204</v>
      </c>
      <c r="F84" s="6" t="s">
        <v>926</v>
      </c>
      <c r="G84" s="5" t="s">
        <v>144</v>
      </c>
      <c r="H84" s="60">
        <v>5.0</v>
      </c>
      <c r="I84" s="135">
        <v>2.0</v>
      </c>
      <c r="J84" s="135"/>
      <c r="K84" s="135"/>
      <c r="L84" s="135">
        <v>5.0</v>
      </c>
      <c r="M84" s="135">
        <v>1.0</v>
      </c>
      <c r="N84" s="135">
        <v>5.0</v>
      </c>
      <c r="O84" s="60" t="s">
        <v>147</v>
      </c>
      <c r="P84" s="136" t="s">
        <v>150</v>
      </c>
      <c r="Q84" s="135">
        <v>2.0</v>
      </c>
      <c r="R84" s="136" t="s">
        <v>194</v>
      </c>
      <c r="S84" s="67" t="s">
        <v>927</v>
      </c>
      <c r="T84" s="6">
        <v>7.0</v>
      </c>
      <c r="U84" s="76"/>
      <c r="V84" s="76"/>
      <c r="W84" s="76"/>
      <c r="X84" s="76"/>
      <c r="Y84" s="6">
        <v>2.0</v>
      </c>
      <c r="Z84" s="6">
        <v>2.0</v>
      </c>
      <c r="AA84" s="6">
        <v>2.0</v>
      </c>
      <c r="AB84" s="6"/>
      <c r="AC84" s="6">
        <v>1.0</v>
      </c>
      <c r="AD84" s="6"/>
      <c r="AE84" s="68" t="s">
        <v>167</v>
      </c>
      <c r="AF84" s="69" t="s">
        <v>171</v>
      </c>
      <c r="AG84" s="68" t="s">
        <v>167</v>
      </c>
      <c r="AH84" s="68" t="s">
        <v>167</v>
      </c>
      <c r="AI84" s="90" t="s">
        <v>195</v>
      </c>
      <c r="AJ84" s="90" t="s">
        <v>195</v>
      </c>
      <c r="AK84" s="76" t="str">
        <f t="array" ref="AK84">INDEX(Factions!C:C, MATCH(E84, Factions!B:B, 0))</f>
        <v>#e78e7e</v>
      </c>
      <c r="AL84" s="6" t="str">
        <f t="array" ref="AL84">INDEX(Factions!D:D, MATCH(E84, Factions!B:B, 0))</f>
        <v>#cf0000</v>
      </c>
      <c r="AM84" s="6" t="str">
        <f t="array" ref="AM84">INDEX(Factions!E:E, MATCH(E84, Factions!B:B, 0))</f>
        <v>#000000</v>
      </c>
      <c r="AN84" s="76" t="str">
        <f t="array" ref="AN84">INDEX(Factions!F:F, MATCH(E84, Factions!B:B, 0))</f>
        <v>#ffffff</v>
      </c>
      <c r="AO84" s="76" t="str">
        <f t="array" ref="AO84">concat(INDEX(Factions!G:G, MATCH(E84, Factions!B:B, 0)),".png")</f>
        <v>redspines.png</v>
      </c>
      <c r="AP84" s="84">
        <f>IFERROR(__xludf.DUMMYFUNCTION("MIN(FILTER(M84:M1098, F84:F1098=F84))"),1.0)</f>
        <v>1</v>
      </c>
      <c r="AQ84" s="76">
        <f t="shared" si="2"/>
        <v>10</v>
      </c>
      <c r="AR84" s="86">
        <f>IFERROR(__xludf.DUMMYFUNCTION("IF(and(REGEXMATCH(S84,""Vengence""),not(REGEXMATCH(S84, ""Protective Markings""))),AQ84,AQ84 * 6 / iferror(R84-1,6))"),10.0)</f>
        <v>10</v>
      </c>
      <c r="AS84" s="88">
        <f t="shared" si="3"/>
        <v>1</v>
      </c>
      <c r="AT84" s="89">
        <f t="shared" si="4"/>
        <v>5</v>
      </c>
      <c r="AU84" s="86">
        <f>IFERROR(__xludf.DUMMYFUNCTION("IF(REGEXMATCH(S84,""&lt;b&gt;Poison&lt;/b&gt;""),1+((1/(7-N84))/3),1)"),1.0)</f>
        <v>1</v>
      </c>
      <c r="AV84" s="86">
        <f>IFERROR(__xludf.DUMMYFUNCTION("IF(REGEXMATCH(S84,""Vengence""),(7 - R84) / 3,0)"),1.0)</f>
        <v>1</v>
      </c>
      <c r="AW84" s="86">
        <f t="shared" si="5"/>
        <v>2.666666667</v>
      </c>
      <c r="AX84" s="84">
        <f t="shared" si="6"/>
        <v>14</v>
      </c>
      <c r="AY84" s="76" t="b">
        <f>IFERROR(__xludf.DUMMYFUNCTION("if(regexmatch(G84,""Mage|War Machine""),true,false)"),FALSE)</f>
        <v>0</v>
      </c>
    </row>
    <row r="85" ht="22.5" hidden="1" customHeight="1">
      <c r="A85" s="6" t="s">
        <v>928</v>
      </c>
      <c r="B85" s="6" t="s">
        <v>929</v>
      </c>
      <c r="C85" s="6" t="str">
        <f t="shared" si="1"/>
        <v>Redspines Blood-dancers</v>
      </c>
      <c r="D85" s="44" t="b">
        <v>1</v>
      </c>
      <c r="E85" s="5" t="s">
        <v>204</v>
      </c>
      <c r="F85" s="6" t="s">
        <v>926</v>
      </c>
      <c r="G85" s="5" t="s">
        <v>146</v>
      </c>
      <c r="H85" s="60">
        <v>5.0</v>
      </c>
      <c r="I85" s="135">
        <v>2.0</v>
      </c>
      <c r="J85" s="135"/>
      <c r="K85" s="135"/>
      <c r="L85" s="135">
        <v>5.0</v>
      </c>
      <c r="M85" s="135">
        <v>1.0</v>
      </c>
      <c r="N85" s="135">
        <v>3.0</v>
      </c>
      <c r="O85" s="60">
        <v>5.0</v>
      </c>
      <c r="P85" s="136" t="s">
        <v>150</v>
      </c>
      <c r="Q85" s="135">
        <v>2.0</v>
      </c>
      <c r="R85" s="136" t="s">
        <v>153</v>
      </c>
      <c r="S85" s="67" t="s">
        <v>930</v>
      </c>
      <c r="T85" s="6">
        <v>6.0</v>
      </c>
      <c r="U85" s="76"/>
      <c r="V85" s="76"/>
      <c r="W85" s="76"/>
      <c r="X85" s="76"/>
      <c r="Y85" s="6">
        <v>2.0</v>
      </c>
      <c r="Z85" s="6">
        <v>2.0</v>
      </c>
      <c r="AA85" s="6">
        <v>2.0</v>
      </c>
      <c r="AB85" s="6">
        <v>2.0</v>
      </c>
      <c r="AC85" s="6"/>
      <c r="AD85" s="6">
        <v>2.0</v>
      </c>
      <c r="AE85" s="68" t="s">
        <v>167</v>
      </c>
      <c r="AF85" s="90" t="s">
        <v>195</v>
      </c>
      <c r="AG85" s="68" t="s">
        <v>167</v>
      </c>
      <c r="AH85" s="68" t="s">
        <v>167</v>
      </c>
      <c r="AI85" s="90" t="s">
        <v>195</v>
      </c>
      <c r="AJ85" s="68" t="s">
        <v>167</v>
      </c>
      <c r="AK85" s="76" t="str">
        <f t="array" ref="AK85">INDEX(Factions!C:C, MATCH(E85, Factions!B:B, 0))</f>
        <v>#e78e7e</v>
      </c>
      <c r="AL85" s="6" t="str">
        <f t="array" ref="AL85">INDEX(Factions!D:D, MATCH(E85, Factions!B:B, 0))</f>
        <v>#cf0000</v>
      </c>
      <c r="AM85" s="6" t="str">
        <f t="array" ref="AM85">INDEX(Factions!E:E, MATCH(E85, Factions!B:B, 0))</f>
        <v>#000000</v>
      </c>
      <c r="AN85" s="76" t="str">
        <f t="array" ref="AN85">INDEX(Factions!F:F, MATCH(E85, Factions!B:B, 0))</f>
        <v>#ffffff</v>
      </c>
      <c r="AO85" s="76" t="str">
        <f t="array" ref="AO85">concat(INDEX(Factions!G:G, MATCH(E85, Factions!B:B, 0)),".png")</f>
        <v>redspines.png</v>
      </c>
      <c r="AP85" s="84">
        <f>IFERROR(__xludf.DUMMYFUNCTION("MIN(FILTER(M85:M1098, F85:F1098=F85))"),1.0)</f>
        <v>1</v>
      </c>
      <c r="AQ85" s="76">
        <f t="shared" si="2"/>
        <v>10</v>
      </c>
      <c r="AR85" s="86">
        <f>IFERROR(__xludf.DUMMYFUNCTION("IF(and(REGEXMATCH(S85,""Vengence""),not(REGEXMATCH(S85, ""Protective Markings""))),AQ85,AQ85 * 6 / iferror(R85-1,6))"),10.0)</f>
        <v>10</v>
      </c>
      <c r="AS85" s="88">
        <f t="shared" si="3"/>
        <v>1</v>
      </c>
      <c r="AT85" s="89">
        <f t="shared" si="4"/>
        <v>5</v>
      </c>
      <c r="AU85" s="86">
        <f>IFERROR(__xludf.DUMMYFUNCTION("IF(REGEXMATCH(S85,""&lt;b&gt;Poison&lt;/b&gt;""),1+((1/(7-N85))/3),1)"),1.0)</f>
        <v>1</v>
      </c>
      <c r="AV85" s="86">
        <f>IFERROR(__xludf.DUMMYFUNCTION("IF(REGEXMATCH(S85,""Vengence""),(7 - R85) / 3,0)"),0.6666666666666666)</f>
        <v>0.6666666667</v>
      </c>
      <c r="AW85" s="86">
        <f t="shared" si="5"/>
        <v>4</v>
      </c>
      <c r="AX85" s="84">
        <f t="shared" si="6"/>
        <v>16</v>
      </c>
      <c r="AY85" s="76" t="b">
        <f>IFERROR(__xludf.DUMMYFUNCTION("if(regexmatch(G85,""Mage|War Machine""),true,false)"),FALSE)</f>
        <v>0</v>
      </c>
    </row>
    <row r="86" ht="22.5" hidden="1" customHeight="1">
      <c r="A86" s="6" t="s">
        <v>931</v>
      </c>
      <c r="B86" s="6" t="s">
        <v>932</v>
      </c>
      <c r="C86" s="6" t="str">
        <f t="shared" si="1"/>
        <v>Redspines Quillsprays</v>
      </c>
      <c r="D86" s="44" t="b">
        <v>1</v>
      </c>
      <c r="E86" s="5" t="s">
        <v>204</v>
      </c>
      <c r="F86" s="6" t="s">
        <v>926</v>
      </c>
      <c r="G86" s="5" t="s">
        <v>75</v>
      </c>
      <c r="H86" s="60">
        <v>5.0</v>
      </c>
      <c r="I86" s="135">
        <v>2.0</v>
      </c>
      <c r="J86" s="135"/>
      <c r="K86" s="135"/>
      <c r="L86" s="135">
        <v>5.0</v>
      </c>
      <c r="M86" s="135">
        <v>1.0</v>
      </c>
      <c r="N86" s="135">
        <v>5.0</v>
      </c>
      <c r="O86" s="60">
        <v>5.0</v>
      </c>
      <c r="P86" s="136" t="s">
        <v>150</v>
      </c>
      <c r="Q86" s="135">
        <v>2.0</v>
      </c>
      <c r="R86" s="136" t="s">
        <v>153</v>
      </c>
      <c r="S86" s="67" t="s">
        <v>933</v>
      </c>
      <c r="T86" s="6">
        <v>4.0</v>
      </c>
      <c r="U86" s="76"/>
      <c r="V86" s="76"/>
      <c r="W86" s="76"/>
      <c r="X86" s="76"/>
      <c r="Y86" s="6">
        <v>2.0</v>
      </c>
      <c r="Z86" s="6">
        <v>2.0</v>
      </c>
      <c r="AA86" s="6">
        <v>2.0</v>
      </c>
      <c r="AB86" s="6">
        <v>2.0</v>
      </c>
      <c r="AC86" s="6">
        <v>2.0</v>
      </c>
      <c r="AD86" s="6">
        <v>2.0</v>
      </c>
      <c r="AE86" s="68" t="s">
        <v>167</v>
      </c>
      <c r="AF86" s="69" t="s">
        <v>171</v>
      </c>
      <c r="AG86" s="68" t="s">
        <v>167</v>
      </c>
      <c r="AH86" s="68" t="s">
        <v>167</v>
      </c>
      <c r="AI86" s="90" t="s">
        <v>195</v>
      </c>
      <c r="AJ86" s="68" t="s">
        <v>167</v>
      </c>
      <c r="AK86" s="76" t="str">
        <f t="array" ref="AK86">INDEX(Factions!C:C, MATCH(E86, Factions!B:B, 0))</f>
        <v>#e78e7e</v>
      </c>
      <c r="AL86" s="6" t="str">
        <f t="array" ref="AL86">INDEX(Factions!D:D, MATCH(E86, Factions!B:B, 0))</f>
        <v>#cf0000</v>
      </c>
      <c r="AM86" s="6" t="str">
        <f t="array" ref="AM86">INDEX(Factions!E:E, MATCH(E86, Factions!B:B, 0))</f>
        <v>#000000</v>
      </c>
      <c r="AN86" s="76" t="str">
        <f t="array" ref="AN86">INDEX(Factions!F:F, MATCH(E86, Factions!B:B, 0))</f>
        <v>#ffffff</v>
      </c>
      <c r="AO86" s="76" t="str">
        <f t="array" ref="AO86">concat(INDEX(Factions!G:G, MATCH(E86, Factions!B:B, 0)),".png")</f>
        <v>redspines.png</v>
      </c>
      <c r="AP86" s="84">
        <f>IFERROR(__xludf.DUMMYFUNCTION("MIN(FILTER(M86:M1098, F86:F1098=F86))"),1.0)</f>
        <v>1</v>
      </c>
      <c r="AQ86" s="76">
        <f t="shared" si="2"/>
        <v>10</v>
      </c>
      <c r="AR86" s="86">
        <f>IFERROR(__xludf.DUMMYFUNCTION("IF(and(REGEXMATCH(S86,""Vengence""),not(REGEXMATCH(S86, ""Protective Markings""))),AQ86,AQ86 * 6 / iferror(R86-1,6))"),10.0)</f>
        <v>10</v>
      </c>
      <c r="AS86" s="88">
        <f t="shared" si="3"/>
        <v>1</v>
      </c>
      <c r="AT86" s="89">
        <f t="shared" si="4"/>
        <v>5</v>
      </c>
      <c r="AU86" s="86">
        <f>IFERROR(__xludf.DUMMYFUNCTION("IF(REGEXMATCH(S86,""&lt;b&gt;Poison&lt;/b&gt;""),1+((1/(7-N86))/3),1)"),1.0)</f>
        <v>1</v>
      </c>
      <c r="AV86" s="86">
        <f>IFERROR(__xludf.DUMMYFUNCTION("IF(REGEXMATCH(S86,""Vengence""),(7 - R86) / 3,0)"),0.6666666666666666)</f>
        <v>0.6666666667</v>
      </c>
      <c r="AW86" s="86">
        <f t="shared" si="5"/>
        <v>2.333333333</v>
      </c>
      <c r="AX86" s="84">
        <f t="shared" si="6"/>
        <v>13.5</v>
      </c>
      <c r="AY86" s="76" t="b">
        <f>IFERROR(__xludf.DUMMYFUNCTION("if(regexmatch(G86,""Mage|War Machine""),true,false)"),FALSE)</f>
        <v>0</v>
      </c>
    </row>
    <row r="87" ht="22.5" hidden="1" customHeight="1">
      <c r="A87" s="6" t="s">
        <v>934</v>
      </c>
      <c r="B87" s="6" t="s">
        <v>935</v>
      </c>
      <c r="C87" s="6" t="str">
        <f t="shared" si="1"/>
        <v>Redspines Raiders</v>
      </c>
      <c r="D87" s="44" t="b">
        <v>1</v>
      </c>
      <c r="E87" s="5" t="s">
        <v>204</v>
      </c>
      <c r="F87" s="134" t="s">
        <v>936</v>
      </c>
      <c r="G87" s="5" t="s">
        <v>148</v>
      </c>
      <c r="H87" s="60">
        <v>6.0</v>
      </c>
      <c r="I87" s="135">
        <v>2.0</v>
      </c>
      <c r="J87" s="135"/>
      <c r="K87" s="135"/>
      <c r="L87" s="135">
        <v>3.0</v>
      </c>
      <c r="M87" s="135">
        <v>2.0</v>
      </c>
      <c r="N87" s="135">
        <v>4.0</v>
      </c>
      <c r="O87" s="60">
        <v>5.0</v>
      </c>
      <c r="P87" s="136" t="s">
        <v>372</v>
      </c>
      <c r="Q87" s="135">
        <v>2.0</v>
      </c>
      <c r="R87" s="136" t="s">
        <v>153</v>
      </c>
      <c r="S87" s="67" t="s">
        <v>937</v>
      </c>
      <c r="T87" s="6">
        <v>5.0</v>
      </c>
      <c r="U87" s="76"/>
      <c r="V87" s="76"/>
      <c r="W87" s="76"/>
      <c r="X87" s="76"/>
      <c r="Y87" s="6">
        <v>2.0</v>
      </c>
      <c r="Z87" s="6">
        <v>2.0</v>
      </c>
      <c r="AA87" s="6">
        <v>2.0</v>
      </c>
      <c r="AB87" s="6"/>
      <c r="AC87" s="6"/>
      <c r="AD87" s="6">
        <v>2.0</v>
      </c>
      <c r="AE87" s="90" t="s">
        <v>195</v>
      </c>
      <c r="AF87" s="68" t="s">
        <v>167</v>
      </c>
      <c r="AG87" s="68" t="s">
        <v>167</v>
      </c>
      <c r="AH87" s="68" t="s">
        <v>167</v>
      </c>
      <c r="AI87" s="68" t="s">
        <v>167</v>
      </c>
      <c r="AJ87" s="68" t="s">
        <v>167</v>
      </c>
      <c r="AK87" s="76" t="str">
        <f t="array" ref="AK87">INDEX(Factions!C:C, MATCH(E87, Factions!B:B, 0))</f>
        <v>#e78e7e</v>
      </c>
      <c r="AL87" s="6" t="str">
        <f t="array" ref="AL87">INDEX(Factions!D:D, MATCH(E87, Factions!B:B, 0))</f>
        <v>#cf0000</v>
      </c>
      <c r="AM87" s="6" t="str">
        <f t="array" ref="AM87">INDEX(Factions!E:E, MATCH(E87, Factions!B:B, 0))</f>
        <v>#000000</v>
      </c>
      <c r="AN87" s="76" t="str">
        <f t="array" ref="AN87">INDEX(Factions!F:F, MATCH(E87, Factions!B:B, 0))</f>
        <v>#ffffff</v>
      </c>
      <c r="AO87" s="76" t="str">
        <f t="array" ref="AO87">concat(INDEX(Factions!G:G, MATCH(E87, Factions!B:B, 0)),".png")</f>
        <v>redspines.png</v>
      </c>
      <c r="AP87" s="84">
        <f>IFERROR(__xludf.DUMMYFUNCTION("MIN(FILTER(M87:M1098, F87:F1098=F87))"),2.0)</f>
        <v>2</v>
      </c>
      <c r="AQ87" s="76">
        <f t="shared" si="2"/>
        <v>6</v>
      </c>
      <c r="AR87" s="86">
        <f>IFERROR(__xludf.DUMMYFUNCTION("IF(and(REGEXMATCH(S87,""Vengence""),not(REGEXMATCH(S87, ""Protective Markings""))),AQ87,AQ87 * 6 / iferror(R87-1,6))"),6.0)</f>
        <v>6</v>
      </c>
      <c r="AS87" s="88">
        <f t="shared" si="3"/>
        <v>2</v>
      </c>
      <c r="AT87" s="89">
        <f t="shared" si="4"/>
        <v>6</v>
      </c>
      <c r="AU87" s="86">
        <f>IFERROR(__xludf.DUMMYFUNCTION("IF(REGEXMATCH(S87,""&lt;b&gt;Poison&lt;/b&gt;""),1+((1/(7-N87))/3),1)"),1.0)</f>
        <v>1</v>
      </c>
      <c r="AV87" s="86">
        <f>IFERROR(__xludf.DUMMYFUNCTION("IF(REGEXMATCH(S87,""Vengence""),(7 - R87) / 3,0)"),0.6666666666666666)</f>
        <v>0.6666666667</v>
      </c>
      <c r="AW87" s="86">
        <f t="shared" si="5"/>
        <v>3.666666667</v>
      </c>
      <c r="AX87" s="84">
        <f t="shared" si="6"/>
        <v>11.5</v>
      </c>
      <c r="AY87" s="76" t="b">
        <f>IFERROR(__xludf.DUMMYFUNCTION("if(regexmatch(G87,""Mage|War Machine""),true,false)"),FALSE)</f>
        <v>0</v>
      </c>
    </row>
    <row r="88" ht="22.5" hidden="1" customHeight="1">
      <c r="A88" s="6" t="s">
        <v>938</v>
      </c>
      <c r="B88" s="6" t="s">
        <v>939</v>
      </c>
      <c r="C88" s="6" t="str">
        <f t="shared" si="1"/>
        <v>Redspines Woedriders</v>
      </c>
      <c r="D88" s="44" t="b">
        <v>1</v>
      </c>
      <c r="E88" s="5" t="s">
        <v>204</v>
      </c>
      <c r="F88" s="134" t="s">
        <v>936</v>
      </c>
      <c r="G88" s="5" t="s">
        <v>149</v>
      </c>
      <c r="H88" s="60">
        <v>6.0</v>
      </c>
      <c r="I88" s="135">
        <v>2.0</v>
      </c>
      <c r="J88" s="135"/>
      <c r="K88" s="135"/>
      <c r="L88" s="135">
        <v>3.0</v>
      </c>
      <c r="M88" s="135">
        <v>2.0</v>
      </c>
      <c r="N88" s="135">
        <v>4.0</v>
      </c>
      <c r="O88" s="60" t="s">
        <v>147</v>
      </c>
      <c r="P88" s="136" t="s">
        <v>372</v>
      </c>
      <c r="Q88" s="135">
        <v>2.0</v>
      </c>
      <c r="R88" s="136" t="s">
        <v>153</v>
      </c>
      <c r="S88" s="67" t="s">
        <v>940</v>
      </c>
      <c r="T88" s="6">
        <v>6.0</v>
      </c>
      <c r="U88" s="76"/>
      <c r="V88" s="76"/>
      <c r="W88" s="76"/>
      <c r="X88" s="76"/>
      <c r="Y88" s="6">
        <v>2.0</v>
      </c>
      <c r="Z88" s="6">
        <v>2.0</v>
      </c>
      <c r="AA88" s="6">
        <v>2.0</v>
      </c>
      <c r="AB88" s="6"/>
      <c r="AC88" s="6"/>
      <c r="AD88" s="6"/>
      <c r="AE88" s="90" t="s">
        <v>195</v>
      </c>
      <c r="AF88" s="68" t="s">
        <v>167</v>
      </c>
      <c r="AG88" s="68" t="s">
        <v>167</v>
      </c>
      <c r="AH88" s="68" t="s">
        <v>167</v>
      </c>
      <c r="AI88" s="68" t="s">
        <v>167</v>
      </c>
      <c r="AJ88" s="68" t="s">
        <v>167</v>
      </c>
      <c r="AK88" s="76" t="str">
        <f t="array" ref="AK88">INDEX(Factions!C:C, MATCH(E88, Factions!B:B, 0))</f>
        <v>#e78e7e</v>
      </c>
      <c r="AL88" s="6" t="str">
        <f t="array" ref="AL88">INDEX(Factions!D:D, MATCH(E88, Factions!B:B, 0))</f>
        <v>#cf0000</v>
      </c>
      <c r="AM88" s="6" t="str">
        <f t="array" ref="AM88">INDEX(Factions!E:E, MATCH(E88, Factions!B:B, 0))</f>
        <v>#000000</v>
      </c>
      <c r="AN88" s="76" t="str">
        <f t="array" ref="AN88">INDEX(Factions!F:F, MATCH(E88, Factions!B:B, 0))</f>
        <v>#ffffff</v>
      </c>
      <c r="AO88" s="76" t="str">
        <f t="array" ref="AO88">concat(INDEX(Factions!G:G, MATCH(E88, Factions!B:B, 0)),".png")</f>
        <v>redspines.png</v>
      </c>
      <c r="AP88" s="84">
        <f>IFERROR(__xludf.DUMMYFUNCTION("MIN(FILTER(M88:M1098, F88:F1098=F88))"),2.0)</f>
        <v>2</v>
      </c>
      <c r="AQ88" s="76">
        <f t="shared" si="2"/>
        <v>6</v>
      </c>
      <c r="AR88" s="86">
        <f>IFERROR(__xludf.DUMMYFUNCTION("IF(and(REGEXMATCH(S88,""Vengence""),not(REGEXMATCH(S88, ""Protective Markings""))),AQ88,AQ88 * 6 / iferror(R88-1,6))"),9.0)</f>
        <v>9</v>
      </c>
      <c r="AS88" s="88">
        <f t="shared" si="3"/>
        <v>2</v>
      </c>
      <c r="AT88" s="89">
        <f t="shared" si="4"/>
        <v>6</v>
      </c>
      <c r="AU88" s="86">
        <f>IFERROR(__xludf.DUMMYFUNCTION("IF(REGEXMATCH(S88,""&lt;b&gt;Poison&lt;/b&gt;""),1+((1/(7-N88))/3),1)"),1.0)</f>
        <v>1</v>
      </c>
      <c r="AV88" s="86">
        <f>IFERROR(__xludf.DUMMYFUNCTION("IF(REGEXMATCH(S88,""Vengence""),(7 - R88) / 3,0)"),0.6666666666666666)</f>
        <v>0.6666666667</v>
      </c>
      <c r="AW88" s="86">
        <f t="shared" si="5"/>
        <v>3.666666667</v>
      </c>
      <c r="AX88" s="84">
        <f t="shared" si="6"/>
        <v>14.5</v>
      </c>
      <c r="AY88" s="76" t="b">
        <f>IFERROR(__xludf.DUMMYFUNCTION("if(regexmatch(G88,""Mage|War Machine""),true,false)"),FALSE)</f>
        <v>0</v>
      </c>
    </row>
    <row r="89" ht="22.5" hidden="1" customHeight="1">
      <c r="A89" s="6" t="s">
        <v>941</v>
      </c>
      <c r="B89" s="6" t="s">
        <v>942</v>
      </c>
      <c r="C89" s="6" t="str">
        <f t="shared" si="1"/>
        <v>Redspines Furies</v>
      </c>
      <c r="D89" s="44" t="b">
        <v>1</v>
      </c>
      <c r="E89" s="5" t="s">
        <v>204</v>
      </c>
      <c r="F89" s="134" t="s">
        <v>922</v>
      </c>
      <c r="G89" s="5" t="s">
        <v>157</v>
      </c>
      <c r="H89" s="60">
        <v>6.0</v>
      </c>
      <c r="I89" s="135">
        <v>2.0</v>
      </c>
      <c r="J89" s="135"/>
      <c r="K89" s="135"/>
      <c r="L89" s="135">
        <v>3.0</v>
      </c>
      <c r="M89" s="135">
        <v>1.0</v>
      </c>
      <c r="N89" s="135">
        <v>3.0</v>
      </c>
      <c r="O89" s="60" t="s">
        <v>147</v>
      </c>
      <c r="P89" s="136" t="s">
        <v>372</v>
      </c>
      <c r="Q89" s="135">
        <v>2.0</v>
      </c>
      <c r="R89" s="136" t="s">
        <v>153</v>
      </c>
      <c r="S89" s="67" t="s">
        <v>943</v>
      </c>
      <c r="T89" s="6">
        <v>5.0</v>
      </c>
      <c r="U89" s="6"/>
      <c r="V89" s="6"/>
      <c r="W89" s="6">
        <v>2.0</v>
      </c>
      <c r="X89" s="76"/>
      <c r="Y89" s="6"/>
      <c r="Z89" s="6">
        <v>1.0</v>
      </c>
      <c r="AA89" s="6"/>
      <c r="AB89" s="6">
        <v>1.0</v>
      </c>
      <c r="AC89" s="6"/>
      <c r="AD89" s="6"/>
      <c r="AE89" s="68" t="s">
        <v>167</v>
      </c>
      <c r="AF89" s="90" t="s">
        <v>195</v>
      </c>
      <c r="AG89" s="68" t="s">
        <v>167</v>
      </c>
      <c r="AH89" s="68" t="s">
        <v>167</v>
      </c>
      <c r="AI89" s="68" t="s">
        <v>167</v>
      </c>
      <c r="AJ89" s="68" t="s">
        <v>167</v>
      </c>
      <c r="AK89" s="76" t="str">
        <f t="array" ref="AK89">INDEX(Factions!C:C, MATCH(E89, Factions!B:B, 0))</f>
        <v>#e78e7e</v>
      </c>
      <c r="AL89" s="6" t="str">
        <f t="array" ref="AL89">INDEX(Factions!D:D, MATCH(E89, Factions!B:B, 0))</f>
        <v>#cf0000</v>
      </c>
      <c r="AM89" s="6" t="str">
        <f t="array" ref="AM89">INDEX(Factions!E:E, MATCH(E89, Factions!B:B, 0))</f>
        <v>#000000</v>
      </c>
      <c r="AN89" s="76" t="str">
        <f t="array" ref="AN89">INDEX(Factions!F:F, MATCH(E89, Factions!B:B, 0))</f>
        <v>#ffffff</v>
      </c>
      <c r="AO89" s="76" t="str">
        <f t="array" ref="AO89">concat(INDEX(Factions!G:G, MATCH(E89, Factions!B:B, 0)),".png")</f>
        <v>redspines.png</v>
      </c>
      <c r="AP89" s="84">
        <f>IFERROR(__xludf.DUMMYFUNCTION("MIN(FILTER(M89:M1098, F89:F1098=F89))"),1.0)</f>
        <v>1</v>
      </c>
      <c r="AQ89" s="76">
        <f t="shared" si="2"/>
        <v>6</v>
      </c>
      <c r="AR89" s="86">
        <f>IFERROR(__xludf.DUMMYFUNCTION("IF(and(REGEXMATCH(S89,""Vengence""),not(REGEXMATCH(S89, ""Protective Markings""))),AQ89,AQ89 * 6 / iferror(R89-1,6))"),6.0)</f>
        <v>6</v>
      </c>
      <c r="AS89" s="88">
        <f t="shared" si="3"/>
        <v>2</v>
      </c>
      <c r="AT89" s="89">
        <f t="shared" si="4"/>
        <v>6</v>
      </c>
      <c r="AU89" s="86">
        <f>IFERROR(__xludf.DUMMYFUNCTION("IF(REGEXMATCH(S89,""&lt;b&gt;Poison&lt;/b&gt;""),1+((1/(7-N89))/3),1)"),1.0)</f>
        <v>1</v>
      </c>
      <c r="AV89" s="86">
        <f>IFERROR(__xludf.DUMMYFUNCTION("IF(REGEXMATCH(S89,""Vengence""),(7 - R89) / 3,0)"),0.6666666666666666)</f>
        <v>0.6666666667</v>
      </c>
      <c r="AW89" s="86">
        <f t="shared" si="5"/>
        <v>4.666666667</v>
      </c>
      <c r="AX89" s="84">
        <f t="shared" si="6"/>
        <v>13</v>
      </c>
      <c r="AY89" s="76" t="b">
        <f>IFERROR(__xludf.DUMMYFUNCTION("if(regexmatch(G89,""Mage|War Machine""),true,false)"),TRUE)</f>
        <v>1</v>
      </c>
    </row>
    <row r="90" ht="22.5" hidden="1" customHeight="1">
      <c r="A90" s="6" t="s">
        <v>944</v>
      </c>
      <c r="B90" s="6" t="s">
        <v>945</v>
      </c>
      <c r="C90" s="6" t="str">
        <f t="shared" si="1"/>
        <v>Redspines Screamers</v>
      </c>
      <c r="D90" s="44" t="b">
        <v>1</v>
      </c>
      <c r="E90" s="5" t="s">
        <v>204</v>
      </c>
      <c r="F90" s="134" t="s">
        <v>936</v>
      </c>
      <c r="G90" s="5" t="s">
        <v>148</v>
      </c>
      <c r="H90" s="60">
        <v>6.0</v>
      </c>
      <c r="I90" s="135">
        <v>2.0</v>
      </c>
      <c r="J90" s="135"/>
      <c r="K90" s="135"/>
      <c r="L90" s="135">
        <v>3.0</v>
      </c>
      <c r="M90" s="135">
        <v>2.0</v>
      </c>
      <c r="N90" s="135">
        <v>4.0</v>
      </c>
      <c r="O90" s="60" t="s">
        <v>147</v>
      </c>
      <c r="P90" s="136" t="s">
        <v>380</v>
      </c>
      <c r="Q90" s="135">
        <v>2.0</v>
      </c>
      <c r="R90" s="136" t="s">
        <v>217</v>
      </c>
      <c r="S90" s="67" t="s">
        <v>946</v>
      </c>
      <c r="T90" s="6">
        <v>6.0</v>
      </c>
      <c r="U90" s="76"/>
      <c r="V90" s="76"/>
      <c r="W90" s="76"/>
      <c r="X90" s="76"/>
      <c r="Y90" s="6"/>
      <c r="Z90" s="6">
        <v>2.0</v>
      </c>
      <c r="AA90" s="6">
        <v>2.0</v>
      </c>
      <c r="AB90" s="6"/>
      <c r="AC90" s="6"/>
      <c r="AD90" s="6"/>
      <c r="AE90" s="90" t="s">
        <v>195</v>
      </c>
      <c r="AF90" s="68" t="s">
        <v>167</v>
      </c>
      <c r="AG90" s="68" t="s">
        <v>167</v>
      </c>
      <c r="AH90" s="90" t="s">
        <v>195</v>
      </c>
      <c r="AI90" s="68" t="s">
        <v>167</v>
      </c>
      <c r="AJ90" s="69" t="s">
        <v>171</v>
      </c>
      <c r="AK90" s="76" t="str">
        <f t="array" ref="AK90">INDEX(Factions!C:C, MATCH(E90, Factions!B:B, 0))</f>
        <v>#e78e7e</v>
      </c>
      <c r="AL90" s="6" t="str">
        <f t="array" ref="AL90">INDEX(Factions!D:D, MATCH(E90, Factions!B:B, 0))</f>
        <v>#cf0000</v>
      </c>
      <c r="AM90" s="6" t="str">
        <f t="array" ref="AM90">INDEX(Factions!E:E, MATCH(E90, Factions!B:B, 0))</f>
        <v>#000000</v>
      </c>
      <c r="AN90" s="76" t="str">
        <f t="array" ref="AN90">INDEX(Factions!F:F, MATCH(E90, Factions!B:B, 0))</f>
        <v>#ffffff</v>
      </c>
      <c r="AO90" s="76" t="str">
        <f t="array" ref="AO90">concat(INDEX(Factions!G:G, MATCH(E90, Factions!B:B, 0)),".png")</f>
        <v>redspines.png</v>
      </c>
      <c r="AP90" s="84">
        <f>IFERROR(__xludf.DUMMYFUNCTION("MIN(FILTER(M90:M1098, F90:F1098=F90))"),2.0)</f>
        <v>2</v>
      </c>
      <c r="AQ90" s="76">
        <f t="shared" si="2"/>
        <v>6</v>
      </c>
      <c r="AR90" s="86">
        <f>IFERROR(__xludf.DUMMYFUNCTION("IF(and(REGEXMATCH(S90,""Vengence""),not(REGEXMATCH(S90, ""Protective Markings""))),AQ90,AQ90 * 6 / iferror(R90-1,6))"),6.0)</f>
        <v>6</v>
      </c>
      <c r="AS90" s="88">
        <f t="shared" si="3"/>
        <v>3</v>
      </c>
      <c r="AT90" s="89">
        <f t="shared" si="4"/>
        <v>9</v>
      </c>
      <c r="AU90" s="86">
        <f>IFERROR(__xludf.DUMMYFUNCTION("IF(REGEXMATCH(S90,""&lt;b&gt;Poison&lt;/b&gt;""),1+((1/(7-N90))/3),1)"),1.0)</f>
        <v>1</v>
      </c>
      <c r="AV90" s="86">
        <f>IFERROR(__xludf.DUMMYFUNCTION("IF(REGEXMATCH(S90,""Vengence""),(7 - R90) / 3,0)"),0.3333333333333333)</f>
        <v>0.3333333333</v>
      </c>
      <c r="AW90" s="86">
        <f t="shared" si="5"/>
        <v>4.833333333</v>
      </c>
      <c r="AX90" s="84">
        <f t="shared" si="6"/>
        <v>13.25</v>
      </c>
      <c r="AY90" s="76" t="b">
        <f>IFERROR(__xludf.DUMMYFUNCTION("if(regexmatch(G90,""Mage|War Machine""),true,false)"),FALSE)</f>
        <v>0</v>
      </c>
    </row>
    <row r="91" ht="22.5" hidden="1" customHeight="1">
      <c r="A91" s="6" t="s">
        <v>947</v>
      </c>
      <c r="B91" s="6" t="s">
        <v>948</v>
      </c>
      <c r="C91" s="6" t="str">
        <f t="shared" si="1"/>
        <v>Redspines Valkryies</v>
      </c>
      <c r="D91" s="44" t="b">
        <v>1</v>
      </c>
      <c r="E91" s="5" t="s">
        <v>204</v>
      </c>
      <c r="F91" s="134" t="s">
        <v>922</v>
      </c>
      <c r="G91" s="5" t="s">
        <v>158</v>
      </c>
      <c r="H91" s="60">
        <v>6.0</v>
      </c>
      <c r="I91" s="135">
        <v>2.0</v>
      </c>
      <c r="J91" s="135"/>
      <c r="K91" s="135"/>
      <c r="L91" s="135">
        <v>3.0</v>
      </c>
      <c r="M91" s="135">
        <v>1.0</v>
      </c>
      <c r="N91" s="135">
        <v>4.0</v>
      </c>
      <c r="O91" s="60" t="s">
        <v>147</v>
      </c>
      <c r="P91" s="136" t="s">
        <v>372</v>
      </c>
      <c r="Q91" s="135">
        <v>2.0</v>
      </c>
      <c r="R91" s="136" t="s">
        <v>217</v>
      </c>
      <c r="S91" s="67" t="s">
        <v>949</v>
      </c>
      <c r="T91" s="6">
        <v>3.0</v>
      </c>
      <c r="U91" s="6"/>
      <c r="V91" s="6"/>
      <c r="W91" s="6">
        <v>2.0</v>
      </c>
      <c r="X91" s="76"/>
      <c r="Y91" s="6"/>
      <c r="Z91" s="6"/>
      <c r="AA91" s="6"/>
      <c r="AB91" s="6">
        <v>1.0</v>
      </c>
      <c r="AC91" s="6"/>
      <c r="AD91" s="6"/>
      <c r="AE91" s="68" t="s">
        <v>167</v>
      </c>
      <c r="AF91" s="68" t="s">
        <v>167</v>
      </c>
      <c r="AG91" s="68" t="s">
        <v>167</v>
      </c>
      <c r="AH91" s="68" t="s">
        <v>167</v>
      </c>
      <c r="AI91" s="68" t="s">
        <v>167</v>
      </c>
      <c r="AJ91" s="69" t="s">
        <v>171</v>
      </c>
      <c r="AK91" s="76" t="str">
        <f t="array" ref="AK91">INDEX(Factions!C:C, MATCH(E91, Factions!B:B, 0))</f>
        <v>#e78e7e</v>
      </c>
      <c r="AL91" s="6" t="str">
        <f t="array" ref="AL91">INDEX(Factions!D:D, MATCH(E91, Factions!B:B, 0))</f>
        <v>#cf0000</v>
      </c>
      <c r="AM91" s="6" t="str">
        <f t="array" ref="AM91">INDEX(Factions!E:E, MATCH(E91, Factions!B:B, 0))</f>
        <v>#000000</v>
      </c>
      <c r="AN91" s="76" t="str">
        <f t="array" ref="AN91">INDEX(Factions!F:F, MATCH(E91, Factions!B:B, 0))</f>
        <v>#ffffff</v>
      </c>
      <c r="AO91" s="76" t="str">
        <f t="array" ref="AO91">concat(INDEX(Factions!G:G, MATCH(E91, Factions!B:B, 0)),".png")</f>
        <v>redspines.png</v>
      </c>
      <c r="AP91" s="84">
        <f>IFERROR(__xludf.DUMMYFUNCTION("MIN(FILTER(M91:M1098, F91:F1098=F91))"),1.0)</f>
        <v>1</v>
      </c>
      <c r="AQ91" s="76">
        <f t="shared" si="2"/>
        <v>6</v>
      </c>
      <c r="AR91" s="86">
        <f>IFERROR(__xludf.DUMMYFUNCTION("IF(and(REGEXMATCH(S91,""Vengence""),not(REGEXMATCH(S91, ""Protective Markings""))),AQ91,AQ91 * 6 / iferror(R91-1,6))"),6.0)</f>
        <v>6</v>
      </c>
      <c r="AS91" s="88">
        <f t="shared" si="3"/>
        <v>2</v>
      </c>
      <c r="AT91" s="89">
        <f t="shared" si="4"/>
        <v>6</v>
      </c>
      <c r="AU91" s="86">
        <f>IFERROR(__xludf.DUMMYFUNCTION("IF(REGEXMATCH(S91,""&lt;b&gt;Poison&lt;/b&gt;""),1+((1/(7-N91))/3),1)"),1.0)</f>
        <v>1</v>
      </c>
      <c r="AV91" s="86">
        <f>IFERROR(__xludf.DUMMYFUNCTION("IF(REGEXMATCH(S91,""Vengence""),(7 - R91) / 3,0)"),0.3333333333333333)</f>
        <v>0.3333333333</v>
      </c>
      <c r="AW91" s="86">
        <f t="shared" si="5"/>
        <v>3.333333333</v>
      </c>
      <c r="AX91" s="84">
        <f t="shared" si="6"/>
        <v>11</v>
      </c>
      <c r="AY91" s="76" t="b">
        <f>IFERROR(__xludf.DUMMYFUNCTION("if(regexmatch(G91,""Mage|War Machine""),true,false)"),TRUE)</f>
        <v>1</v>
      </c>
    </row>
    <row r="92" ht="22.5" hidden="1" customHeight="1">
      <c r="A92" s="44" t="s">
        <v>950</v>
      </c>
      <c r="B92" s="6" t="s">
        <v>736</v>
      </c>
      <c r="C92" s="6" t="str">
        <f t="shared" si="1"/>
        <v>Scaled Empire Militia</v>
      </c>
      <c r="D92" s="6" t="b">
        <v>1</v>
      </c>
      <c r="E92" s="5" t="s">
        <v>10</v>
      </c>
      <c r="F92" s="134" t="s">
        <v>143</v>
      </c>
      <c r="G92" s="5" t="s">
        <v>140</v>
      </c>
      <c r="H92" s="60">
        <v>6.0</v>
      </c>
      <c r="I92" s="135">
        <v>1.0</v>
      </c>
      <c r="J92" s="135">
        <v>1.0</v>
      </c>
      <c r="K92" s="138"/>
      <c r="L92" s="135">
        <v>6.0</v>
      </c>
      <c r="M92" s="135">
        <v>1.0</v>
      </c>
      <c r="N92" s="135">
        <v>5.0</v>
      </c>
      <c r="O92" s="60" t="s">
        <v>147</v>
      </c>
      <c r="P92" s="136" t="s">
        <v>150</v>
      </c>
      <c r="Q92" s="135">
        <v>1.0</v>
      </c>
      <c r="R92" s="136" t="s">
        <v>217</v>
      </c>
      <c r="S92" s="144" t="s">
        <v>951</v>
      </c>
      <c r="T92" s="6">
        <v>3.0</v>
      </c>
      <c r="U92" s="76"/>
      <c r="V92" s="76"/>
      <c r="W92" s="76"/>
      <c r="X92" s="76"/>
      <c r="Y92" s="6">
        <v>1.0</v>
      </c>
      <c r="Z92" s="76"/>
      <c r="AA92" s="76"/>
      <c r="AB92" s="76"/>
      <c r="AC92" s="6">
        <v>1.0</v>
      </c>
      <c r="AD92" s="76"/>
      <c r="AE92" s="68" t="s">
        <v>167</v>
      </c>
      <c r="AF92" s="69" t="s">
        <v>171</v>
      </c>
      <c r="AG92" s="68" t="s">
        <v>167</v>
      </c>
      <c r="AH92" s="68" t="s">
        <v>167</v>
      </c>
      <c r="AI92" s="68" t="s">
        <v>167</v>
      </c>
      <c r="AJ92" s="69" t="s">
        <v>171</v>
      </c>
      <c r="AK92" s="76" t="str">
        <f t="array" ref="AK92">INDEX(Factions!C:C, MATCH(E92, Factions!B:B, 0))</f>
        <v>#c9daf8</v>
      </c>
      <c r="AL92" s="6" t="str">
        <f t="array" ref="AL92">INDEX(Factions!D:D, MATCH(E92, Factions!B:B, 0))</f>
        <v>#00399e</v>
      </c>
      <c r="AM92" s="6" t="str">
        <f t="array" ref="AM92">INDEX(Factions!E:E, MATCH(E92, Factions!B:B, 0))</f>
        <v>#000000</v>
      </c>
      <c r="AN92" s="76" t="str">
        <f t="array" ref="AN92">INDEX(Factions!F:F, MATCH(E92, Factions!B:B, 0))</f>
        <v>#ffffff</v>
      </c>
      <c r="AO92" s="76" t="str">
        <f t="array" ref="AO92">concat(INDEX(Factions!G:G, MATCH(E92, Factions!B:B, 0)),".png")</f>
        <v>empire.png</v>
      </c>
      <c r="AP92" s="84">
        <f>IFERROR(__xludf.DUMMYFUNCTION("MIN(FILTER(M92:M1098, F92:F1098=F92))"),1.0)</f>
        <v>1</v>
      </c>
      <c r="AQ92" s="76">
        <f t="shared" si="2"/>
        <v>6</v>
      </c>
      <c r="AR92" s="86">
        <f>IFERROR(__xludf.DUMMYFUNCTION("IF(and(REGEXMATCH(S92,""Vengence""),not(REGEXMATCH(S92, ""Protective Markings""))),AQ92,AQ92 * 6 / iferror(R92-1,6))"),7.2)</f>
        <v>7.2</v>
      </c>
      <c r="AS92" s="88">
        <f t="shared" si="3"/>
        <v>1</v>
      </c>
      <c r="AT92" s="89">
        <f t="shared" si="4"/>
        <v>6</v>
      </c>
      <c r="AU92" s="86">
        <f>IFERROR(__xludf.DUMMYFUNCTION("IF(REGEXMATCH(S92,""&lt;b&gt;Poison&lt;/b&gt;""),1+((1/(7-N92))/3),1)"),1.0)</f>
        <v>1</v>
      </c>
      <c r="AV92" s="86">
        <f>IFERROR(__xludf.DUMMYFUNCTION("IF(REGEXMATCH(S92,""Vengence""),(7 - R92) / 3,0)"),0.0)</f>
        <v>0</v>
      </c>
      <c r="AW92" s="86">
        <f t="shared" si="5"/>
        <v>2</v>
      </c>
      <c r="AX92" s="84">
        <f t="shared" si="6"/>
        <v>10.2</v>
      </c>
      <c r="AY92" s="76" t="b">
        <f>IFERROR(__xludf.DUMMYFUNCTION("if(regexmatch(G92,""Mage|War Machine""),true,false)"),FALSE)</f>
        <v>0</v>
      </c>
    </row>
    <row r="93" ht="22.5" hidden="1" customHeight="1">
      <c r="A93" s="44" t="s">
        <v>952</v>
      </c>
      <c r="B93" s="6" t="s">
        <v>81</v>
      </c>
      <c r="C93" s="6" t="str">
        <f t="shared" si="1"/>
        <v>Scaled Empire Warriors</v>
      </c>
      <c r="D93" s="6" t="b">
        <v>1</v>
      </c>
      <c r="E93" s="5" t="s">
        <v>10</v>
      </c>
      <c r="F93" s="134" t="s">
        <v>143</v>
      </c>
      <c r="G93" s="5" t="s">
        <v>81</v>
      </c>
      <c r="H93" s="60">
        <v>6.0</v>
      </c>
      <c r="I93" s="135">
        <v>1.0</v>
      </c>
      <c r="J93" s="135">
        <v>2.0</v>
      </c>
      <c r="K93" s="138"/>
      <c r="L93" s="135">
        <v>6.0</v>
      </c>
      <c r="M93" s="135">
        <v>1.0</v>
      </c>
      <c r="N93" s="135">
        <v>4.0</v>
      </c>
      <c r="O93" s="60">
        <v>6.0</v>
      </c>
      <c r="P93" s="136" t="s">
        <v>150</v>
      </c>
      <c r="Q93" s="135">
        <v>1.0</v>
      </c>
      <c r="R93" s="136" t="s">
        <v>153</v>
      </c>
      <c r="S93" s="144" t="s">
        <v>953</v>
      </c>
      <c r="T93" s="6">
        <v>4.0</v>
      </c>
      <c r="U93" s="76"/>
      <c r="V93" s="76"/>
      <c r="W93" s="76"/>
      <c r="X93" s="76"/>
      <c r="Y93" s="6">
        <v>1.0</v>
      </c>
      <c r="Z93" s="6">
        <v>1.0</v>
      </c>
      <c r="AA93" s="6">
        <v>1.0</v>
      </c>
      <c r="AB93" s="6">
        <v>1.0</v>
      </c>
      <c r="AC93" s="6">
        <v>1.0</v>
      </c>
      <c r="AD93" s="6">
        <v>1.0</v>
      </c>
      <c r="AE93" s="68" t="s">
        <v>167</v>
      </c>
      <c r="AF93" s="68" t="s">
        <v>167</v>
      </c>
      <c r="AG93" s="68" t="s">
        <v>167</v>
      </c>
      <c r="AH93" s="68" t="s">
        <v>167</v>
      </c>
      <c r="AI93" s="68" t="s">
        <v>167</v>
      </c>
      <c r="AJ93" s="68" t="s">
        <v>167</v>
      </c>
      <c r="AK93" s="76" t="str">
        <f t="array" ref="AK93">INDEX(Factions!C:C, MATCH(E93, Factions!B:B, 0))</f>
        <v>#c9daf8</v>
      </c>
      <c r="AL93" s="6" t="str">
        <f t="array" ref="AL93">INDEX(Factions!D:D, MATCH(E93, Factions!B:B, 0))</f>
        <v>#00399e</v>
      </c>
      <c r="AM93" s="6" t="str">
        <f t="array" ref="AM93">INDEX(Factions!E:E, MATCH(E93, Factions!B:B, 0))</f>
        <v>#000000</v>
      </c>
      <c r="AN93" s="76" t="str">
        <f t="array" ref="AN93">INDEX(Factions!F:F, MATCH(E93, Factions!B:B, 0))</f>
        <v>#ffffff</v>
      </c>
      <c r="AO93" s="76" t="str">
        <f t="array" ref="AO93">concat(INDEX(Factions!G:G, MATCH(E93, Factions!B:B, 0)),".png")</f>
        <v>empire.png</v>
      </c>
      <c r="AP93" s="84">
        <f>IFERROR(__xludf.DUMMYFUNCTION("MIN(FILTER(M93:M1098, F93:F1098=F93))"),1.0)</f>
        <v>1</v>
      </c>
      <c r="AQ93" s="76">
        <f t="shared" si="2"/>
        <v>6</v>
      </c>
      <c r="AR93" s="86">
        <f>IFERROR(__xludf.DUMMYFUNCTION("IF(and(REGEXMATCH(S93,""Vengence""),not(REGEXMATCH(S93, ""Protective Markings""))),AQ93,AQ93 * 6 / iferror(R93-1,6))"),9.0)</f>
        <v>9</v>
      </c>
      <c r="AS93" s="88">
        <f t="shared" si="3"/>
        <v>1</v>
      </c>
      <c r="AT93" s="89">
        <f t="shared" si="4"/>
        <v>6</v>
      </c>
      <c r="AU93" s="86">
        <f>IFERROR(__xludf.DUMMYFUNCTION("IF(REGEXMATCH(S93,""&lt;b&gt;Poison&lt;/b&gt;""),1+((1/(7-N93))/3),1)"),1.0)</f>
        <v>1</v>
      </c>
      <c r="AV93" s="86">
        <f>IFERROR(__xludf.DUMMYFUNCTION("IF(REGEXMATCH(S93,""Vengence""),(7 - R93) / 3,0)"),0.0)</f>
        <v>0</v>
      </c>
      <c r="AW93" s="86">
        <f t="shared" si="5"/>
        <v>3</v>
      </c>
      <c r="AX93" s="84">
        <f t="shared" si="6"/>
        <v>13.5</v>
      </c>
      <c r="AY93" s="76" t="b">
        <f>IFERROR(__xludf.DUMMYFUNCTION("if(regexmatch(G93,""Mage|War Machine""),true,false)"),FALSE)</f>
        <v>0</v>
      </c>
    </row>
    <row r="94" ht="22.5" hidden="1" customHeight="1">
      <c r="A94" s="44" t="s">
        <v>954</v>
      </c>
      <c r="B94" s="6" t="s">
        <v>742</v>
      </c>
      <c r="C94" s="6" t="str">
        <f t="shared" si="1"/>
        <v>Scaled Empire Firepowder Corps</v>
      </c>
      <c r="D94" s="6" t="b">
        <v>1</v>
      </c>
      <c r="E94" s="5" t="s">
        <v>10</v>
      </c>
      <c r="F94" s="134" t="s">
        <v>143</v>
      </c>
      <c r="G94" s="5" t="s">
        <v>142</v>
      </c>
      <c r="H94" s="60">
        <v>6.0</v>
      </c>
      <c r="I94" s="135">
        <v>1.0</v>
      </c>
      <c r="J94" s="135">
        <v>2.0</v>
      </c>
      <c r="K94" s="138"/>
      <c r="L94" s="135">
        <v>6.0</v>
      </c>
      <c r="M94" s="135">
        <v>1.0</v>
      </c>
      <c r="N94" s="62">
        <v>5.0</v>
      </c>
      <c r="O94" s="64">
        <v>4.0</v>
      </c>
      <c r="P94" s="66" t="s">
        <v>150</v>
      </c>
      <c r="Q94" s="62">
        <v>1.0</v>
      </c>
      <c r="R94" s="66" t="s">
        <v>217</v>
      </c>
      <c r="S94" s="144" t="s">
        <v>953</v>
      </c>
      <c r="T94" s="6">
        <v>3.0</v>
      </c>
      <c r="U94" s="76"/>
      <c r="V94" s="76"/>
      <c r="W94" s="76"/>
      <c r="X94" s="76"/>
      <c r="Y94" s="76"/>
      <c r="Z94" s="76"/>
      <c r="AA94" s="76"/>
      <c r="AB94" s="76"/>
      <c r="AC94" s="76"/>
      <c r="AD94" s="6">
        <v>1.0</v>
      </c>
      <c r="AE94" s="68" t="s">
        <v>167</v>
      </c>
      <c r="AF94" s="69" t="s">
        <v>171</v>
      </c>
      <c r="AG94" s="90" t="s">
        <v>195</v>
      </c>
      <c r="AH94" s="68" t="s">
        <v>167</v>
      </c>
      <c r="AI94" s="68" t="s">
        <v>167</v>
      </c>
      <c r="AJ94" s="69" t="s">
        <v>171</v>
      </c>
      <c r="AK94" s="76" t="str">
        <f t="array" ref="AK94">INDEX(Factions!C:C, MATCH(E94, Factions!B:B, 0))</f>
        <v>#c9daf8</v>
      </c>
      <c r="AL94" s="6" t="str">
        <f t="array" ref="AL94">INDEX(Factions!D:D, MATCH(E94, Factions!B:B, 0))</f>
        <v>#00399e</v>
      </c>
      <c r="AM94" s="6" t="str">
        <f t="array" ref="AM94">INDEX(Factions!E:E, MATCH(E94, Factions!B:B, 0))</f>
        <v>#000000</v>
      </c>
      <c r="AN94" s="76" t="str">
        <f t="array" ref="AN94">INDEX(Factions!F:F, MATCH(E94, Factions!B:B, 0))</f>
        <v>#ffffff</v>
      </c>
      <c r="AO94" s="76" t="str">
        <f t="array" ref="AO94">concat(INDEX(Factions!G:G, MATCH(E94, Factions!B:B, 0)),".png")</f>
        <v>empire.png</v>
      </c>
      <c r="AP94" s="84">
        <f>IFERROR(__xludf.DUMMYFUNCTION("MIN(FILTER(M94:M1098, F94:F1098=F94))"),1.0)</f>
        <v>1</v>
      </c>
      <c r="AQ94" s="76">
        <f t="shared" si="2"/>
        <v>6</v>
      </c>
      <c r="AR94" s="86">
        <f>IFERROR(__xludf.DUMMYFUNCTION("IF(and(REGEXMATCH(S94,""Vengence""),not(REGEXMATCH(S94, ""Protective Markings""))),AQ94,AQ94 * 6 / iferror(R94-1,6))"),7.2)</f>
        <v>7.2</v>
      </c>
      <c r="AS94" s="88">
        <f t="shared" si="3"/>
        <v>1</v>
      </c>
      <c r="AT94" s="89">
        <f t="shared" si="4"/>
        <v>6</v>
      </c>
      <c r="AU94" s="86">
        <f>IFERROR(__xludf.DUMMYFUNCTION("IF(REGEXMATCH(S94,""&lt;b&gt;Poison&lt;/b&gt;""),1+((1/(7-N94))/3),1)"),1.0)</f>
        <v>1</v>
      </c>
      <c r="AV94" s="86">
        <f>IFERROR(__xludf.DUMMYFUNCTION("IF(REGEXMATCH(S94,""Vengence""),(7 - R94) / 3,0)"),0.0)</f>
        <v>0</v>
      </c>
      <c r="AW94" s="86">
        <f t="shared" si="5"/>
        <v>2</v>
      </c>
      <c r="AX94" s="84">
        <f t="shared" si="6"/>
        <v>10.2</v>
      </c>
      <c r="AY94" s="76" t="b">
        <f>IFERROR(__xludf.DUMMYFUNCTION("if(regexmatch(G94,""Mage|War Machine""),true,false)"),FALSE)</f>
        <v>0</v>
      </c>
    </row>
    <row r="95" ht="22.5" hidden="1" customHeight="1">
      <c r="A95" s="44" t="s">
        <v>955</v>
      </c>
      <c r="B95" s="6" t="s">
        <v>956</v>
      </c>
      <c r="C95" s="6" t="str">
        <f t="shared" si="1"/>
        <v>Scaled Empire Scalewall</v>
      </c>
      <c r="D95" s="6" t="b">
        <v>1</v>
      </c>
      <c r="E95" s="5" t="s">
        <v>10</v>
      </c>
      <c r="F95" s="134" t="s">
        <v>143</v>
      </c>
      <c r="G95" s="5" t="s">
        <v>144</v>
      </c>
      <c r="H95" s="60">
        <v>6.0</v>
      </c>
      <c r="I95" s="135">
        <v>1.0</v>
      </c>
      <c r="J95" s="135">
        <v>3.0</v>
      </c>
      <c r="K95" s="138"/>
      <c r="L95" s="135">
        <v>6.0</v>
      </c>
      <c r="M95" s="135">
        <v>1.0</v>
      </c>
      <c r="N95" s="62">
        <v>4.0</v>
      </c>
      <c r="O95" s="64" t="s">
        <v>147</v>
      </c>
      <c r="P95" s="66" t="s">
        <v>150</v>
      </c>
      <c r="Q95" s="62">
        <v>1.0</v>
      </c>
      <c r="R95" s="66" t="s">
        <v>194</v>
      </c>
      <c r="S95" s="144" t="s">
        <v>957</v>
      </c>
      <c r="T95" s="6">
        <v>5.0</v>
      </c>
      <c r="U95" s="76"/>
      <c r="V95" s="76"/>
      <c r="W95" s="76"/>
      <c r="X95" s="76"/>
      <c r="Y95" s="6">
        <v>1.0</v>
      </c>
      <c r="Z95" s="76"/>
      <c r="AA95" s="76"/>
      <c r="AB95" s="76"/>
      <c r="AC95" s="6">
        <v>1.0</v>
      </c>
      <c r="AD95" s="76"/>
      <c r="AE95" s="68" t="s">
        <v>167</v>
      </c>
      <c r="AF95" s="68" t="s">
        <v>167</v>
      </c>
      <c r="AG95" s="68" t="s">
        <v>167</v>
      </c>
      <c r="AH95" s="68" t="s">
        <v>167</v>
      </c>
      <c r="AI95" s="68" t="s">
        <v>167</v>
      </c>
      <c r="AJ95" s="90" t="s">
        <v>195</v>
      </c>
      <c r="AK95" s="76" t="str">
        <f t="array" ref="AK95">INDEX(Factions!C:C, MATCH(E95, Factions!B:B, 0))</f>
        <v>#c9daf8</v>
      </c>
      <c r="AL95" s="6" t="str">
        <f t="array" ref="AL95">INDEX(Factions!D:D, MATCH(E95, Factions!B:B, 0))</f>
        <v>#00399e</v>
      </c>
      <c r="AM95" s="6" t="str">
        <f t="array" ref="AM95">INDEX(Factions!E:E, MATCH(E95, Factions!B:B, 0))</f>
        <v>#000000</v>
      </c>
      <c r="AN95" s="76" t="str">
        <f t="array" ref="AN95">INDEX(Factions!F:F, MATCH(E95, Factions!B:B, 0))</f>
        <v>#ffffff</v>
      </c>
      <c r="AO95" s="76" t="str">
        <f t="array" ref="AO95">concat(INDEX(Factions!G:G, MATCH(E95, Factions!B:B, 0)),".png")</f>
        <v>empire.png</v>
      </c>
      <c r="AP95" s="84">
        <f>IFERROR(__xludf.DUMMYFUNCTION("MIN(FILTER(M95:M1098, F95:F1098=F95))"),1.0)</f>
        <v>1</v>
      </c>
      <c r="AQ95" s="76">
        <f t="shared" si="2"/>
        <v>6</v>
      </c>
      <c r="AR95" s="86">
        <f>IFERROR(__xludf.DUMMYFUNCTION("IF(and(REGEXMATCH(S95,""Vengence""),not(REGEXMATCH(S95, ""Protective Markings""))),AQ95,AQ95 * 6 / iferror(R95-1,6))"),12.0)</f>
        <v>12</v>
      </c>
      <c r="AS95" s="88">
        <f t="shared" si="3"/>
        <v>1</v>
      </c>
      <c r="AT95" s="89">
        <f t="shared" si="4"/>
        <v>6</v>
      </c>
      <c r="AU95" s="86">
        <f>IFERROR(__xludf.DUMMYFUNCTION("IF(REGEXMATCH(S95,""&lt;b&gt;Poison&lt;/b&gt;""),1+((1/(7-N95))/3),1)"),1.0)</f>
        <v>1</v>
      </c>
      <c r="AV95" s="86">
        <f>IFERROR(__xludf.DUMMYFUNCTION("IF(REGEXMATCH(S95,""Vengence""),(7 - R95) / 3,0)"),0.0)</f>
        <v>0</v>
      </c>
      <c r="AW95" s="86">
        <f t="shared" si="5"/>
        <v>3</v>
      </c>
      <c r="AX95" s="84">
        <f t="shared" si="6"/>
        <v>16.5</v>
      </c>
      <c r="AY95" s="76" t="b">
        <f>IFERROR(__xludf.DUMMYFUNCTION("if(regexmatch(G95,""Mage|War Machine""),true,false)"),FALSE)</f>
        <v>0</v>
      </c>
    </row>
    <row r="96" ht="22.5" hidden="1" customHeight="1">
      <c r="A96" s="44" t="s">
        <v>958</v>
      </c>
      <c r="B96" s="6" t="s">
        <v>59</v>
      </c>
      <c r="C96" s="6" t="str">
        <f t="shared" si="1"/>
        <v>Scaled Empire Horsebreakers</v>
      </c>
      <c r="D96" s="6" t="b">
        <v>1</v>
      </c>
      <c r="E96" s="5" t="s">
        <v>10</v>
      </c>
      <c r="F96" s="134" t="s">
        <v>143</v>
      </c>
      <c r="G96" s="5" t="s">
        <v>143</v>
      </c>
      <c r="H96" s="60">
        <v>6.0</v>
      </c>
      <c r="I96" s="135">
        <v>1.0</v>
      </c>
      <c r="J96" s="135">
        <v>3.0</v>
      </c>
      <c r="K96" s="138"/>
      <c r="L96" s="135">
        <v>6.0</v>
      </c>
      <c r="M96" s="135">
        <v>1.0</v>
      </c>
      <c r="N96" s="135">
        <v>4.0</v>
      </c>
      <c r="O96" s="60" t="s">
        <v>147</v>
      </c>
      <c r="P96" s="136" t="s">
        <v>150</v>
      </c>
      <c r="Q96" s="135">
        <v>1.0</v>
      </c>
      <c r="R96" s="136" t="s">
        <v>153</v>
      </c>
      <c r="S96" s="144" t="s">
        <v>959</v>
      </c>
      <c r="T96" s="6">
        <v>5.0</v>
      </c>
      <c r="U96" s="76"/>
      <c r="V96" s="76"/>
      <c r="W96" s="76"/>
      <c r="X96" s="76"/>
      <c r="Y96" s="6">
        <v>1.0</v>
      </c>
      <c r="Z96" s="6"/>
      <c r="AA96" s="6"/>
      <c r="AB96" s="6"/>
      <c r="AC96" s="6">
        <v>1.0</v>
      </c>
      <c r="AD96" s="76"/>
      <c r="AE96" s="68" t="s">
        <v>167</v>
      </c>
      <c r="AF96" s="68" t="s">
        <v>167</v>
      </c>
      <c r="AG96" s="68" t="s">
        <v>167</v>
      </c>
      <c r="AH96" s="68" t="s">
        <v>167</v>
      </c>
      <c r="AI96" s="68" t="s">
        <v>167</v>
      </c>
      <c r="AJ96" s="68" t="s">
        <v>167</v>
      </c>
      <c r="AK96" s="76" t="str">
        <f t="array" ref="AK96">INDEX(Factions!C:C, MATCH(E96, Factions!B:B, 0))</f>
        <v>#c9daf8</v>
      </c>
      <c r="AL96" s="6" t="str">
        <f t="array" ref="AL96">INDEX(Factions!D:D, MATCH(E96, Factions!B:B, 0))</f>
        <v>#00399e</v>
      </c>
      <c r="AM96" s="6" t="str">
        <f t="array" ref="AM96">INDEX(Factions!E:E, MATCH(E96, Factions!B:B, 0))</f>
        <v>#000000</v>
      </c>
      <c r="AN96" s="76" t="str">
        <f t="array" ref="AN96">INDEX(Factions!F:F, MATCH(E96, Factions!B:B, 0))</f>
        <v>#ffffff</v>
      </c>
      <c r="AO96" s="76" t="str">
        <f t="array" ref="AO96">concat(INDEX(Factions!G:G, MATCH(E96, Factions!B:B, 0)),".png")</f>
        <v>empire.png</v>
      </c>
      <c r="AP96" s="84">
        <f>IFERROR(__xludf.DUMMYFUNCTION("MIN(FILTER(M96:M1098, F96:F1098=F96))"),1.0)</f>
        <v>1</v>
      </c>
      <c r="AQ96" s="76">
        <f t="shared" si="2"/>
        <v>6</v>
      </c>
      <c r="AR96" s="86">
        <f>IFERROR(__xludf.DUMMYFUNCTION("IF(and(REGEXMATCH(S96,""Vengence""),not(REGEXMATCH(S96, ""Protective Markings""))),AQ96,AQ96 * 6 / iferror(R96-1,6))"),9.0)</f>
        <v>9</v>
      </c>
      <c r="AS96" s="88">
        <f t="shared" si="3"/>
        <v>1</v>
      </c>
      <c r="AT96" s="89">
        <f t="shared" si="4"/>
        <v>6</v>
      </c>
      <c r="AU96" s="86">
        <f>IFERROR(__xludf.DUMMYFUNCTION("IF(REGEXMATCH(S96,""&lt;b&gt;Poison&lt;/b&gt;""),1+((1/(7-N96))/3),1)"),1.0)</f>
        <v>1</v>
      </c>
      <c r="AV96" s="86">
        <f>IFERROR(__xludf.DUMMYFUNCTION("IF(REGEXMATCH(S96,""Vengence""),(7 - R96) / 3,0)"),0.0)</f>
        <v>0</v>
      </c>
      <c r="AW96" s="86">
        <f t="shared" si="5"/>
        <v>3</v>
      </c>
      <c r="AX96" s="84">
        <f t="shared" si="6"/>
        <v>13.5</v>
      </c>
      <c r="AY96" s="76" t="b">
        <f>IFERROR(__xludf.DUMMYFUNCTION("if(regexmatch(G96,""Mage|War Machine""),true,false)"),FALSE)</f>
        <v>0</v>
      </c>
    </row>
    <row r="97" ht="22.5" hidden="1" customHeight="1">
      <c r="A97" s="44" t="s">
        <v>960</v>
      </c>
      <c r="B97" s="6" t="s">
        <v>55</v>
      </c>
      <c r="C97" s="6" t="str">
        <f t="shared" si="1"/>
        <v>Scaled Empire Scout Corps</v>
      </c>
      <c r="D97" s="6" t="b">
        <v>1</v>
      </c>
      <c r="E97" s="5" t="s">
        <v>10</v>
      </c>
      <c r="F97" s="134" t="s">
        <v>143</v>
      </c>
      <c r="G97" s="5" t="s">
        <v>142</v>
      </c>
      <c r="H97" s="60">
        <v>6.0</v>
      </c>
      <c r="I97" s="135">
        <v>1.0</v>
      </c>
      <c r="J97" s="135">
        <v>3.0</v>
      </c>
      <c r="K97" s="138"/>
      <c r="L97" s="135">
        <v>6.0</v>
      </c>
      <c r="M97" s="135">
        <v>1.0</v>
      </c>
      <c r="N97" s="62">
        <v>5.0</v>
      </c>
      <c r="O97" s="64">
        <v>4.0</v>
      </c>
      <c r="P97" s="66" t="s">
        <v>150</v>
      </c>
      <c r="Q97" s="62">
        <v>1.0</v>
      </c>
      <c r="R97" s="66" t="s">
        <v>217</v>
      </c>
      <c r="S97" s="144" t="s">
        <v>961</v>
      </c>
      <c r="T97" s="6">
        <v>3.0</v>
      </c>
      <c r="U97" s="76"/>
      <c r="V97" s="76"/>
      <c r="W97" s="76"/>
      <c r="X97" s="76"/>
      <c r="Y97" s="6">
        <v>1.0</v>
      </c>
      <c r="Z97" s="6">
        <v>1.0</v>
      </c>
      <c r="AA97" s="6">
        <v>1.0</v>
      </c>
      <c r="AB97" s="6">
        <v>1.0</v>
      </c>
      <c r="AC97" s="76"/>
      <c r="AD97" s="6"/>
      <c r="AE97" s="68" t="s">
        <v>167</v>
      </c>
      <c r="AF97" s="69" t="s">
        <v>171</v>
      </c>
      <c r="AG97" s="90" t="s">
        <v>195</v>
      </c>
      <c r="AH97" s="68" t="s">
        <v>167</v>
      </c>
      <c r="AI97" s="68" t="s">
        <v>167</v>
      </c>
      <c r="AJ97" s="69" t="s">
        <v>171</v>
      </c>
      <c r="AK97" s="76" t="str">
        <f t="array" ref="AK97">INDEX(Factions!C:C, MATCH(E97, Factions!B:B, 0))</f>
        <v>#c9daf8</v>
      </c>
      <c r="AL97" s="6" t="str">
        <f t="array" ref="AL97">INDEX(Factions!D:D, MATCH(E97, Factions!B:B, 0))</f>
        <v>#00399e</v>
      </c>
      <c r="AM97" s="6" t="str">
        <f t="array" ref="AM97">INDEX(Factions!E:E, MATCH(E97, Factions!B:B, 0))</f>
        <v>#000000</v>
      </c>
      <c r="AN97" s="76" t="str">
        <f t="array" ref="AN97">INDEX(Factions!F:F, MATCH(E97, Factions!B:B, 0))</f>
        <v>#ffffff</v>
      </c>
      <c r="AO97" s="76" t="str">
        <f t="array" ref="AO97">concat(INDEX(Factions!G:G, MATCH(E97, Factions!B:B, 0)),".png")</f>
        <v>empire.png</v>
      </c>
      <c r="AP97" s="84">
        <f>IFERROR(__xludf.DUMMYFUNCTION("MIN(FILTER(M97:M1098, F97:F1098=F97))"),1.0)</f>
        <v>1</v>
      </c>
      <c r="AQ97" s="76">
        <f t="shared" si="2"/>
        <v>6</v>
      </c>
      <c r="AR97" s="86">
        <f>IFERROR(__xludf.DUMMYFUNCTION("IF(and(REGEXMATCH(S97,""Vengence""),not(REGEXMATCH(S97, ""Protective Markings""))),AQ97,AQ97 * 6 / iferror(R97-1,6))"),7.2)</f>
        <v>7.2</v>
      </c>
      <c r="AS97" s="88">
        <f t="shared" si="3"/>
        <v>1</v>
      </c>
      <c r="AT97" s="89">
        <f t="shared" si="4"/>
        <v>6</v>
      </c>
      <c r="AU97" s="86">
        <f>IFERROR(__xludf.DUMMYFUNCTION("IF(REGEXMATCH(S97,""&lt;b&gt;Poison&lt;/b&gt;""),1+((1/(7-N97))/3),1)"),1.0)</f>
        <v>1</v>
      </c>
      <c r="AV97" s="86">
        <f>IFERROR(__xludf.DUMMYFUNCTION("IF(REGEXMATCH(S97,""Vengence""),(7 - R97) / 3,0)"),0.0)</f>
        <v>0</v>
      </c>
      <c r="AW97" s="86">
        <f t="shared" si="5"/>
        <v>2</v>
      </c>
      <c r="AX97" s="84">
        <f t="shared" si="6"/>
        <v>10.2</v>
      </c>
      <c r="AY97" s="76" t="b">
        <f>IFERROR(__xludf.DUMMYFUNCTION("if(regexmatch(G97,""Mage|War Machine""),true,false)"),FALSE)</f>
        <v>0</v>
      </c>
    </row>
    <row r="98" ht="22.5" hidden="1" customHeight="1">
      <c r="A98" s="44" t="s">
        <v>962</v>
      </c>
      <c r="B98" s="6" t="s">
        <v>963</v>
      </c>
      <c r="C98" s="6" t="str">
        <f t="shared" si="1"/>
        <v>Scaled Empire Bluemasks</v>
      </c>
      <c r="D98" s="6" t="b">
        <v>1</v>
      </c>
      <c r="E98" s="5" t="s">
        <v>10</v>
      </c>
      <c r="F98" s="134" t="s">
        <v>774</v>
      </c>
      <c r="G98" s="5" t="s">
        <v>144</v>
      </c>
      <c r="H98" s="60">
        <v>5.0</v>
      </c>
      <c r="I98" s="135">
        <v>2.0</v>
      </c>
      <c r="J98" s="135"/>
      <c r="K98" s="138"/>
      <c r="L98" s="135">
        <v>6.0</v>
      </c>
      <c r="M98" s="135">
        <v>1.0</v>
      </c>
      <c r="N98" s="135">
        <v>4.0</v>
      </c>
      <c r="O98" s="60" t="s">
        <v>147</v>
      </c>
      <c r="P98" s="136" t="s">
        <v>150</v>
      </c>
      <c r="Q98" s="135">
        <v>1.0</v>
      </c>
      <c r="R98" s="136" t="s">
        <v>194</v>
      </c>
      <c r="S98" s="144" t="s">
        <v>964</v>
      </c>
      <c r="T98" s="6">
        <v>6.0</v>
      </c>
      <c r="U98" s="76"/>
      <c r="V98" s="76"/>
      <c r="W98" s="76"/>
      <c r="X98" s="76"/>
      <c r="Y98" s="6">
        <v>2.0</v>
      </c>
      <c r="Z98" s="6">
        <v>2.0</v>
      </c>
      <c r="AA98" s="6">
        <v>2.0</v>
      </c>
      <c r="AB98" s="6">
        <v>2.0</v>
      </c>
      <c r="AC98" s="6">
        <v>2.0</v>
      </c>
      <c r="AD98" s="6">
        <v>2.0</v>
      </c>
      <c r="AE98" s="68" t="s">
        <v>167</v>
      </c>
      <c r="AF98" s="68" t="s">
        <v>167</v>
      </c>
      <c r="AG98" s="68" t="s">
        <v>167</v>
      </c>
      <c r="AH98" s="68" t="s">
        <v>167</v>
      </c>
      <c r="AI98" s="68" t="s">
        <v>167</v>
      </c>
      <c r="AJ98" s="90" t="s">
        <v>195</v>
      </c>
      <c r="AK98" s="76" t="str">
        <f t="array" ref="AK98">INDEX(Factions!C:C, MATCH(E98, Factions!B:B, 0))</f>
        <v>#c9daf8</v>
      </c>
      <c r="AL98" s="6" t="str">
        <f t="array" ref="AL98">INDEX(Factions!D:D, MATCH(E98, Factions!B:B, 0))</f>
        <v>#00399e</v>
      </c>
      <c r="AM98" s="6" t="str">
        <f t="array" ref="AM98">INDEX(Factions!E:E, MATCH(E98, Factions!B:B, 0))</f>
        <v>#000000</v>
      </c>
      <c r="AN98" s="76" t="str">
        <f t="array" ref="AN98">INDEX(Factions!F:F, MATCH(E98, Factions!B:B, 0))</f>
        <v>#ffffff</v>
      </c>
      <c r="AO98" s="76" t="str">
        <f t="array" ref="AO98">concat(INDEX(Factions!G:G, MATCH(E98, Factions!B:B, 0)),".png")</f>
        <v>empire.png</v>
      </c>
      <c r="AP98" s="84">
        <f>IFERROR(__xludf.DUMMYFUNCTION("MIN(FILTER(M98:M1098, F98:F1098=F98))"),1.0)</f>
        <v>1</v>
      </c>
      <c r="AQ98" s="76">
        <f t="shared" si="2"/>
        <v>6</v>
      </c>
      <c r="AR98" s="86">
        <f>IFERROR(__xludf.DUMMYFUNCTION("IF(and(REGEXMATCH(S98,""Vengence""),not(REGEXMATCH(S98, ""Protective Markings""))),AQ98,AQ98 * 6 / iferror(R98-1,6))"),12.0)</f>
        <v>12</v>
      </c>
      <c r="AS98" s="88">
        <f t="shared" si="3"/>
        <v>1</v>
      </c>
      <c r="AT98" s="89">
        <f t="shared" si="4"/>
        <v>6</v>
      </c>
      <c r="AU98" s="86">
        <f>IFERROR(__xludf.DUMMYFUNCTION("IF(REGEXMATCH(S98,""&lt;b&gt;Poison&lt;/b&gt;""),1+((1/(7-N98))/3),1)"),1.0)</f>
        <v>1</v>
      </c>
      <c r="AV98" s="86">
        <f>IFERROR(__xludf.DUMMYFUNCTION("IF(REGEXMATCH(S98,""Vengence""),(7 - R98) / 3,0)"),0.0)</f>
        <v>0</v>
      </c>
      <c r="AW98" s="86">
        <f t="shared" si="5"/>
        <v>3</v>
      </c>
      <c r="AX98" s="84">
        <f t="shared" si="6"/>
        <v>16.5</v>
      </c>
      <c r="AY98" s="76" t="b">
        <f>IFERROR(__xludf.DUMMYFUNCTION("if(regexmatch(G98,""Mage|War Machine""),true,false)"),FALSE)</f>
        <v>0</v>
      </c>
    </row>
    <row r="99" ht="22.5" hidden="1" customHeight="1">
      <c r="A99" s="44" t="s">
        <v>965</v>
      </c>
      <c r="B99" s="6" t="s">
        <v>966</v>
      </c>
      <c r="C99" s="6" t="str">
        <f t="shared" si="1"/>
        <v>Scaled Empire Dragoons</v>
      </c>
      <c r="D99" s="6" t="b">
        <v>1</v>
      </c>
      <c r="E99" s="5" t="s">
        <v>10</v>
      </c>
      <c r="F99" s="134" t="s">
        <v>967</v>
      </c>
      <c r="G99" s="5" t="s">
        <v>149</v>
      </c>
      <c r="H99" s="60">
        <v>6.0</v>
      </c>
      <c r="I99" s="135">
        <v>2.0</v>
      </c>
      <c r="J99" s="135"/>
      <c r="K99" s="138"/>
      <c r="L99" s="135">
        <v>4.0</v>
      </c>
      <c r="M99" s="135">
        <v>2.0</v>
      </c>
      <c r="N99" s="135">
        <v>4.0</v>
      </c>
      <c r="O99" s="60" t="s">
        <v>147</v>
      </c>
      <c r="P99" s="136" t="s">
        <v>372</v>
      </c>
      <c r="Q99" s="135">
        <v>2.0</v>
      </c>
      <c r="R99" s="136" t="s">
        <v>153</v>
      </c>
      <c r="S99" s="144" t="s">
        <v>968</v>
      </c>
      <c r="T99" s="6">
        <v>5.5</v>
      </c>
      <c r="U99" s="76"/>
      <c r="V99" s="76"/>
      <c r="W99" s="76"/>
      <c r="X99" s="76"/>
      <c r="Y99" s="6">
        <v>2.0</v>
      </c>
      <c r="Z99" s="6">
        <v>2.0</v>
      </c>
      <c r="AA99" s="6">
        <v>2.0</v>
      </c>
      <c r="AB99" s="76"/>
      <c r="AC99" s="6">
        <v>2.0</v>
      </c>
      <c r="AD99" s="76"/>
      <c r="AE99" s="90" t="s">
        <v>195</v>
      </c>
      <c r="AF99" s="68" t="s">
        <v>167</v>
      </c>
      <c r="AG99" s="68" t="s">
        <v>167</v>
      </c>
      <c r="AH99" s="90" t="s">
        <v>195</v>
      </c>
      <c r="AI99" s="90" t="s">
        <v>195</v>
      </c>
      <c r="AJ99" s="68" t="s">
        <v>167</v>
      </c>
      <c r="AK99" s="76" t="str">
        <f t="array" ref="AK99">INDEX(Factions!C:C, MATCH(E99, Factions!B:B, 0))</f>
        <v>#c9daf8</v>
      </c>
      <c r="AL99" s="6" t="str">
        <f t="array" ref="AL99">INDEX(Factions!D:D, MATCH(E99, Factions!B:B, 0))</f>
        <v>#00399e</v>
      </c>
      <c r="AM99" s="6" t="str">
        <f t="array" ref="AM99">INDEX(Factions!E:E, MATCH(E99, Factions!B:B, 0))</f>
        <v>#000000</v>
      </c>
      <c r="AN99" s="76" t="str">
        <f t="array" ref="AN99">INDEX(Factions!F:F, MATCH(E99, Factions!B:B, 0))</f>
        <v>#ffffff</v>
      </c>
      <c r="AO99" s="76" t="str">
        <f t="array" ref="AO99">concat(INDEX(Factions!G:G, MATCH(E99, Factions!B:B, 0)),".png")</f>
        <v>empire.png</v>
      </c>
      <c r="AP99" s="84">
        <f>IFERROR(__xludf.DUMMYFUNCTION("MIN(FILTER(M99:M1098, F99:F1098=F99))"),2.0)</f>
        <v>2</v>
      </c>
      <c r="AQ99" s="76">
        <f t="shared" si="2"/>
        <v>8</v>
      </c>
      <c r="AR99" s="86">
        <f>IFERROR(__xludf.DUMMYFUNCTION("IF(and(REGEXMATCH(S99,""Vengence""),not(REGEXMATCH(S99, ""Protective Markings""))),AQ99,AQ99 * 6 / iferror(R99-1,6))"),12.0)</f>
        <v>12</v>
      </c>
      <c r="AS99" s="88">
        <f t="shared" si="3"/>
        <v>2</v>
      </c>
      <c r="AT99" s="89">
        <f t="shared" si="4"/>
        <v>8</v>
      </c>
      <c r="AU99" s="86">
        <f>IFERROR(__xludf.DUMMYFUNCTION("IF(REGEXMATCH(S99,""&lt;b&gt;Poison&lt;/b&gt;""),1+((1/(7-N99))/3),1)"),1.0)</f>
        <v>1</v>
      </c>
      <c r="AV99" s="86">
        <f>IFERROR(__xludf.DUMMYFUNCTION("IF(REGEXMATCH(S99,""Vengence""),(7 - R99) / 3,0)"),0.0)</f>
        <v>0</v>
      </c>
      <c r="AW99" s="86">
        <f t="shared" si="5"/>
        <v>4</v>
      </c>
      <c r="AX99" s="84">
        <f t="shared" si="6"/>
        <v>18</v>
      </c>
      <c r="AY99" s="76" t="b">
        <f>IFERROR(__xludf.DUMMYFUNCTION("if(regexmatch(G99,""Mage|War Machine""),true,false)"),FALSE)</f>
        <v>0</v>
      </c>
    </row>
    <row r="100" ht="22.5" hidden="1" customHeight="1">
      <c r="A100" s="44" t="s">
        <v>969</v>
      </c>
      <c r="B100" s="6" t="s">
        <v>762</v>
      </c>
      <c r="C100" s="6" t="str">
        <f t="shared" si="1"/>
        <v>Scaled Empire Outriders</v>
      </c>
      <c r="D100" s="6" t="b">
        <v>1</v>
      </c>
      <c r="E100" s="5" t="s">
        <v>10</v>
      </c>
      <c r="F100" s="134" t="s">
        <v>967</v>
      </c>
      <c r="G100" s="5" t="s">
        <v>148</v>
      </c>
      <c r="H100" s="60">
        <v>6.0</v>
      </c>
      <c r="I100" s="135">
        <v>2.0</v>
      </c>
      <c r="J100" s="135"/>
      <c r="K100" s="138"/>
      <c r="L100" s="135">
        <v>4.0</v>
      </c>
      <c r="M100" s="135">
        <v>2.0</v>
      </c>
      <c r="N100" s="135">
        <v>5.0</v>
      </c>
      <c r="O100" s="60">
        <v>4.0</v>
      </c>
      <c r="P100" s="136" t="s">
        <v>150</v>
      </c>
      <c r="Q100" s="135">
        <v>1.0</v>
      </c>
      <c r="R100" s="136" t="s">
        <v>153</v>
      </c>
      <c r="S100" s="144" t="s">
        <v>970</v>
      </c>
      <c r="T100" s="6">
        <v>3.0</v>
      </c>
      <c r="U100" s="76"/>
      <c r="V100" s="76"/>
      <c r="W100" s="76"/>
      <c r="X100" s="76"/>
      <c r="Y100" s="6"/>
      <c r="Z100" s="6">
        <v>2.0</v>
      </c>
      <c r="AA100" s="6">
        <v>2.0</v>
      </c>
      <c r="AB100" s="76"/>
      <c r="AC100" s="6">
        <v>2.0</v>
      </c>
      <c r="AD100" s="6">
        <v>2.0</v>
      </c>
      <c r="AE100" s="90" t="s">
        <v>195</v>
      </c>
      <c r="AF100" s="69" t="s">
        <v>171</v>
      </c>
      <c r="AG100" s="90" t="s">
        <v>195</v>
      </c>
      <c r="AH100" s="69" t="s">
        <v>171</v>
      </c>
      <c r="AI100" s="68" t="s">
        <v>167</v>
      </c>
      <c r="AJ100" s="68" t="s">
        <v>167</v>
      </c>
      <c r="AK100" s="76" t="str">
        <f t="array" ref="AK100">INDEX(Factions!C:C, MATCH(E100, Factions!B:B, 0))</f>
        <v>#c9daf8</v>
      </c>
      <c r="AL100" s="6" t="str">
        <f t="array" ref="AL100">INDEX(Factions!D:D, MATCH(E100, Factions!B:B, 0))</f>
        <v>#00399e</v>
      </c>
      <c r="AM100" s="6" t="str">
        <f t="array" ref="AM100">INDEX(Factions!E:E, MATCH(E100, Factions!B:B, 0))</f>
        <v>#000000</v>
      </c>
      <c r="AN100" s="76" t="str">
        <f t="array" ref="AN100">INDEX(Factions!F:F, MATCH(E100, Factions!B:B, 0))</f>
        <v>#ffffff</v>
      </c>
      <c r="AO100" s="76" t="str">
        <f t="array" ref="AO100">concat(INDEX(Factions!G:G, MATCH(E100, Factions!B:B, 0)),".png")</f>
        <v>empire.png</v>
      </c>
      <c r="AP100" s="84">
        <f>IFERROR(__xludf.DUMMYFUNCTION("MIN(FILTER(M100:M1098, F100:F1098=F100))"),2.0)</f>
        <v>2</v>
      </c>
      <c r="AQ100" s="76">
        <f t="shared" si="2"/>
        <v>4</v>
      </c>
      <c r="AR100" s="86">
        <f>IFERROR(__xludf.DUMMYFUNCTION("IF(and(REGEXMATCH(S100,""Vengence""),not(REGEXMATCH(S100, ""Protective Markings""))),AQ100,AQ100 * 6 / iferror(R100-1,6))"),6.0)</f>
        <v>6</v>
      </c>
      <c r="AS100" s="88">
        <f t="shared" si="3"/>
        <v>1</v>
      </c>
      <c r="AT100" s="89">
        <f t="shared" si="4"/>
        <v>4</v>
      </c>
      <c r="AU100" s="86">
        <f>IFERROR(__xludf.DUMMYFUNCTION("IF(REGEXMATCH(S100,""&lt;b&gt;Poison&lt;/b&gt;""),1+((1/(7-N100))/3),1)"),1.0)</f>
        <v>1</v>
      </c>
      <c r="AV100" s="86">
        <f>IFERROR(__xludf.DUMMYFUNCTION("IF(REGEXMATCH(S100,""Vengence""),(7 - R100) / 3,0)"),0.0)</f>
        <v>0</v>
      </c>
      <c r="AW100" s="86">
        <f t="shared" si="5"/>
        <v>1.333333333</v>
      </c>
      <c r="AX100" s="84">
        <f t="shared" si="6"/>
        <v>8</v>
      </c>
      <c r="AY100" s="76" t="b">
        <f>IFERROR(__xludf.DUMMYFUNCTION("if(regexmatch(G100,""Mage|War Machine""),true,false)"),FALSE)</f>
        <v>0</v>
      </c>
    </row>
    <row r="101" ht="22.5" hidden="1" customHeight="1">
      <c r="A101" s="44" t="s">
        <v>971</v>
      </c>
      <c r="B101" s="6" t="s">
        <v>972</v>
      </c>
      <c r="C101" s="6" t="str">
        <f t="shared" si="1"/>
        <v>Scaled Empire Twohanders</v>
      </c>
      <c r="D101" s="6" t="b">
        <v>1</v>
      </c>
      <c r="E101" s="5" t="s">
        <v>10</v>
      </c>
      <c r="F101" s="134" t="s">
        <v>774</v>
      </c>
      <c r="G101" s="5" t="s">
        <v>143</v>
      </c>
      <c r="H101" s="60">
        <v>5.0</v>
      </c>
      <c r="I101" s="135">
        <v>2.0</v>
      </c>
      <c r="J101" s="135"/>
      <c r="K101" s="138"/>
      <c r="L101" s="135">
        <v>6.0</v>
      </c>
      <c r="M101" s="135">
        <v>1.0</v>
      </c>
      <c r="N101" s="135">
        <v>4.0</v>
      </c>
      <c r="O101" s="60" t="s">
        <v>147</v>
      </c>
      <c r="P101" s="136" t="s">
        <v>150</v>
      </c>
      <c r="Q101" s="135">
        <v>1.0</v>
      </c>
      <c r="R101" s="136" t="s">
        <v>153</v>
      </c>
      <c r="S101" s="144" t="s">
        <v>973</v>
      </c>
      <c r="T101" s="6">
        <v>7.0</v>
      </c>
      <c r="U101" s="76"/>
      <c r="V101" s="76"/>
      <c r="W101" s="76"/>
      <c r="X101" s="76"/>
      <c r="Y101" s="76"/>
      <c r="Z101" s="6">
        <v>2.0</v>
      </c>
      <c r="AA101" s="6">
        <v>2.0</v>
      </c>
      <c r="AB101" s="76"/>
      <c r="AC101" s="76"/>
      <c r="AD101" s="76"/>
      <c r="AE101" s="68" t="s">
        <v>167</v>
      </c>
      <c r="AF101" s="68" t="s">
        <v>167</v>
      </c>
      <c r="AG101" s="68" t="s">
        <v>167</v>
      </c>
      <c r="AH101" s="68" t="s">
        <v>167</v>
      </c>
      <c r="AI101" s="68" t="s">
        <v>167</v>
      </c>
      <c r="AJ101" s="68" t="s">
        <v>167</v>
      </c>
      <c r="AK101" s="76" t="str">
        <f t="array" ref="AK101">INDEX(Factions!C:C, MATCH(E101, Factions!B:B, 0))</f>
        <v>#c9daf8</v>
      </c>
      <c r="AL101" s="6" t="str">
        <f t="array" ref="AL101">INDEX(Factions!D:D, MATCH(E101, Factions!B:B, 0))</f>
        <v>#00399e</v>
      </c>
      <c r="AM101" s="6" t="str">
        <f t="array" ref="AM101">INDEX(Factions!E:E, MATCH(E101, Factions!B:B, 0))</f>
        <v>#000000</v>
      </c>
      <c r="AN101" s="76" t="str">
        <f t="array" ref="AN101">INDEX(Factions!F:F, MATCH(E101, Factions!B:B, 0))</f>
        <v>#ffffff</v>
      </c>
      <c r="AO101" s="76" t="str">
        <f t="array" ref="AO101">concat(INDEX(Factions!G:G, MATCH(E101, Factions!B:B, 0)),".png")</f>
        <v>empire.png</v>
      </c>
      <c r="AP101" s="84">
        <f>IFERROR(__xludf.DUMMYFUNCTION("MIN(FILTER(M101:M1098, F101:F1098=F101))"),1.0)</f>
        <v>1</v>
      </c>
      <c r="AQ101" s="76">
        <f t="shared" si="2"/>
        <v>6</v>
      </c>
      <c r="AR101" s="86">
        <f>IFERROR(__xludf.DUMMYFUNCTION("IF(and(REGEXMATCH(S101,""Vengence""),not(REGEXMATCH(S101, ""Protective Markings""))),AQ101,AQ101 * 6 / iferror(R101-1,6))"),9.0)</f>
        <v>9</v>
      </c>
      <c r="AS101" s="88">
        <f t="shared" si="3"/>
        <v>1</v>
      </c>
      <c r="AT101" s="89">
        <f t="shared" si="4"/>
        <v>6</v>
      </c>
      <c r="AU101" s="86">
        <f>IFERROR(__xludf.DUMMYFUNCTION("IF(REGEXMATCH(S101,""&lt;b&gt;Poison&lt;/b&gt;""),1+((1/(7-N101))/3),1)"),1.0)</f>
        <v>1</v>
      </c>
      <c r="AV101" s="86">
        <f>IFERROR(__xludf.DUMMYFUNCTION("IF(REGEXMATCH(S101,""Vengence""),(7 - R101) / 3,0)"),0.0)</f>
        <v>0</v>
      </c>
      <c r="AW101" s="86">
        <f t="shared" si="5"/>
        <v>3</v>
      </c>
      <c r="AX101" s="84">
        <f t="shared" si="6"/>
        <v>13.5</v>
      </c>
      <c r="AY101" s="76" t="b">
        <f>IFERROR(__xludf.DUMMYFUNCTION("if(regexmatch(G101,""Mage|War Machine""),true,false)"),FALSE)</f>
        <v>0</v>
      </c>
    </row>
    <row r="102" ht="22.5" hidden="1" customHeight="1">
      <c r="A102" s="44" t="s">
        <v>974</v>
      </c>
      <c r="B102" s="6" t="s">
        <v>975</v>
      </c>
      <c r="C102" s="6" t="str">
        <f t="shared" si="1"/>
        <v>Scaled Empire Jetbreaths</v>
      </c>
      <c r="D102" s="6" t="b">
        <v>1</v>
      </c>
      <c r="E102" s="5" t="s">
        <v>10</v>
      </c>
      <c r="F102" s="134" t="s">
        <v>774</v>
      </c>
      <c r="G102" s="5" t="s">
        <v>145</v>
      </c>
      <c r="H102" s="60">
        <v>5.0</v>
      </c>
      <c r="I102" s="135">
        <v>2.0</v>
      </c>
      <c r="J102" s="135"/>
      <c r="K102" s="138"/>
      <c r="L102" s="135">
        <v>6.0</v>
      </c>
      <c r="M102" s="135">
        <v>1.0</v>
      </c>
      <c r="N102" s="135">
        <v>5.0</v>
      </c>
      <c r="O102" s="60">
        <v>5.0</v>
      </c>
      <c r="P102" s="136" t="s">
        <v>150</v>
      </c>
      <c r="Q102" s="135">
        <v>1.0</v>
      </c>
      <c r="R102" s="136" t="s">
        <v>153</v>
      </c>
      <c r="S102" s="144" t="s">
        <v>976</v>
      </c>
      <c r="T102" s="6">
        <v>0.0</v>
      </c>
      <c r="U102" s="76"/>
      <c r="V102" s="76"/>
      <c r="W102" s="76"/>
      <c r="X102" s="76"/>
      <c r="Y102" s="6">
        <v>2.0</v>
      </c>
      <c r="Z102" s="6">
        <v>2.0</v>
      </c>
      <c r="AA102" s="6">
        <v>2.0</v>
      </c>
      <c r="AB102" s="6">
        <v>2.0</v>
      </c>
      <c r="AC102" s="6">
        <v>2.0</v>
      </c>
      <c r="AD102" s="6">
        <v>1.0</v>
      </c>
      <c r="AE102" s="68" t="s">
        <v>167</v>
      </c>
      <c r="AF102" s="69" t="s">
        <v>171</v>
      </c>
      <c r="AG102" s="68" t="s">
        <v>167</v>
      </c>
      <c r="AH102" s="68" t="s">
        <v>167</v>
      </c>
      <c r="AI102" s="68" t="s">
        <v>167</v>
      </c>
      <c r="AJ102" s="68" t="s">
        <v>167</v>
      </c>
      <c r="AK102" s="76" t="str">
        <f t="array" ref="AK102">INDEX(Factions!C:C, MATCH(E102, Factions!B:B, 0))</f>
        <v>#c9daf8</v>
      </c>
      <c r="AL102" s="6" t="str">
        <f t="array" ref="AL102">INDEX(Factions!D:D, MATCH(E102, Factions!B:B, 0))</f>
        <v>#00399e</v>
      </c>
      <c r="AM102" s="6" t="str">
        <f t="array" ref="AM102">INDEX(Factions!E:E, MATCH(E102, Factions!B:B, 0))</f>
        <v>#000000</v>
      </c>
      <c r="AN102" s="76" t="str">
        <f t="array" ref="AN102">INDEX(Factions!F:F, MATCH(E102, Factions!B:B, 0))</f>
        <v>#ffffff</v>
      </c>
      <c r="AO102" s="76" t="str">
        <f t="array" ref="AO102">concat(INDEX(Factions!G:G, MATCH(E102, Factions!B:B, 0)),".png")</f>
        <v>empire.png</v>
      </c>
      <c r="AP102" s="84">
        <f>IFERROR(__xludf.DUMMYFUNCTION("MIN(FILTER(M102:M1098, F102:F1098=F102))"),1.0)</f>
        <v>1</v>
      </c>
      <c r="AQ102" s="76">
        <f t="shared" si="2"/>
        <v>6</v>
      </c>
      <c r="AR102" s="86">
        <f>IFERROR(__xludf.DUMMYFUNCTION("IF(and(REGEXMATCH(S102,""Vengence""),not(REGEXMATCH(S102, ""Protective Markings""))),AQ102,AQ102 * 6 / iferror(R102-1,6))"),9.0)</f>
        <v>9</v>
      </c>
      <c r="AS102" s="88">
        <f t="shared" si="3"/>
        <v>1</v>
      </c>
      <c r="AT102" s="89">
        <f t="shared" si="4"/>
        <v>6</v>
      </c>
      <c r="AU102" s="86">
        <f>IFERROR(__xludf.DUMMYFUNCTION("IF(REGEXMATCH(S102,""&lt;b&gt;Poison&lt;/b&gt;""),1+((1/(7-N102))/3),1)"),1.0)</f>
        <v>1</v>
      </c>
      <c r="AV102" s="86">
        <f>IFERROR(__xludf.DUMMYFUNCTION("IF(REGEXMATCH(S102,""Vengence""),(7 - R102) / 3,0)"),0.0)</f>
        <v>0</v>
      </c>
      <c r="AW102" s="86">
        <f t="shared" si="5"/>
        <v>2</v>
      </c>
      <c r="AX102" s="84">
        <f t="shared" si="6"/>
        <v>12</v>
      </c>
      <c r="AY102" s="76" t="b">
        <f>IFERROR(__xludf.DUMMYFUNCTION("if(regexmatch(G102,""Mage|War Machine""),true,false)"),FALSE)</f>
        <v>0</v>
      </c>
    </row>
    <row r="103" ht="22.5" hidden="1" customHeight="1">
      <c r="A103" s="44" t="s">
        <v>977</v>
      </c>
      <c r="B103" s="6" t="s">
        <v>978</v>
      </c>
      <c r="C103" s="6" t="str">
        <f t="shared" si="1"/>
        <v>Scaled Empire Wyrmknights</v>
      </c>
      <c r="D103" s="6" t="b">
        <v>1</v>
      </c>
      <c r="E103" s="5" t="s">
        <v>10</v>
      </c>
      <c r="F103" s="134" t="s">
        <v>967</v>
      </c>
      <c r="G103" s="5" t="s">
        <v>152</v>
      </c>
      <c r="H103" s="60">
        <v>6.0</v>
      </c>
      <c r="I103" s="135">
        <v>2.0</v>
      </c>
      <c r="J103" s="135"/>
      <c r="K103" s="138"/>
      <c r="L103" s="135">
        <v>4.0</v>
      </c>
      <c r="M103" s="135">
        <v>3.0</v>
      </c>
      <c r="N103" s="135">
        <v>5.0</v>
      </c>
      <c r="O103" s="60">
        <v>5.0</v>
      </c>
      <c r="P103" s="136" t="s">
        <v>372</v>
      </c>
      <c r="Q103" s="135">
        <v>2.0</v>
      </c>
      <c r="R103" s="136" t="s">
        <v>217</v>
      </c>
      <c r="S103" s="144" t="s">
        <v>979</v>
      </c>
      <c r="T103" s="6">
        <v>4.0</v>
      </c>
      <c r="U103" s="76"/>
      <c r="V103" s="76"/>
      <c r="W103" s="76"/>
      <c r="X103" s="76"/>
      <c r="Y103" s="76"/>
      <c r="Z103" s="76"/>
      <c r="AA103" s="76"/>
      <c r="AB103" s="6">
        <v>1.0</v>
      </c>
      <c r="AC103" s="6">
        <v>1.0</v>
      </c>
      <c r="AD103" s="76"/>
      <c r="AE103" s="129" t="s">
        <v>354</v>
      </c>
      <c r="AF103" s="69" t="s">
        <v>171</v>
      </c>
      <c r="AG103" s="68" t="s">
        <v>167</v>
      </c>
      <c r="AH103" s="90" t="s">
        <v>195</v>
      </c>
      <c r="AI103" s="90" t="s">
        <v>195</v>
      </c>
      <c r="AJ103" s="69" t="s">
        <v>171</v>
      </c>
      <c r="AK103" s="76" t="str">
        <f t="array" ref="AK103">INDEX(Factions!C:C, MATCH(E103, Factions!B:B, 0))</f>
        <v>#c9daf8</v>
      </c>
      <c r="AL103" s="6" t="str">
        <f t="array" ref="AL103">INDEX(Factions!D:D, MATCH(E103, Factions!B:B, 0))</f>
        <v>#00399e</v>
      </c>
      <c r="AM103" s="6" t="str">
        <f t="array" ref="AM103">INDEX(Factions!E:E, MATCH(E103, Factions!B:B, 0))</f>
        <v>#000000</v>
      </c>
      <c r="AN103" s="76" t="str">
        <f t="array" ref="AN103">INDEX(Factions!F:F, MATCH(E103, Factions!B:B, 0))</f>
        <v>#ffffff</v>
      </c>
      <c r="AO103" s="76" t="str">
        <f t="array" ref="AO103">concat(INDEX(Factions!G:G, MATCH(E103, Factions!B:B, 0)),".png")</f>
        <v>empire.png</v>
      </c>
      <c r="AP103" s="84">
        <f>IFERROR(__xludf.DUMMYFUNCTION("MIN(FILTER(M103:M1098, F103:F1098=F103))"),3.0)</f>
        <v>3</v>
      </c>
      <c r="AQ103" s="76">
        <f t="shared" si="2"/>
        <v>8</v>
      </c>
      <c r="AR103" s="86">
        <f>IFERROR(__xludf.DUMMYFUNCTION("IF(and(REGEXMATCH(S103,""Vengence""),not(REGEXMATCH(S103, ""Protective Markings""))),AQ103,AQ103 * 6 / iferror(R103-1,6))"),9.6)</f>
        <v>9.6</v>
      </c>
      <c r="AS103" s="88">
        <f t="shared" si="3"/>
        <v>2</v>
      </c>
      <c r="AT103" s="89">
        <f t="shared" si="4"/>
        <v>8</v>
      </c>
      <c r="AU103" s="86">
        <f>IFERROR(__xludf.DUMMYFUNCTION("IF(REGEXMATCH(S103,""&lt;b&gt;Poison&lt;/b&gt;""),1+((1/(7-N103))/3),1)"),1.0)</f>
        <v>1</v>
      </c>
      <c r="AV103" s="86">
        <f>IFERROR(__xludf.DUMMYFUNCTION("IF(REGEXMATCH(S103,""Vengence""),(7 - R103) / 3,0)"),0.0)</f>
        <v>0</v>
      </c>
      <c r="AW103" s="86">
        <f t="shared" si="5"/>
        <v>2.666666667</v>
      </c>
      <c r="AX103" s="84">
        <f t="shared" si="6"/>
        <v>13.6</v>
      </c>
      <c r="AY103" s="76" t="b">
        <f>IFERROR(__xludf.DUMMYFUNCTION("if(regexmatch(G103,""Mage|War Machine""),true,false)"),FALSE)</f>
        <v>0</v>
      </c>
    </row>
    <row r="104" ht="22.5" hidden="1" customHeight="1">
      <c r="A104" s="44" t="s">
        <v>980</v>
      </c>
      <c r="B104" s="6" t="s">
        <v>749</v>
      </c>
      <c r="C104" s="6" t="str">
        <f t="shared" si="1"/>
        <v>Scaled Empire Cannonade</v>
      </c>
      <c r="D104" s="6" t="b">
        <v>1</v>
      </c>
      <c r="E104" s="5" t="s">
        <v>10</v>
      </c>
      <c r="F104" s="134" t="s">
        <v>981</v>
      </c>
      <c r="G104" s="5" t="s">
        <v>156</v>
      </c>
      <c r="H104" s="60">
        <v>6.0</v>
      </c>
      <c r="I104" s="135">
        <v>2.0</v>
      </c>
      <c r="J104" s="137"/>
      <c r="K104" s="138"/>
      <c r="L104" s="135">
        <v>1.0</v>
      </c>
      <c r="M104" s="135">
        <v>1.0</v>
      </c>
      <c r="N104" s="135">
        <v>6.0</v>
      </c>
      <c r="O104" s="60" t="s">
        <v>147</v>
      </c>
      <c r="P104" s="136" t="s">
        <v>372</v>
      </c>
      <c r="Q104" s="135">
        <v>3.0</v>
      </c>
      <c r="R104" s="136" t="s">
        <v>217</v>
      </c>
      <c r="S104" s="44" t="s">
        <v>982</v>
      </c>
      <c r="T104" s="6">
        <v>1.0</v>
      </c>
      <c r="U104" s="76"/>
      <c r="V104" s="76"/>
      <c r="W104" s="76"/>
      <c r="X104" s="76"/>
      <c r="Y104" s="76"/>
      <c r="Z104" s="76"/>
      <c r="AA104" s="76"/>
      <c r="AB104" s="76"/>
      <c r="AC104" s="76"/>
      <c r="AD104" s="76"/>
      <c r="AE104" s="68" t="s">
        <v>167</v>
      </c>
      <c r="AF104" s="68" t="s">
        <v>167</v>
      </c>
      <c r="AG104" s="68" t="s">
        <v>167</v>
      </c>
      <c r="AH104" s="68" t="s">
        <v>167</v>
      </c>
      <c r="AI104" s="68" t="s">
        <v>167</v>
      </c>
      <c r="AJ104" s="68" t="s">
        <v>167</v>
      </c>
      <c r="AK104" s="76" t="str">
        <f t="array" ref="AK104">INDEX(Factions!C:C, MATCH(E104, Factions!B:B, 0))</f>
        <v>#c9daf8</v>
      </c>
      <c r="AL104" s="6" t="str">
        <f t="array" ref="AL104">INDEX(Factions!D:D, MATCH(E104, Factions!B:B, 0))</f>
        <v>#00399e</v>
      </c>
      <c r="AM104" s="6" t="str">
        <f t="array" ref="AM104">INDEX(Factions!E:E, MATCH(E104, Factions!B:B, 0))</f>
        <v>#000000</v>
      </c>
      <c r="AN104" s="76" t="str">
        <f t="array" ref="AN104">INDEX(Factions!F:F, MATCH(E104, Factions!B:B, 0))</f>
        <v>#ffffff</v>
      </c>
      <c r="AO104" s="76" t="str">
        <f t="array" ref="AO104">concat(INDEX(Factions!G:G, MATCH(E104, Factions!B:B, 0)),".png")</f>
        <v>empire.png</v>
      </c>
      <c r="AP104" s="84">
        <f>IFERROR(__xludf.DUMMYFUNCTION("MIN(FILTER(M104:M1098, F104:F1098=F104))"),1.0)</f>
        <v>1</v>
      </c>
      <c r="AQ104" s="76">
        <f t="shared" si="2"/>
        <v>3</v>
      </c>
      <c r="AR104" s="86">
        <f>IFERROR(__xludf.DUMMYFUNCTION("IF(and(REGEXMATCH(S104,""Vengence""),not(REGEXMATCH(S104, ""Protective Markings""))),AQ104,AQ104 * 6 / iferror(R104-1,6))"),3.6)</f>
        <v>3.6</v>
      </c>
      <c r="AS104" s="88">
        <f t="shared" si="3"/>
        <v>2</v>
      </c>
      <c r="AT104" s="89">
        <f t="shared" si="4"/>
        <v>2</v>
      </c>
      <c r="AU104" s="86">
        <f>IFERROR(__xludf.DUMMYFUNCTION("IF(REGEXMATCH(S104,""&lt;b&gt;Poison&lt;/b&gt;""),1+((1/(7-N104))/3),1)"),1.0)</f>
        <v>1</v>
      </c>
      <c r="AV104" s="86">
        <f>IFERROR(__xludf.DUMMYFUNCTION("IF(REGEXMATCH(S104,""Vengence""),(7 - R104) / 3,0)"),0.0)</f>
        <v>0</v>
      </c>
      <c r="AW104" s="86">
        <f t="shared" si="5"/>
        <v>0.3333333333</v>
      </c>
      <c r="AX104" s="84">
        <f t="shared" si="6"/>
        <v>4.1</v>
      </c>
      <c r="AY104" s="76" t="b">
        <f>IFERROR(__xludf.DUMMYFUNCTION("if(regexmatch(G104,""Mage|War Machine""),true,false)"),TRUE)</f>
        <v>1</v>
      </c>
    </row>
    <row r="105" ht="22.5" hidden="1" customHeight="1">
      <c r="A105" s="44" t="s">
        <v>983</v>
      </c>
      <c r="B105" s="6" t="s">
        <v>752</v>
      </c>
      <c r="C105" s="6" t="str">
        <f t="shared" si="1"/>
        <v>Scaled Empire Mortar Company</v>
      </c>
      <c r="D105" s="6" t="b">
        <v>1</v>
      </c>
      <c r="E105" s="5" t="s">
        <v>10</v>
      </c>
      <c r="F105" s="134" t="s">
        <v>981</v>
      </c>
      <c r="G105" s="5" t="s">
        <v>156</v>
      </c>
      <c r="H105" s="60">
        <v>6.0</v>
      </c>
      <c r="I105" s="135">
        <v>2.0</v>
      </c>
      <c r="J105" s="137"/>
      <c r="K105" s="138"/>
      <c r="L105" s="135">
        <v>1.0</v>
      </c>
      <c r="M105" s="135">
        <v>1.0</v>
      </c>
      <c r="N105" s="135">
        <v>6.0</v>
      </c>
      <c r="O105" s="60" t="s">
        <v>147</v>
      </c>
      <c r="P105" s="136" t="s">
        <v>372</v>
      </c>
      <c r="Q105" s="135">
        <v>3.0</v>
      </c>
      <c r="R105" s="136" t="s">
        <v>217</v>
      </c>
      <c r="S105" s="144" t="s">
        <v>984</v>
      </c>
      <c r="T105" s="6">
        <v>1.0</v>
      </c>
      <c r="U105" s="76"/>
      <c r="V105" s="76"/>
      <c r="W105" s="76"/>
      <c r="X105" s="76"/>
      <c r="Y105" s="76"/>
      <c r="Z105" s="76"/>
      <c r="AA105" s="76"/>
      <c r="AB105" s="76"/>
      <c r="AC105" s="76"/>
      <c r="AD105" s="76"/>
      <c r="AE105" s="68" t="s">
        <v>167</v>
      </c>
      <c r="AF105" s="68" t="s">
        <v>167</v>
      </c>
      <c r="AG105" s="68" t="s">
        <v>167</v>
      </c>
      <c r="AH105" s="68" t="s">
        <v>167</v>
      </c>
      <c r="AI105" s="68" t="s">
        <v>167</v>
      </c>
      <c r="AJ105" s="68" t="s">
        <v>167</v>
      </c>
      <c r="AK105" s="76" t="str">
        <f t="array" ref="AK105">INDEX(Factions!C:C, MATCH(E105, Factions!B:B, 0))</f>
        <v>#c9daf8</v>
      </c>
      <c r="AL105" s="6" t="str">
        <f t="array" ref="AL105">INDEX(Factions!D:D, MATCH(E105, Factions!B:B, 0))</f>
        <v>#00399e</v>
      </c>
      <c r="AM105" s="6" t="str">
        <f t="array" ref="AM105">INDEX(Factions!E:E, MATCH(E105, Factions!B:B, 0))</f>
        <v>#000000</v>
      </c>
      <c r="AN105" s="76" t="str">
        <f t="array" ref="AN105">INDEX(Factions!F:F, MATCH(E105, Factions!B:B, 0))</f>
        <v>#ffffff</v>
      </c>
      <c r="AO105" s="76" t="str">
        <f t="array" ref="AO105">concat(INDEX(Factions!G:G, MATCH(E105, Factions!B:B, 0)),".png")</f>
        <v>empire.png</v>
      </c>
      <c r="AP105" s="84">
        <f>IFERROR(__xludf.DUMMYFUNCTION("MIN(FILTER(M105:M1098, F105:F1098=F105))"),1.0)</f>
        <v>1</v>
      </c>
      <c r="AQ105" s="76">
        <f t="shared" si="2"/>
        <v>3</v>
      </c>
      <c r="AR105" s="86">
        <f>IFERROR(__xludf.DUMMYFUNCTION("IF(and(REGEXMATCH(S105,""Vengence""),not(REGEXMATCH(S105, ""Protective Markings""))),AQ105,AQ105 * 6 / iferror(R105-1,6))"),3.6)</f>
        <v>3.6</v>
      </c>
      <c r="AS105" s="88">
        <f t="shared" si="3"/>
        <v>2</v>
      </c>
      <c r="AT105" s="89">
        <f t="shared" si="4"/>
        <v>2</v>
      </c>
      <c r="AU105" s="86">
        <f>IFERROR(__xludf.DUMMYFUNCTION("IF(REGEXMATCH(S105,""&lt;b&gt;Poison&lt;/b&gt;""),1+((1/(7-N105))/3),1)"),1.0)</f>
        <v>1</v>
      </c>
      <c r="AV105" s="86">
        <f>IFERROR(__xludf.DUMMYFUNCTION("IF(REGEXMATCH(S105,""Vengence""),(7 - R105) / 3,0)"),0.0)</f>
        <v>0</v>
      </c>
      <c r="AW105" s="86">
        <f t="shared" si="5"/>
        <v>0.3333333333</v>
      </c>
      <c r="AX105" s="84">
        <f t="shared" si="6"/>
        <v>4.1</v>
      </c>
      <c r="AY105" s="76" t="b">
        <f>IFERROR(__xludf.DUMMYFUNCTION("if(regexmatch(G105,""Mage|War Machine""),true,false)"),TRUE)</f>
        <v>1</v>
      </c>
    </row>
    <row r="106" ht="22.5" hidden="1" customHeight="1">
      <c r="A106" s="44" t="s">
        <v>985</v>
      </c>
      <c r="B106" s="6" t="s">
        <v>826</v>
      </c>
      <c r="C106" s="6" t="str">
        <f t="shared" si="1"/>
        <v>Scaled Empire War Organ</v>
      </c>
      <c r="D106" s="6" t="b">
        <v>1</v>
      </c>
      <c r="E106" s="5" t="s">
        <v>10</v>
      </c>
      <c r="F106" s="134" t="s">
        <v>981</v>
      </c>
      <c r="G106" s="5" t="s">
        <v>156</v>
      </c>
      <c r="H106" s="60">
        <v>6.0</v>
      </c>
      <c r="I106" s="135">
        <v>2.0</v>
      </c>
      <c r="J106" s="137"/>
      <c r="K106" s="138"/>
      <c r="L106" s="135">
        <v>1.0</v>
      </c>
      <c r="M106" s="135">
        <v>1.0</v>
      </c>
      <c r="N106" s="135">
        <v>6.0</v>
      </c>
      <c r="O106" s="60">
        <v>5.0</v>
      </c>
      <c r="P106" s="136" t="s">
        <v>372</v>
      </c>
      <c r="Q106" s="135">
        <v>3.0</v>
      </c>
      <c r="R106" s="136" t="s">
        <v>217</v>
      </c>
      <c r="S106" s="44" t="s">
        <v>986</v>
      </c>
      <c r="T106" s="6">
        <v>1.0</v>
      </c>
      <c r="U106" s="76"/>
      <c r="V106" s="76"/>
      <c r="W106" s="76"/>
      <c r="X106" s="76"/>
      <c r="Y106" s="76"/>
      <c r="Z106" s="76"/>
      <c r="AA106" s="76"/>
      <c r="AB106" s="76"/>
      <c r="AC106" s="76"/>
      <c r="AD106" s="76"/>
      <c r="AE106" s="68" t="s">
        <v>167</v>
      </c>
      <c r="AF106" s="68" t="s">
        <v>167</v>
      </c>
      <c r="AG106" s="68" t="s">
        <v>167</v>
      </c>
      <c r="AH106" s="68" t="s">
        <v>167</v>
      </c>
      <c r="AI106" s="68" t="s">
        <v>167</v>
      </c>
      <c r="AJ106" s="68" t="s">
        <v>167</v>
      </c>
      <c r="AK106" s="76" t="str">
        <f t="array" ref="AK106">INDEX(Factions!C:C, MATCH(E106, Factions!B:B, 0))</f>
        <v>#c9daf8</v>
      </c>
      <c r="AL106" s="6" t="str">
        <f t="array" ref="AL106">INDEX(Factions!D:D, MATCH(E106, Factions!B:B, 0))</f>
        <v>#00399e</v>
      </c>
      <c r="AM106" s="6" t="str">
        <f t="array" ref="AM106">INDEX(Factions!E:E, MATCH(E106, Factions!B:B, 0))</f>
        <v>#000000</v>
      </c>
      <c r="AN106" s="76" t="str">
        <f t="array" ref="AN106">INDEX(Factions!F:F, MATCH(E106, Factions!B:B, 0))</f>
        <v>#ffffff</v>
      </c>
      <c r="AO106" s="76" t="str">
        <f t="array" ref="AO106">concat(INDEX(Factions!G:G, MATCH(E106, Factions!B:B, 0)),".png")</f>
        <v>empire.png</v>
      </c>
      <c r="AP106" s="84">
        <f>IFERROR(__xludf.DUMMYFUNCTION("MIN(FILTER(M106:M1098, F106:F1098=F106))"),1.0)</f>
        <v>1</v>
      </c>
      <c r="AQ106" s="76">
        <f t="shared" si="2"/>
        <v>3</v>
      </c>
      <c r="AR106" s="86">
        <f>IFERROR(__xludf.DUMMYFUNCTION("IF(and(REGEXMATCH(S106,""Vengence""),not(REGEXMATCH(S106, ""Protective Markings""))),AQ106,AQ106 * 6 / iferror(R106-1,6))"),3.6)</f>
        <v>3.6</v>
      </c>
      <c r="AS106" s="88">
        <f t="shared" si="3"/>
        <v>2</v>
      </c>
      <c r="AT106" s="89">
        <f t="shared" si="4"/>
        <v>2</v>
      </c>
      <c r="AU106" s="86">
        <f>IFERROR(__xludf.DUMMYFUNCTION("IF(REGEXMATCH(S106,""&lt;b&gt;Poison&lt;/b&gt;""),1+((1/(7-N106))/3),1)"),1.0)</f>
        <v>1</v>
      </c>
      <c r="AV106" s="86">
        <f>IFERROR(__xludf.DUMMYFUNCTION("IF(REGEXMATCH(S106,""Vengence""),(7 - R106) / 3,0)"),0.0)</f>
        <v>0</v>
      </c>
      <c r="AW106" s="86">
        <f t="shared" si="5"/>
        <v>0.3333333333</v>
      </c>
      <c r="AX106" s="84">
        <f t="shared" si="6"/>
        <v>4.1</v>
      </c>
      <c r="AY106" s="76" t="b">
        <f>IFERROR(__xludf.DUMMYFUNCTION("if(regexmatch(G106,""Mage|War Machine""),true,false)"),TRUE)</f>
        <v>1</v>
      </c>
    </row>
    <row r="107" ht="22.5" hidden="1" customHeight="1">
      <c r="A107" s="44" t="s">
        <v>987</v>
      </c>
      <c r="B107" s="44" t="s">
        <v>988</v>
      </c>
      <c r="C107" s="44" t="str">
        <f t="shared" si="1"/>
        <v>Silk Court Squires</v>
      </c>
      <c r="D107" s="44" t="b">
        <v>1</v>
      </c>
      <c r="E107" s="57" t="s">
        <v>205</v>
      </c>
      <c r="F107" s="44" t="s">
        <v>989</v>
      </c>
      <c r="G107" s="57" t="s">
        <v>144</v>
      </c>
      <c r="H107" s="60">
        <v>6.0</v>
      </c>
      <c r="I107" s="62">
        <v>1.0</v>
      </c>
      <c r="J107" s="62">
        <v>2.0</v>
      </c>
      <c r="K107" s="62"/>
      <c r="L107" s="62">
        <v>5.0</v>
      </c>
      <c r="M107" s="62">
        <v>1.0</v>
      </c>
      <c r="N107" s="62">
        <v>6.0</v>
      </c>
      <c r="O107" s="64" t="s">
        <v>147</v>
      </c>
      <c r="P107" s="66" t="s">
        <v>150</v>
      </c>
      <c r="Q107" s="62">
        <v>1.0</v>
      </c>
      <c r="R107" s="66" t="s">
        <v>194</v>
      </c>
      <c r="S107" s="67" t="s">
        <v>990</v>
      </c>
      <c r="T107" s="6">
        <v>4.0</v>
      </c>
      <c r="U107" s="6"/>
      <c r="V107" s="6"/>
      <c r="W107" s="6"/>
      <c r="X107" s="6"/>
      <c r="Y107" s="6">
        <v>1.0</v>
      </c>
      <c r="Z107" s="6">
        <v>1.0</v>
      </c>
      <c r="AA107" s="6">
        <v>1.0</v>
      </c>
      <c r="AB107" s="6"/>
      <c r="AC107" s="6">
        <v>1.0</v>
      </c>
      <c r="AD107" s="6"/>
      <c r="AE107" s="68" t="s">
        <v>167</v>
      </c>
      <c r="AF107" s="69" t="s">
        <v>171</v>
      </c>
      <c r="AG107" s="68" t="s">
        <v>167</v>
      </c>
      <c r="AH107" s="68" t="s">
        <v>167</v>
      </c>
      <c r="AI107" s="68" t="s">
        <v>167</v>
      </c>
      <c r="AJ107" s="90" t="s">
        <v>195</v>
      </c>
      <c r="AK107" s="76" t="str">
        <f t="array" ref="AK107">INDEX(Factions!C:C, MATCH(E107, Factions!B:B, 0))</f>
        <v>#f1baff</v>
      </c>
      <c r="AL107" s="6" t="str">
        <f t="array" ref="AL107">INDEX(Factions!D:D, MATCH(E107, Factions!B:B, 0))</f>
        <v>#2d2d2d</v>
      </c>
      <c r="AM107" s="6" t="str">
        <f t="array" ref="AM107">INDEX(Factions!E:E, MATCH(E107, Factions!B:B, 0))</f>
        <v>#000000</v>
      </c>
      <c r="AN107" s="76" t="str">
        <f t="array" ref="AN107">INDEX(Factions!F:F, MATCH(E107, Factions!B:B, 0))</f>
        <v>#ffffff</v>
      </c>
      <c r="AO107" s="76" t="str">
        <f t="array" ref="AO107">concat(INDEX(Factions!G:G, MATCH(E107, Factions!B:B, 0)),".png")</f>
        <v>spiders.png</v>
      </c>
      <c r="AP107" s="84">
        <f>IFERROR(__xludf.DUMMYFUNCTION("MIN(FILTER(M107:M1098, F107:F1098=F107))"),1.0)</f>
        <v>1</v>
      </c>
      <c r="AQ107" s="76">
        <f t="shared" si="2"/>
        <v>5</v>
      </c>
      <c r="AR107" s="86">
        <f>IFERROR(__xludf.DUMMYFUNCTION("IF(and(REGEXMATCH(S107,""Vengence""),not(REGEXMATCH(S107, ""Protective Markings""))),AQ107,AQ107 * 6 / iferror(R107-1,6))"),10.0)</f>
        <v>10</v>
      </c>
      <c r="AS107" s="88">
        <f t="shared" si="3"/>
        <v>1</v>
      </c>
      <c r="AT107" s="89">
        <f t="shared" si="4"/>
        <v>5</v>
      </c>
      <c r="AU107" s="86">
        <f>IFERROR(__xludf.DUMMYFUNCTION("IF(REGEXMATCH(S107,""&lt;b&gt;Poison&lt;/b&gt;""),1+((1/(7-N107))/3),1)"),1.3333333333333333)</f>
        <v>1.333333333</v>
      </c>
      <c r="AV107" s="86">
        <f>IFERROR(__xludf.DUMMYFUNCTION("IF(REGEXMATCH(S107,""Vengence""),(7 - R107) / 3,0)"),0.0)</f>
        <v>0</v>
      </c>
      <c r="AW107" s="86">
        <f t="shared" si="5"/>
        <v>1.111111111</v>
      </c>
      <c r="AX107" s="84">
        <f t="shared" si="6"/>
        <v>11.66666667</v>
      </c>
      <c r="AY107" s="76" t="b">
        <f>IFERROR(__xludf.DUMMYFUNCTION("if(regexmatch(G107,""Mage|War Machine""),true,false)"),FALSE)</f>
        <v>0</v>
      </c>
    </row>
    <row r="108" ht="22.5" hidden="1" customHeight="1">
      <c r="A108" s="44" t="s">
        <v>991</v>
      </c>
      <c r="B108" s="44" t="s">
        <v>81</v>
      </c>
      <c r="C108" s="44" t="str">
        <f t="shared" si="1"/>
        <v>Silk Court Warriors</v>
      </c>
      <c r="D108" s="44" t="b">
        <v>1</v>
      </c>
      <c r="E108" s="57" t="s">
        <v>205</v>
      </c>
      <c r="F108" s="44" t="s">
        <v>989</v>
      </c>
      <c r="G108" s="57" t="s">
        <v>81</v>
      </c>
      <c r="H108" s="60">
        <v>6.0</v>
      </c>
      <c r="I108" s="64">
        <v>1.0</v>
      </c>
      <c r="J108" s="64">
        <v>2.0</v>
      </c>
      <c r="K108" s="62"/>
      <c r="L108" s="64">
        <v>5.0</v>
      </c>
      <c r="M108" s="64">
        <v>1.0</v>
      </c>
      <c r="N108" s="64">
        <v>4.0</v>
      </c>
      <c r="O108" s="64">
        <v>6.0</v>
      </c>
      <c r="P108" s="66" t="s">
        <v>150</v>
      </c>
      <c r="Q108" s="64">
        <v>1.0</v>
      </c>
      <c r="R108" s="64" t="s">
        <v>153</v>
      </c>
      <c r="S108" s="67" t="s">
        <v>992</v>
      </c>
      <c r="T108" s="6">
        <v>4.0</v>
      </c>
      <c r="U108" s="6"/>
      <c r="V108" s="6"/>
      <c r="W108" s="6"/>
      <c r="X108" s="6"/>
      <c r="Y108" s="6">
        <v>1.0</v>
      </c>
      <c r="Z108" s="6">
        <v>1.0</v>
      </c>
      <c r="AA108" s="6">
        <v>1.0</v>
      </c>
      <c r="AB108" s="6">
        <v>1.0</v>
      </c>
      <c r="AC108" s="6">
        <v>1.0</v>
      </c>
      <c r="AD108" s="6">
        <v>1.0</v>
      </c>
      <c r="AE108" s="68" t="s">
        <v>167</v>
      </c>
      <c r="AF108" s="68" t="s">
        <v>167</v>
      </c>
      <c r="AG108" s="68" t="s">
        <v>167</v>
      </c>
      <c r="AH108" s="68" t="s">
        <v>167</v>
      </c>
      <c r="AI108" s="68" t="s">
        <v>167</v>
      </c>
      <c r="AJ108" s="68" t="s">
        <v>167</v>
      </c>
      <c r="AK108" s="76" t="str">
        <f t="array" ref="AK108">INDEX(Factions!C:C, MATCH(E108, Factions!B:B, 0))</f>
        <v>#f1baff</v>
      </c>
      <c r="AL108" s="6" t="str">
        <f t="array" ref="AL108">INDEX(Factions!D:D, MATCH(E108, Factions!B:B, 0))</f>
        <v>#2d2d2d</v>
      </c>
      <c r="AM108" s="6" t="str">
        <f t="array" ref="AM108">INDEX(Factions!E:E, MATCH(E108, Factions!B:B, 0))</f>
        <v>#000000</v>
      </c>
      <c r="AN108" s="76" t="str">
        <f t="array" ref="AN108">INDEX(Factions!F:F, MATCH(E108, Factions!B:B, 0))</f>
        <v>#ffffff</v>
      </c>
      <c r="AO108" s="76" t="str">
        <f t="array" ref="AO108">concat(INDEX(Factions!G:G, MATCH(E108, Factions!B:B, 0)),".png")</f>
        <v>spiders.png</v>
      </c>
      <c r="AP108" s="76">
        <f>IFERROR(__xludf.DUMMYFUNCTION("MIN(FILTER(M108:M1098, F108:F1098=F108))"),1.0)</f>
        <v>1</v>
      </c>
      <c r="AQ108" s="76">
        <f t="shared" si="2"/>
        <v>5</v>
      </c>
      <c r="AR108" s="86">
        <f>IFERROR(__xludf.DUMMYFUNCTION("IF(and(REGEXMATCH(S108,""Vengence""),not(REGEXMATCH(S108, ""Protective Markings""))),AQ108,AQ108 * 6 / iferror(R108-1,6))"),7.5)</f>
        <v>7.5</v>
      </c>
      <c r="AS108" s="88">
        <f t="shared" si="3"/>
        <v>1</v>
      </c>
      <c r="AT108" s="89">
        <f t="shared" si="4"/>
        <v>5</v>
      </c>
      <c r="AU108" s="86">
        <f>IFERROR(__xludf.DUMMYFUNCTION("IF(REGEXMATCH(S108,""&lt;b&gt;Poison&lt;/b&gt;""),1+((1/(7-N108))/3),1)"),1.1111111111111112)</f>
        <v>1.111111111</v>
      </c>
      <c r="AV108" s="86">
        <f>IFERROR(__xludf.DUMMYFUNCTION("IF(REGEXMATCH(S108,""Vengence""),(7 - R108) / 3,0)"),0.0)</f>
        <v>0</v>
      </c>
      <c r="AW108" s="86">
        <f t="shared" si="5"/>
        <v>2.777777778</v>
      </c>
      <c r="AX108" s="84">
        <f t="shared" si="6"/>
        <v>11.66666667</v>
      </c>
      <c r="AY108" s="76" t="b">
        <f>IFERROR(__xludf.DUMMYFUNCTION("if(regexmatch(G108,""Mage|War Machine""),true,false)"),FALSE)</f>
        <v>0</v>
      </c>
    </row>
    <row r="109" ht="22.5" hidden="1" customHeight="1">
      <c r="A109" s="44" t="s">
        <v>993</v>
      </c>
      <c r="B109" s="44" t="s">
        <v>994</v>
      </c>
      <c r="C109" s="44" t="str">
        <f t="shared" si="1"/>
        <v>Silk Court Huntsmen</v>
      </c>
      <c r="D109" s="44" t="b">
        <v>1</v>
      </c>
      <c r="E109" s="57" t="s">
        <v>205</v>
      </c>
      <c r="F109" s="44" t="s">
        <v>989</v>
      </c>
      <c r="G109" s="57" t="s">
        <v>142</v>
      </c>
      <c r="H109" s="60">
        <v>6.0</v>
      </c>
      <c r="I109" s="62">
        <v>1.0</v>
      </c>
      <c r="J109" s="64">
        <v>2.0</v>
      </c>
      <c r="K109" s="62"/>
      <c r="L109" s="64">
        <v>5.0</v>
      </c>
      <c r="M109" s="64">
        <v>1.0</v>
      </c>
      <c r="N109" s="62">
        <v>5.0</v>
      </c>
      <c r="O109" s="64">
        <v>4.0</v>
      </c>
      <c r="P109" s="66" t="s">
        <v>150</v>
      </c>
      <c r="Q109" s="64">
        <v>1.0</v>
      </c>
      <c r="R109" s="64" t="s">
        <v>217</v>
      </c>
      <c r="S109" s="67" t="s">
        <v>992</v>
      </c>
      <c r="T109" s="6">
        <v>3.0</v>
      </c>
      <c r="U109" s="6"/>
      <c r="V109" s="6"/>
      <c r="W109" s="6"/>
      <c r="X109" s="6"/>
      <c r="Y109" s="6"/>
      <c r="Z109" s="6"/>
      <c r="AA109" s="6"/>
      <c r="AB109" s="6">
        <v>1.0</v>
      </c>
      <c r="AC109" s="6"/>
      <c r="AD109" s="6">
        <v>1.0</v>
      </c>
      <c r="AE109" s="68" t="s">
        <v>167</v>
      </c>
      <c r="AF109" s="69" t="s">
        <v>171</v>
      </c>
      <c r="AG109" s="90" t="s">
        <v>195</v>
      </c>
      <c r="AH109" s="68" t="s">
        <v>167</v>
      </c>
      <c r="AI109" s="68" t="s">
        <v>167</v>
      </c>
      <c r="AJ109" s="69" t="s">
        <v>171</v>
      </c>
      <c r="AK109" s="76" t="str">
        <f t="array" ref="AK109">INDEX(Factions!C:C, MATCH(E109, Factions!B:B, 0))</f>
        <v>#f1baff</v>
      </c>
      <c r="AL109" s="6" t="str">
        <f t="array" ref="AL109">INDEX(Factions!D:D, MATCH(E109, Factions!B:B, 0))</f>
        <v>#2d2d2d</v>
      </c>
      <c r="AM109" s="6" t="str">
        <f t="array" ref="AM109">INDEX(Factions!E:E, MATCH(E109, Factions!B:B, 0))</f>
        <v>#000000</v>
      </c>
      <c r="AN109" s="76" t="str">
        <f t="array" ref="AN109">INDEX(Factions!F:F, MATCH(E109, Factions!B:B, 0))</f>
        <v>#ffffff</v>
      </c>
      <c r="AO109" s="76" t="str">
        <f t="array" ref="AO109">concat(INDEX(Factions!G:G, MATCH(E109, Factions!B:B, 0)),".png")</f>
        <v>spiders.png</v>
      </c>
      <c r="AP109" s="76">
        <f>IFERROR(__xludf.DUMMYFUNCTION("MIN(FILTER(M109:M1098, F109:F1098=F109))"),1.0)</f>
        <v>1</v>
      </c>
      <c r="AQ109" s="76">
        <f t="shared" si="2"/>
        <v>5</v>
      </c>
      <c r="AR109" s="86">
        <f>IFERROR(__xludf.DUMMYFUNCTION("IF(and(REGEXMATCH(S109,""Vengence""),not(REGEXMATCH(S109, ""Protective Markings""))),AQ109,AQ109 * 6 / iferror(R109-1,6))"),6.0)</f>
        <v>6</v>
      </c>
      <c r="AS109" s="88">
        <f t="shared" si="3"/>
        <v>1</v>
      </c>
      <c r="AT109" s="89">
        <f t="shared" si="4"/>
        <v>5</v>
      </c>
      <c r="AU109" s="86">
        <f>IFERROR(__xludf.DUMMYFUNCTION("IF(REGEXMATCH(S109,""&lt;b&gt;Poison&lt;/b&gt;""),1+((1/(7-N109))/3),1)"),1.1666666666666667)</f>
        <v>1.166666667</v>
      </c>
      <c r="AV109" s="86">
        <f>IFERROR(__xludf.DUMMYFUNCTION("IF(REGEXMATCH(S109,""Vengence""),(7 - R109) / 3,0)"),0.0)</f>
        <v>0</v>
      </c>
      <c r="AW109" s="86">
        <f t="shared" si="5"/>
        <v>1.944444444</v>
      </c>
      <c r="AX109" s="84">
        <f t="shared" si="6"/>
        <v>8.916666667</v>
      </c>
      <c r="AY109" s="76" t="b">
        <f>IFERROR(__xludf.DUMMYFUNCTION("if(regexmatch(G109,""Mage|War Machine""),true,false)"),FALSE)</f>
        <v>0</v>
      </c>
    </row>
    <row r="110" ht="22.5" hidden="1" customHeight="1">
      <c r="A110" s="44" t="s">
        <v>995</v>
      </c>
      <c r="B110" s="44" t="s">
        <v>996</v>
      </c>
      <c r="C110" s="44" t="str">
        <f t="shared" si="1"/>
        <v>Silk Court Webspitters</v>
      </c>
      <c r="D110" s="44" t="b">
        <v>1</v>
      </c>
      <c r="E110" s="57" t="s">
        <v>205</v>
      </c>
      <c r="F110" s="44" t="s">
        <v>989</v>
      </c>
      <c r="G110" s="57" t="s">
        <v>143</v>
      </c>
      <c r="H110" s="60">
        <v>6.0</v>
      </c>
      <c r="I110" s="64">
        <v>1.0</v>
      </c>
      <c r="J110" s="64">
        <v>3.0</v>
      </c>
      <c r="K110" s="62"/>
      <c r="L110" s="64">
        <v>5.0</v>
      </c>
      <c r="M110" s="64">
        <v>1.0</v>
      </c>
      <c r="N110" s="62">
        <v>4.0</v>
      </c>
      <c r="O110" s="64">
        <v>5.0</v>
      </c>
      <c r="P110" s="66" t="s">
        <v>150</v>
      </c>
      <c r="Q110" s="64">
        <v>1.0</v>
      </c>
      <c r="R110" s="64" t="s">
        <v>153</v>
      </c>
      <c r="S110" s="67" t="s">
        <v>997</v>
      </c>
      <c r="T110" s="6">
        <v>5.0</v>
      </c>
      <c r="U110" s="6"/>
      <c r="V110" s="6"/>
      <c r="W110" s="6"/>
      <c r="X110" s="6"/>
      <c r="Y110" s="6">
        <v>1.0</v>
      </c>
      <c r="Z110" s="6">
        <v>1.0</v>
      </c>
      <c r="AA110" s="6">
        <v>1.0</v>
      </c>
      <c r="AB110" s="6">
        <v>1.0</v>
      </c>
      <c r="AC110" s="6">
        <v>1.0</v>
      </c>
      <c r="AD110" s="6">
        <v>1.0</v>
      </c>
      <c r="AE110" s="68" t="s">
        <v>167</v>
      </c>
      <c r="AF110" s="68" t="s">
        <v>167</v>
      </c>
      <c r="AG110" s="68" t="s">
        <v>167</v>
      </c>
      <c r="AH110" s="68" t="s">
        <v>167</v>
      </c>
      <c r="AI110" s="68" t="s">
        <v>167</v>
      </c>
      <c r="AJ110" s="68" t="s">
        <v>167</v>
      </c>
      <c r="AK110" s="76" t="str">
        <f t="array" ref="AK110">INDEX(Factions!C:C, MATCH(E110, Factions!B:B, 0))</f>
        <v>#f1baff</v>
      </c>
      <c r="AL110" s="6" t="str">
        <f t="array" ref="AL110">INDEX(Factions!D:D, MATCH(E110, Factions!B:B, 0))</f>
        <v>#2d2d2d</v>
      </c>
      <c r="AM110" s="6" t="str">
        <f t="array" ref="AM110">INDEX(Factions!E:E, MATCH(E110, Factions!B:B, 0))</f>
        <v>#000000</v>
      </c>
      <c r="AN110" s="76" t="str">
        <f t="array" ref="AN110">INDEX(Factions!F:F, MATCH(E110, Factions!B:B, 0))</f>
        <v>#ffffff</v>
      </c>
      <c r="AO110" s="76" t="str">
        <f t="array" ref="AO110">concat(INDEX(Factions!G:G, MATCH(E110, Factions!B:B, 0)),".png")</f>
        <v>spiders.png</v>
      </c>
      <c r="AP110" s="76">
        <f>IFERROR(__xludf.DUMMYFUNCTION("MIN(FILTER(M110:M1098, F110:F1098=F110))"),1.0)</f>
        <v>1</v>
      </c>
      <c r="AQ110" s="76">
        <f t="shared" si="2"/>
        <v>5</v>
      </c>
      <c r="AR110" s="86">
        <f>IFERROR(__xludf.DUMMYFUNCTION("IF(and(REGEXMATCH(S110,""Vengence""),not(REGEXMATCH(S110, ""Protective Markings""))),AQ110,AQ110 * 6 / iferror(R110-1,6))"),7.5)</f>
        <v>7.5</v>
      </c>
      <c r="AS110" s="88">
        <f t="shared" si="3"/>
        <v>1</v>
      </c>
      <c r="AT110" s="89">
        <f t="shared" si="4"/>
        <v>5</v>
      </c>
      <c r="AU110" s="86">
        <f>IFERROR(__xludf.DUMMYFUNCTION("IF(REGEXMATCH(S110,""&lt;b&gt;Poison&lt;/b&gt;""),1+((1/(7-N110))/3),1)"),1.1111111111111112)</f>
        <v>1.111111111</v>
      </c>
      <c r="AV110" s="86">
        <f>IFERROR(__xludf.DUMMYFUNCTION("IF(REGEXMATCH(S110,""Vengence""),(7 - R110) / 3,0)"),0.0)</f>
        <v>0</v>
      </c>
      <c r="AW110" s="86">
        <f t="shared" si="5"/>
        <v>2.777777778</v>
      </c>
      <c r="AX110" s="84">
        <f t="shared" si="6"/>
        <v>11.66666667</v>
      </c>
      <c r="AY110" s="76" t="b">
        <f>IFERROR(__xludf.DUMMYFUNCTION("if(regexmatch(G110,""Mage|War Machine""),true,false)"),FALSE)</f>
        <v>0</v>
      </c>
    </row>
    <row r="111" ht="22.5" hidden="1" customHeight="1">
      <c r="A111" s="44" t="s">
        <v>998</v>
      </c>
      <c r="B111" s="44" t="s">
        <v>999</v>
      </c>
      <c r="C111" s="44" t="str">
        <f t="shared" si="1"/>
        <v>Silk Court Trappers</v>
      </c>
      <c r="D111" s="44" t="b">
        <v>1</v>
      </c>
      <c r="E111" s="57" t="s">
        <v>205</v>
      </c>
      <c r="F111" s="44" t="s">
        <v>989</v>
      </c>
      <c r="G111" s="57" t="s">
        <v>143</v>
      </c>
      <c r="H111" s="60">
        <v>6.0</v>
      </c>
      <c r="I111" s="64">
        <v>1.0</v>
      </c>
      <c r="J111" s="64">
        <v>3.0</v>
      </c>
      <c r="K111" s="62"/>
      <c r="L111" s="64">
        <v>5.0</v>
      </c>
      <c r="M111" s="64">
        <v>1.0</v>
      </c>
      <c r="N111" s="64">
        <v>4.0</v>
      </c>
      <c r="O111" s="64" t="s">
        <v>147</v>
      </c>
      <c r="P111" s="66" t="s">
        <v>150</v>
      </c>
      <c r="Q111" s="64">
        <v>1.0</v>
      </c>
      <c r="R111" s="64" t="s">
        <v>153</v>
      </c>
      <c r="S111" s="67" t="s">
        <v>1000</v>
      </c>
      <c r="T111" s="6">
        <v>4.5</v>
      </c>
      <c r="U111" s="6"/>
      <c r="V111" s="6"/>
      <c r="W111" s="6"/>
      <c r="X111" s="6"/>
      <c r="Y111" s="6">
        <v>1.0</v>
      </c>
      <c r="Z111" s="6">
        <v>1.0</v>
      </c>
      <c r="AA111" s="6">
        <v>1.0</v>
      </c>
      <c r="AB111" s="6">
        <v>1.0</v>
      </c>
      <c r="AC111" s="6">
        <v>1.0</v>
      </c>
      <c r="AD111" s="76"/>
      <c r="AE111" s="68" t="s">
        <v>167</v>
      </c>
      <c r="AF111" s="68" t="s">
        <v>167</v>
      </c>
      <c r="AG111" s="68" t="s">
        <v>167</v>
      </c>
      <c r="AH111" s="68" t="s">
        <v>167</v>
      </c>
      <c r="AI111" s="68" t="s">
        <v>167</v>
      </c>
      <c r="AJ111" s="68" t="s">
        <v>167</v>
      </c>
      <c r="AK111" s="76" t="str">
        <f t="array" ref="AK111">INDEX(Factions!C:C, MATCH(E111, Factions!B:B, 0))</f>
        <v>#f1baff</v>
      </c>
      <c r="AL111" s="6" t="str">
        <f t="array" ref="AL111">INDEX(Factions!D:D, MATCH(E111, Factions!B:B, 0))</f>
        <v>#2d2d2d</v>
      </c>
      <c r="AM111" s="6" t="str">
        <f t="array" ref="AM111">INDEX(Factions!E:E, MATCH(E111, Factions!B:B, 0))</f>
        <v>#000000</v>
      </c>
      <c r="AN111" s="76" t="str">
        <f t="array" ref="AN111">INDEX(Factions!F:F, MATCH(E111, Factions!B:B, 0))</f>
        <v>#ffffff</v>
      </c>
      <c r="AO111" s="76" t="str">
        <f t="array" ref="AO111">concat(INDEX(Factions!G:G, MATCH(E111, Factions!B:B, 0)),".png")</f>
        <v>spiders.png</v>
      </c>
      <c r="AP111" s="76">
        <f>IFERROR(__xludf.DUMMYFUNCTION("MIN(FILTER(M111:M1098, F111:F1098=F111))"),1.0)</f>
        <v>1</v>
      </c>
      <c r="AQ111" s="76">
        <f t="shared" si="2"/>
        <v>5</v>
      </c>
      <c r="AR111" s="86">
        <f>IFERROR(__xludf.DUMMYFUNCTION("IF(and(REGEXMATCH(S111,""Vengence""),not(REGEXMATCH(S111, ""Protective Markings""))),AQ111,AQ111 * 6 / iferror(R111-1,6))"),7.5)</f>
        <v>7.5</v>
      </c>
      <c r="AS111" s="88">
        <f t="shared" si="3"/>
        <v>1</v>
      </c>
      <c r="AT111" s="89">
        <f t="shared" si="4"/>
        <v>5</v>
      </c>
      <c r="AU111" s="86">
        <f>IFERROR(__xludf.DUMMYFUNCTION("IF(REGEXMATCH(S111,""&lt;b&gt;Poison&lt;/b&gt;""),1+((1/(7-N111))/3),1)"),1.1111111111111112)</f>
        <v>1.111111111</v>
      </c>
      <c r="AV111" s="86">
        <f>IFERROR(__xludf.DUMMYFUNCTION("IF(REGEXMATCH(S111,""Vengence""),(7 - R111) / 3,0)"),0.0)</f>
        <v>0</v>
      </c>
      <c r="AW111" s="86">
        <f t="shared" si="5"/>
        <v>2.777777778</v>
      </c>
      <c r="AX111" s="84">
        <f t="shared" si="6"/>
        <v>11.66666667</v>
      </c>
      <c r="AY111" s="76" t="b">
        <f>IFERROR(__xludf.DUMMYFUNCTION("if(regexmatch(G111,""Mage|War Machine""),true,false)"),FALSE)</f>
        <v>0</v>
      </c>
    </row>
    <row r="112" ht="22.5" hidden="1" customHeight="1">
      <c r="A112" s="44" t="s">
        <v>1001</v>
      </c>
      <c r="B112" s="44" t="s">
        <v>1002</v>
      </c>
      <c r="C112" s="44" t="str">
        <f t="shared" si="1"/>
        <v>Silk Court Trapdoors</v>
      </c>
      <c r="D112" s="44" t="b">
        <v>1</v>
      </c>
      <c r="E112" s="57" t="s">
        <v>205</v>
      </c>
      <c r="F112" s="44" t="s">
        <v>989</v>
      </c>
      <c r="G112" s="57" t="s">
        <v>75</v>
      </c>
      <c r="H112" s="60">
        <v>6.0</v>
      </c>
      <c r="I112" s="62">
        <v>1.0</v>
      </c>
      <c r="J112" s="62">
        <v>3.0</v>
      </c>
      <c r="K112" s="62"/>
      <c r="L112" s="62">
        <v>5.0</v>
      </c>
      <c r="M112" s="62">
        <v>1.0</v>
      </c>
      <c r="N112" s="62">
        <v>4.0</v>
      </c>
      <c r="O112" s="64">
        <v>5.0</v>
      </c>
      <c r="P112" s="66" t="s">
        <v>150</v>
      </c>
      <c r="Q112" s="62">
        <v>1.0</v>
      </c>
      <c r="R112" s="66" t="s">
        <v>153</v>
      </c>
      <c r="S112" s="67" t="s">
        <v>1003</v>
      </c>
      <c r="T112" s="6">
        <v>4.0</v>
      </c>
      <c r="U112" s="6"/>
      <c r="V112" s="6"/>
      <c r="W112" s="6"/>
      <c r="X112" s="6"/>
      <c r="Y112" s="6">
        <v>1.0</v>
      </c>
      <c r="Z112" s="6">
        <v>1.0</v>
      </c>
      <c r="AA112" s="6">
        <v>1.0</v>
      </c>
      <c r="AB112" s="6">
        <v>1.0</v>
      </c>
      <c r="AC112" s="6"/>
      <c r="AD112" s="6"/>
      <c r="AE112" s="68" t="s">
        <v>167</v>
      </c>
      <c r="AF112" s="68" t="s">
        <v>167</v>
      </c>
      <c r="AG112" s="68" t="s">
        <v>167</v>
      </c>
      <c r="AH112" s="68" t="s">
        <v>167</v>
      </c>
      <c r="AI112" s="68" t="s">
        <v>167</v>
      </c>
      <c r="AJ112" s="68" t="s">
        <v>167</v>
      </c>
      <c r="AK112" s="76" t="str">
        <f t="array" ref="AK112">INDEX(Factions!C:C, MATCH(E112, Factions!B:B, 0))</f>
        <v>#f1baff</v>
      </c>
      <c r="AL112" s="6" t="str">
        <f t="array" ref="AL112">INDEX(Factions!D:D, MATCH(E112, Factions!B:B, 0))</f>
        <v>#2d2d2d</v>
      </c>
      <c r="AM112" s="6" t="str">
        <f t="array" ref="AM112">INDEX(Factions!E:E, MATCH(E112, Factions!B:B, 0))</f>
        <v>#000000</v>
      </c>
      <c r="AN112" s="76" t="str">
        <f t="array" ref="AN112">INDEX(Factions!F:F, MATCH(E112, Factions!B:B, 0))</f>
        <v>#ffffff</v>
      </c>
      <c r="AO112" s="76" t="str">
        <f t="array" ref="AO112">concat(INDEX(Factions!G:G, MATCH(E112, Factions!B:B, 0)),".png")</f>
        <v>spiders.png</v>
      </c>
      <c r="AP112" s="84">
        <f>IFERROR(__xludf.DUMMYFUNCTION("MIN(FILTER(M112:M1098, F112:F1098=F112))"),1.0)</f>
        <v>1</v>
      </c>
      <c r="AQ112" s="76">
        <f t="shared" si="2"/>
        <v>5</v>
      </c>
      <c r="AR112" s="86">
        <f>IFERROR(__xludf.DUMMYFUNCTION("IF(and(REGEXMATCH(S112,""Vengence""),not(REGEXMATCH(S112, ""Protective Markings""))),AQ112,AQ112 * 6 / iferror(R112-1,6))"),7.5)</f>
        <v>7.5</v>
      </c>
      <c r="AS112" s="88">
        <f t="shared" si="3"/>
        <v>1</v>
      </c>
      <c r="AT112" s="89">
        <f t="shared" si="4"/>
        <v>5</v>
      </c>
      <c r="AU112" s="86">
        <f>IFERROR(__xludf.DUMMYFUNCTION("IF(REGEXMATCH(S112,""&lt;b&gt;Poison&lt;/b&gt;""),1+((1/(7-N112))/3),1)"),1.1111111111111112)</f>
        <v>1.111111111</v>
      </c>
      <c r="AV112" s="86">
        <f>IFERROR(__xludf.DUMMYFUNCTION("IF(REGEXMATCH(S112,""Vengence""),(7 - R112) / 3,0)"),0.0)</f>
        <v>0</v>
      </c>
      <c r="AW112" s="86">
        <f t="shared" si="5"/>
        <v>2.777777778</v>
      </c>
      <c r="AX112" s="84">
        <f t="shared" si="6"/>
        <v>11.66666667</v>
      </c>
      <c r="AY112" s="76" t="b">
        <f>IFERROR(__xludf.DUMMYFUNCTION("if(regexmatch(G112,""Mage|War Machine""),true,false)"),FALSE)</f>
        <v>0</v>
      </c>
    </row>
    <row r="113" ht="22.5" hidden="1" customHeight="1">
      <c r="A113" s="44" t="s">
        <v>1004</v>
      </c>
      <c r="B113" s="44" t="s">
        <v>1005</v>
      </c>
      <c r="C113" s="44" t="str">
        <f t="shared" si="1"/>
        <v>Silk Court Tarantulas</v>
      </c>
      <c r="D113" s="44" t="b">
        <v>1</v>
      </c>
      <c r="E113" s="57" t="s">
        <v>205</v>
      </c>
      <c r="F113" s="44" t="s">
        <v>726</v>
      </c>
      <c r="G113" s="57" t="s">
        <v>149</v>
      </c>
      <c r="H113" s="60">
        <v>6.0</v>
      </c>
      <c r="I113" s="62">
        <v>2.0</v>
      </c>
      <c r="J113" s="62"/>
      <c r="K113" s="62"/>
      <c r="L113" s="62">
        <v>5.0</v>
      </c>
      <c r="M113" s="62">
        <v>2.0</v>
      </c>
      <c r="N113" s="62">
        <v>4.0</v>
      </c>
      <c r="O113" s="64" t="s">
        <v>147</v>
      </c>
      <c r="P113" s="66" t="s">
        <v>150</v>
      </c>
      <c r="Q113" s="62">
        <v>2.0</v>
      </c>
      <c r="R113" s="66" t="s">
        <v>153</v>
      </c>
      <c r="S113" s="67" t="s">
        <v>1006</v>
      </c>
      <c r="T113" s="6">
        <v>6.0</v>
      </c>
      <c r="U113" s="6"/>
      <c r="V113" s="6"/>
      <c r="W113" s="6"/>
      <c r="X113" s="6"/>
      <c r="Y113" s="6">
        <v>2.0</v>
      </c>
      <c r="Z113" s="6">
        <v>2.0</v>
      </c>
      <c r="AA113" s="6">
        <v>2.0</v>
      </c>
      <c r="AB113" s="6"/>
      <c r="AC113" s="6">
        <v>2.0</v>
      </c>
      <c r="AD113" s="76"/>
      <c r="AE113" s="90" t="s">
        <v>195</v>
      </c>
      <c r="AF113" s="68" t="s">
        <v>167</v>
      </c>
      <c r="AG113" s="68" t="s">
        <v>167</v>
      </c>
      <c r="AH113" s="68" t="s">
        <v>167</v>
      </c>
      <c r="AI113" s="90" t="s">
        <v>195</v>
      </c>
      <c r="AJ113" s="68" t="s">
        <v>167</v>
      </c>
      <c r="AK113" s="76" t="str">
        <f t="array" ref="AK113">INDEX(Factions!C:C, MATCH(E113, Factions!B:B, 0))</f>
        <v>#f1baff</v>
      </c>
      <c r="AL113" s="6" t="str">
        <f t="array" ref="AL113">INDEX(Factions!D:D, MATCH(E113, Factions!B:B, 0))</f>
        <v>#2d2d2d</v>
      </c>
      <c r="AM113" s="6" t="str">
        <f t="array" ref="AM113">INDEX(Factions!E:E, MATCH(E113, Factions!B:B, 0))</f>
        <v>#000000</v>
      </c>
      <c r="AN113" s="76" t="str">
        <f t="array" ref="AN113">INDEX(Factions!F:F, MATCH(E113, Factions!B:B, 0))</f>
        <v>#ffffff</v>
      </c>
      <c r="AO113" s="76" t="str">
        <f t="array" ref="AO113">concat(INDEX(Factions!G:G, MATCH(E113, Factions!B:B, 0)),".png")</f>
        <v>spiders.png</v>
      </c>
      <c r="AP113" s="84">
        <f>IFERROR(__xludf.DUMMYFUNCTION("MIN(FILTER(M113:M1098, F113:F1098=F113))"),2.0)</f>
        <v>2</v>
      </c>
      <c r="AQ113" s="76">
        <f t="shared" si="2"/>
        <v>10</v>
      </c>
      <c r="AR113" s="86">
        <f>IFERROR(__xludf.DUMMYFUNCTION("IF(and(REGEXMATCH(S113,""Vengence""),not(REGEXMATCH(S113, ""Protective Markings""))),AQ113,AQ113 * 6 / iferror(R113-1,6))"),15.0)</f>
        <v>15</v>
      </c>
      <c r="AS113" s="88">
        <f t="shared" si="3"/>
        <v>1</v>
      </c>
      <c r="AT113" s="89">
        <f t="shared" si="4"/>
        <v>5</v>
      </c>
      <c r="AU113" s="86">
        <f>IFERROR(__xludf.DUMMYFUNCTION("IF(REGEXMATCH(S113,""&lt;b&gt;Poison&lt;/b&gt;""),1+((1/(7-N113))/3),1)"),1.1111111111111112)</f>
        <v>1.111111111</v>
      </c>
      <c r="AV113" s="86">
        <f>IFERROR(__xludf.DUMMYFUNCTION("IF(REGEXMATCH(S113,""Vengence""),(7 - R113) / 3,0)"),0.0)</f>
        <v>0</v>
      </c>
      <c r="AW113" s="86">
        <f t="shared" si="5"/>
        <v>2.777777778</v>
      </c>
      <c r="AX113" s="84">
        <f t="shared" si="6"/>
        <v>19.16666667</v>
      </c>
      <c r="AY113" s="76" t="b">
        <f>IFERROR(__xludf.DUMMYFUNCTION("if(regexmatch(G113,""Mage|War Machine""),true,false)"),FALSE)</f>
        <v>0</v>
      </c>
    </row>
    <row r="114" ht="22.5" hidden="1" customHeight="1">
      <c r="A114" s="44" t="s">
        <v>1007</v>
      </c>
      <c r="B114" s="44" t="s">
        <v>1008</v>
      </c>
      <c r="C114" s="44" t="str">
        <f t="shared" si="1"/>
        <v>Silk Court Jumpers</v>
      </c>
      <c r="D114" s="44" t="b">
        <v>1</v>
      </c>
      <c r="E114" s="57" t="s">
        <v>205</v>
      </c>
      <c r="F114" s="44" t="s">
        <v>726</v>
      </c>
      <c r="G114" s="57" t="s">
        <v>152</v>
      </c>
      <c r="H114" s="60">
        <v>6.0</v>
      </c>
      <c r="I114" s="64">
        <v>2.0</v>
      </c>
      <c r="J114" s="62"/>
      <c r="K114" s="62"/>
      <c r="L114" s="62">
        <v>5.0</v>
      </c>
      <c r="M114" s="62">
        <v>2.0</v>
      </c>
      <c r="N114" s="62">
        <v>5.0</v>
      </c>
      <c r="O114" s="64">
        <v>4.0</v>
      </c>
      <c r="P114" s="66" t="s">
        <v>150</v>
      </c>
      <c r="Q114" s="62">
        <v>1.0</v>
      </c>
      <c r="R114" s="66" t="s">
        <v>153</v>
      </c>
      <c r="S114" s="67" t="s">
        <v>1009</v>
      </c>
      <c r="T114" s="6">
        <v>4.0</v>
      </c>
      <c r="U114" s="6"/>
      <c r="V114" s="6"/>
      <c r="W114" s="6"/>
      <c r="X114" s="6"/>
      <c r="Y114" s="6">
        <v>1.0</v>
      </c>
      <c r="Z114" s="6">
        <v>1.0</v>
      </c>
      <c r="AA114" s="6">
        <v>1.0</v>
      </c>
      <c r="AB114" s="6">
        <v>1.0</v>
      </c>
      <c r="AC114" s="6"/>
      <c r="AD114" s="6">
        <v>2.0</v>
      </c>
      <c r="AE114" s="90" t="s">
        <v>195</v>
      </c>
      <c r="AF114" s="69" t="s">
        <v>171</v>
      </c>
      <c r="AG114" s="90" t="s">
        <v>195</v>
      </c>
      <c r="AH114" s="68" t="s">
        <v>167</v>
      </c>
      <c r="AI114" s="68" t="s">
        <v>167</v>
      </c>
      <c r="AJ114" s="68" t="s">
        <v>167</v>
      </c>
      <c r="AK114" s="76" t="str">
        <f t="array" ref="AK114">INDEX(Factions!C:C, MATCH(E114, Factions!B:B, 0))</f>
        <v>#f1baff</v>
      </c>
      <c r="AL114" s="6" t="str">
        <f t="array" ref="AL114">INDEX(Factions!D:D, MATCH(E114, Factions!B:B, 0))</f>
        <v>#2d2d2d</v>
      </c>
      <c r="AM114" s="6" t="str">
        <f t="array" ref="AM114">INDEX(Factions!E:E, MATCH(E114, Factions!B:B, 0))</f>
        <v>#000000</v>
      </c>
      <c r="AN114" s="76" t="str">
        <f t="array" ref="AN114">INDEX(Factions!F:F, MATCH(E114, Factions!B:B, 0))</f>
        <v>#ffffff</v>
      </c>
      <c r="AO114" s="76" t="str">
        <f t="array" ref="AO114">concat(INDEX(Factions!G:G, MATCH(E114, Factions!B:B, 0)),".png")</f>
        <v>spiders.png</v>
      </c>
      <c r="AP114" s="84">
        <f>IFERROR(__xludf.DUMMYFUNCTION("MIN(FILTER(M114:M1098, F114:F1098=F114))"),2.0)</f>
        <v>2</v>
      </c>
      <c r="AQ114" s="76">
        <f t="shared" si="2"/>
        <v>5</v>
      </c>
      <c r="AR114" s="86">
        <f>IFERROR(__xludf.DUMMYFUNCTION("IF(and(REGEXMATCH(S114,""Vengence""),not(REGEXMATCH(S114, ""Protective Markings""))),AQ114,AQ114 * 6 / iferror(R114-1,6))"),7.5)</f>
        <v>7.5</v>
      </c>
      <c r="AS114" s="88">
        <f t="shared" si="3"/>
        <v>1</v>
      </c>
      <c r="AT114" s="89">
        <f t="shared" si="4"/>
        <v>5</v>
      </c>
      <c r="AU114" s="86">
        <f>IFERROR(__xludf.DUMMYFUNCTION("IF(REGEXMATCH(S114,""&lt;b&gt;Poison&lt;/b&gt;""),1+((1/(7-N114))/3),1)"),1.1666666666666667)</f>
        <v>1.166666667</v>
      </c>
      <c r="AV114" s="86">
        <f>IFERROR(__xludf.DUMMYFUNCTION("IF(REGEXMATCH(S114,""Vengence""),(7 - R114) / 3,0)"),0.0)</f>
        <v>0</v>
      </c>
      <c r="AW114" s="86">
        <f t="shared" si="5"/>
        <v>1.944444444</v>
      </c>
      <c r="AX114" s="84">
        <f t="shared" si="6"/>
        <v>10.41666667</v>
      </c>
      <c r="AY114" s="76" t="b">
        <f>IFERROR(__xludf.DUMMYFUNCTION("if(regexmatch(G114,""Mage|War Machine""),true,false)"),FALSE)</f>
        <v>0</v>
      </c>
    </row>
    <row r="115" ht="22.5" hidden="1" customHeight="1">
      <c r="A115" s="44" t="s">
        <v>1010</v>
      </c>
      <c r="B115" s="44" t="s">
        <v>1011</v>
      </c>
      <c r="C115" s="44" t="str">
        <f t="shared" si="1"/>
        <v>Silk Court Webdancers</v>
      </c>
      <c r="D115" s="44" t="b">
        <v>1</v>
      </c>
      <c r="E115" s="57" t="s">
        <v>205</v>
      </c>
      <c r="F115" s="44" t="s">
        <v>1012</v>
      </c>
      <c r="G115" s="57" t="s">
        <v>75</v>
      </c>
      <c r="H115" s="60">
        <v>4.0</v>
      </c>
      <c r="I115" s="62">
        <v>2.0</v>
      </c>
      <c r="J115" s="62"/>
      <c r="K115" s="62"/>
      <c r="L115" s="62">
        <v>5.0</v>
      </c>
      <c r="M115" s="62">
        <v>1.0</v>
      </c>
      <c r="N115" s="62">
        <v>4.0</v>
      </c>
      <c r="O115" s="64">
        <v>5.0</v>
      </c>
      <c r="P115" s="66" t="s">
        <v>372</v>
      </c>
      <c r="Q115" s="62">
        <v>1.0</v>
      </c>
      <c r="R115" s="66" t="s">
        <v>153</v>
      </c>
      <c r="S115" s="67" t="s">
        <v>1013</v>
      </c>
      <c r="T115" s="6">
        <v>6.0</v>
      </c>
      <c r="U115" s="6"/>
      <c r="V115" s="6"/>
      <c r="W115" s="6"/>
      <c r="X115" s="6"/>
      <c r="Y115" s="6">
        <v>2.0</v>
      </c>
      <c r="Z115" s="6">
        <v>2.0</v>
      </c>
      <c r="AA115" s="6">
        <v>2.0</v>
      </c>
      <c r="AB115" s="6">
        <v>1.0</v>
      </c>
      <c r="AC115" s="6">
        <v>2.0</v>
      </c>
      <c r="AD115" s="6">
        <v>2.0</v>
      </c>
      <c r="AE115" s="68" t="s">
        <v>167</v>
      </c>
      <c r="AF115" s="68" t="s">
        <v>167</v>
      </c>
      <c r="AG115" s="68" t="s">
        <v>167</v>
      </c>
      <c r="AH115" s="90" t="s">
        <v>195</v>
      </c>
      <c r="AI115" s="68" t="s">
        <v>167</v>
      </c>
      <c r="AJ115" s="68" t="s">
        <v>167</v>
      </c>
      <c r="AK115" s="76" t="str">
        <f t="array" ref="AK115">INDEX(Factions!C:C, MATCH(E115, Factions!B:B, 0))</f>
        <v>#f1baff</v>
      </c>
      <c r="AL115" s="6" t="str">
        <f t="array" ref="AL115">INDEX(Factions!D:D, MATCH(E115, Factions!B:B, 0))</f>
        <v>#2d2d2d</v>
      </c>
      <c r="AM115" s="6" t="str">
        <f t="array" ref="AM115">INDEX(Factions!E:E, MATCH(E115, Factions!B:B, 0))</f>
        <v>#000000</v>
      </c>
      <c r="AN115" s="76" t="str">
        <f t="array" ref="AN115">INDEX(Factions!F:F, MATCH(E115, Factions!B:B, 0))</f>
        <v>#ffffff</v>
      </c>
      <c r="AO115" s="76" t="str">
        <f t="array" ref="AO115">concat(INDEX(Factions!G:G, MATCH(E115, Factions!B:B, 0)),".png")</f>
        <v>spiders.png</v>
      </c>
      <c r="AP115" s="84">
        <f>IFERROR(__xludf.DUMMYFUNCTION("MIN(FILTER(M115:M1098, F115:F1098=F115))"),1.0)</f>
        <v>1</v>
      </c>
      <c r="AQ115" s="76">
        <f t="shared" si="2"/>
        <v>5</v>
      </c>
      <c r="AR115" s="86">
        <f>IFERROR(__xludf.DUMMYFUNCTION("IF(and(REGEXMATCH(S115,""Vengence""),not(REGEXMATCH(S115, ""Protective Markings""))),AQ115,AQ115 * 6 / iferror(R115-1,6))"),7.5)</f>
        <v>7.5</v>
      </c>
      <c r="AS115" s="88">
        <f t="shared" si="3"/>
        <v>2</v>
      </c>
      <c r="AT115" s="89">
        <f t="shared" si="4"/>
        <v>10</v>
      </c>
      <c r="AU115" s="86">
        <f>IFERROR(__xludf.DUMMYFUNCTION("IF(REGEXMATCH(S115,""&lt;b&gt;Poison&lt;/b&gt;""),1+((1/(7-N115))/3),1)"),1.1111111111111112)</f>
        <v>1.111111111</v>
      </c>
      <c r="AV115" s="86">
        <f>IFERROR(__xludf.DUMMYFUNCTION("IF(REGEXMATCH(S115,""Vengence""),(7 - R115) / 3,0)"),0.0)</f>
        <v>0</v>
      </c>
      <c r="AW115" s="86">
        <f t="shared" si="5"/>
        <v>5.555555556</v>
      </c>
      <c r="AX115" s="84">
        <f t="shared" si="6"/>
        <v>15.83333333</v>
      </c>
      <c r="AY115" s="76" t="b">
        <f>IFERROR(__xludf.DUMMYFUNCTION("if(regexmatch(G115,""Mage|War Machine""),true,false)"),FALSE)</f>
        <v>0</v>
      </c>
    </row>
    <row r="116" ht="22.5" hidden="1" customHeight="1">
      <c r="A116" s="44" t="s">
        <v>1014</v>
      </c>
      <c r="B116" s="44" t="s">
        <v>1015</v>
      </c>
      <c r="C116" s="44" t="str">
        <f t="shared" si="1"/>
        <v>Silk Court Mimics</v>
      </c>
      <c r="D116" s="44" t="b">
        <v>1</v>
      </c>
      <c r="E116" s="57" t="s">
        <v>205</v>
      </c>
      <c r="F116" s="44" t="s">
        <v>1012</v>
      </c>
      <c r="G116" s="57" t="s">
        <v>75</v>
      </c>
      <c r="H116" s="60">
        <v>4.0</v>
      </c>
      <c r="I116" s="62">
        <v>2.0</v>
      </c>
      <c r="J116" s="62"/>
      <c r="K116" s="62"/>
      <c r="L116" s="62">
        <v>5.0</v>
      </c>
      <c r="M116" s="62">
        <v>1.0</v>
      </c>
      <c r="N116" s="62">
        <v>3.0</v>
      </c>
      <c r="O116" s="64">
        <v>4.0</v>
      </c>
      <c r="P116" s="66" t="s">
        <v>150</v>
      </c>
      <c r="Q116" s="62">
        <v>1.0</v>
      </c>
      <c r="R116" s="66" t="s">
        <v>153</v>
      </c>
      <c r="S116" s="67" t="s">
        <v>1016</v>
      </c>
      <c r="T116" s="6">
        <v>5.0</v>
      </c>
      <c r="U116" s="6"/>
      <c r="V116" s="6"/>
      <c r="W116" s="6"/>
      <c r="X116" s="6"/>
      <c r="Y116" s="6">
        <v>2.0</v>
      </c>
      <c r="Z116" s="6">
        <v>2.0</v>
      </c>
      <c r="AA116" s="6">
        <v>2.0</v>
      </c>
      <c r="AB116" s="6">
        <v>2.0</v>
      </c>
      <c r="AC116" s="6">
        <v>2.0</v>
      </c>
      <c r="AD116" s="6">
        <v>2.0</v>
      </c>
      <c r="AE116" s="68" t="s">
        <v>167</v>
      </c>
      <c r="AF116" s="90" t="s">
        <v>195</v>
      </c>
      <c r="AG116" s="90" t="s">
        <v>195</v>
      </c>
      <c r="AH116" s="68" t="s">
        <v>167</v>
      </c>
      <c r="AI116" s="68" t="s">
        <v>167</v>
      </c>
      <c r="AJ116" s="68" t="s">
        <v>167</v>
      </c>
      <c r="AK116" s="76" t="str">
        <f t="array" ref="AK116">INDEX(Factions!C:C, MATCH(E116, Factions!B:B, 0))</f>
        <v>#f1baff</v>
      </c>
      <c r="AL116" s="6" t="str">
        <f t="array" ref="AL116">INDEX(Factions!D:D, MATCH(E116, Factions!B:B, 0))</f>
        <v>#2d2d2d</v>
      </c>
      <c r="AM116" s="6" t="str">
        <f t="array" ref="AM116">INDEX(Factions!E:E, MATCH(E116, Factions!B:B, 0))</f>
        <v>#000000</v>
      </c>
      <c r="AN116" s="76" t="str">
        <f t="array" ref="AN116">INDEX(Factions!F:F, MATCH(E116, Factions!B:B, 0))</f>
        <v>#ffffff</v>
      </c>
      <c r="AO116" s="76" t="str">
        <f t="array" ref="AO116">concat(INDEX(Factions!G:G, MATCH(E116, Factions!B:B, 0)),".png")</f>
        <v>spiders.png</v>
      </c>
      <c r="AP116" s="84">
        <f>IFERROR(__xludf.DUMMYFUNCTION("MIN(FILTER(M116:M1098, F116:F1098=F116))"),1.0)</f>
        <v>1</v>
      </c>
      <c r="AQ116" s="76">
        <f t="shared" si="2"/>
        <v>5</v>
      </c>
      <c r="AR116" s="86">
        <f>IFERROR(__xludf.DUMMYFUNCTION("IF(and(REGEXMATCH(S116,""Vengence""),not(REGEXMATCH(S116, ""Protective Markings""))),AQ116,AQ116 * 6 / iferror(R116-1,6))"),7.5)</f>
        <v>7.5</v>
      </c>
      <c r="AS116" s="88">
        <f t="shared" si="3"/>
        <v>1</v>
      </c>
      <c r="AT116" s="89">
        <f t="shared" si="4"/>
        <v>5</v>
      </c>
      <c r="AU116" s="86">
        <f>IFERROR(__xludf.DUMMYFUNCTION("IF(REGEXMATCH(S116,""&lt;b&gt;Poison&lt;/b&gt;""),1+((1/(7-N116))/3),1)"),1.0833333333333333)</f>
        <v>1.083333333</v>
      </c>
      <c r="AV116" s="86">
        <f>IFERROR(__xludf.DUMMYFUNCTION("IF(REGEXMATCH(S116,""Vengence""),(7 - R116) / 3,0)"),0.0)</f>
        <v>0</v>
      </c>
      <c r="AW116" s="86">
        <f t="shared" si="5"/>
        <v>3.611111111</v>
      </c>
      <c r="AX116" s="84">
        <f t="shared" si="6"/>
        <v>12.91666667</v>
      </c>
      <c r="AY116" s="76" t="b">
        <f>IFERROR(__xludf.DUMMYFUNCTION("if(regexmatch(G116,""Mage|War Machine""),true,false)"),FALSE)</f>
        <v>0</v>
      </c>
    </row>
    <row r="117" ht="22.5" hidden="1" customHeight="1">
      <c r="A117" s="44" t="s">
        <v>1017</v>
      </c>
      <c r="B117" s="44" t="s">
        <v>803</v>
      </c>
      <c r="C117" s="44" t="str">
        <f t="shared" si="1"/>
        <v>Silk Court Cocoon Cannon</v>
      </c>
      <c r="D117" s="44" t="b">
        <v>1</v>
      </c>
      <c r="E117" s="57" t="s">
        <v>205</v>
      </c>
      <c r="F117" s="44" t="s">
        <v>1018</v>
      </c>
      <c r="G117" s="57" t="s">
        <v>156</v>
      </c>
      <c r="H117" s="60">
        <v>6.0</v>
      </c>
      <c r="I117" s="64">
        <v>2.0</v>
      </c>
      <c r="J117" s="62"/>
      <c r="K117" s="62"/>
      <c r="L117" s="62">
        <v>1.0</v>
      </c>
      <c r="M117" s="62">
        <v>1.0</v>
      </c>
      <c r="N117" s="62">
        <v>5.0</v>
      </c>
      <c r="O117" s="64" t="s">
        <v>147</v>
      </c>
      <c r="P117" s="66" t="s">
        <v>372</v>
      </c>
      <c r="Q117" s="62">
        <v>3.0</v>
      </c>
      <c r="R117" s="66" t="s">
        <v>217</v>
      </c>
      <c r="S117" s="67" t="s">
        <v>804</v>
      </c>
      <c r="T117" s="6">
        <v>1.0</v>
      </c>
      <c r="U117" s="76"/>
      <c r="V117" s="76"/>
      <c r="W117" s="76"/>
      <c r="X117" s="76"/>
      <c r="Y117" s="76"/>
      <c r="Z117" s="76"/>
      <c r="AA117" s="76"/>
      <c r="AB117" s="76"/>
      <c r="AC117" s="76"/>
      <c r="AD117" s="76"/>
      <c r="AE117" s="68" t="s">
        <v>167</v>
      </c>
      <c r="AF117" s="68" t="s">
        <v>167</v>
      </c>
      <c r="AG117" s="68" t="s">
        <v>167</v>
      </c>
      <c r="AH117" s="68" t="s">
        <v>167</v>
      </c>
      <c r="AI117" s="68" t="s">
        <v>167</v>
      </c>
      <c r="AJ117" s="69" t="s">
        <v>171</v>
      </c>
      <c r="AK117" s="76" t="str">
        <f t="array" ref="AK117">INDEX(Factions!C:C, MATCH(E117, Factions!B:B, 0))</f>
        <v>#f1baff</v>
      </c>
      <c r="AL117" s="6" t="str">
        <f t="array" ref="AL117">INDEX(Factions!D:D, MATCH(E117, Factions!B:B, 0))</f>
        <v>#2d2d2d</v>
      </c>
      <c r="AM117" s="6" t="str">
        <f t="array" ref="AM117">INDEX(Factions!E:E, MATCH(E117, Factions!B:B, 0))</f>
        <v>#000000</v>
      </c>
      <c r="AN117" s="76" t="str">
        <f t="array" ref="AN117">INDEX(Factions!F:F, MATCH(E117, Factions!B:B, 0))</f>
        <v>#ffffff</v>
      </c>
      <c r="AO117" s="76" t="str">
        <f t="array" ref="AO117">concat(INDEX(Factions!G:G, MATCH(E117, Factions!B:B, 0)),".png")</f>
        <v>spiders.png</v>
      </c>
      <c r="AP117" s="84">
        <f>IFERROR(__xludf.DUMMYFUNCTION("MIN(FILTER(M117:M1098, F117:F1098=F117))"),1.0)</f>
        <v>1</v>
      </c>
      <c r="AQ117" s="76">
        <f t="shared" si="2"/>
        <v>3</v>
      </c>
      <c r="AR117" s="86">
        <f>IFERROR(__xludf.DUMMYFUNCTION("IF(and(REGEXMATCH(S117,""Vengence""),not(REGEXMATCH(S117, ""Protective Markings""))),AQ117,AQ117 * 6 / iferror(R117-1,6))"),3.6)</f>
        <v>3.6</v>
      </c>
      <c r="AS117" s="88">
        <f t="shared" si="3"/>
        <v>2</v>
      </c>
      <c r="AT117" s="89">
        <f t="shared" si="4"/>
        <v>2</v>
      </c>
      <c r="AU117" s="86">
        <f>IFERROR(__xludf.DUMMYFUNCTION("IF(REGEXMATCH(S117,""&lt;b&gt;Poison&lt;/b&gt;""),1+((1/(7-N117))/3),1)"),1.1666666666666667)</f>
        <v>1.166666667</v>
      </c>
      <c r="AV117" s="86">
        <f>IFERROR(__xludf.DUMMYFUNCTION("IF(REGEXMATCH(S117,""Vengence""),(7 - R117) / 3,0)"),0.0)</f>
        <v>0</v>
      </c>
      <c r="AW117" s="86">
        <f t="shared" si="5"/>
        <v>0.7777777778</v>
      </c>
      <c r="AX117" s="84">
        <f t="shared" si="6"/>
        <v>4.766666667</v>
      </c>
      <c r="AY117" s="76" t="b">
        <f>IFERROR(__xludf.DUMMYFUNCTION("if(regexmatch(G117,""Mage|War Machine""),true,false)"),TRUE)</f>
        <v>1</v>
      </c>
    </row>
    <row r="118" ht="22.5" hidden="1" customHeight="1">
      <c r="A118" s="44" t="s">
        <v>1019</v>
      </c>
      <c r="B118" s="44" t="s">
        <v>796</v>
      </c>
      <c r="C118" s="44" t="str">
        <f t="shared" si="1"/>
        <v>Silk Court Spitter</v>
      </c>
      <c r="D118" s="44" t="b">
        <v>1</v>
      </c>
      <c r="E118" s="57" t="s">
        <v>205</v>
      </c>
      <c r="F118" s="44" t="s">
        <v>1018</v>
      </c>
      <c r="G118" s="57" t="s">
        <v>156</v>
      </c>
      <c r="H118" s="60">
        <v>6.0</v>
      </c>
      <c r="I118" s="62">
        <v>2.0</v>
      </c>
      <c r="J118" s="62"/>
      <c r="K118" s="62"/>
      <c r="L118" s="62">
        <v>1.0</v>
      </c>
      <c r="M118" s="62">
        <v>1.0</v>
      </c>
      <c r="N118" s="62">
        <v>6.0</v>
      </c>
      <c r="O118" s="64">
        <v>4.0</v>
      </c>
      <c r="P118" s="66" t="s">
        <v>372</v>
      </c>
      <c r="Q118" s="62">
        <v>3.0</v>
      </c>
      <c r="R118" s="66" t="s">
        <v>217</v>
      </c>
      <c r="S118" s="67" t="s">
        <v>797</v>
      </c>
      <c r="T118" s="6">
        <v>1.0</v>
      </c>
      <c r="U118" s="76"/>
      <c r="V118" s="76"/>
      <c r="W118" s="76"/>
      <c r="X118" s="76"/>
      <c r="Y118" s="76"/>
      <c r="Z118" s="76"/>
      <c r="AA118" s="76"/>
      <c r="AB118" s="76"/>
      <c r="AC118" s="76"/>
      <c r="AD118" s="76"/>
      <c r="AE118" s="68" t="s">
        <v>167</v>
      </c>
      <c r="AF118" s="69" t="s">
        <v>171</v>
      </c>
      <c r="AG118" s="90" t="s">
        <v>195</v>
      </c>
      <c r="AH118" s="68" t="s">
        <v>167</v>
      </c>
      <c r="AI118" s="68" t="s">
        <v>167</v>
      </c>
      <c r="AJ118" s="69" t="s">
        <v>171</v>
      </c>
      <c r="AK118" s="76" t="str">
        <f t="array" ref="AK118">INDEX(Factions!C:C, MATCH(E118, Factions!B:B, 0))</f>
        <v>#f1baff</v>
      </c>
      <c r="AL118" s="6" t="str">
        <f t="array" ref="AL118">INDEX(Factions!D:D, MATCH(E118, Factions!B:B, 0))</f>
        <v>#2d2d2d</v>
      </c>
      <c r="AM118" s="6" t="str">
        <f t="array" ref="AM118">INDEX(Factions!E:E, MATCH(E118, Factions!B:B, 0))</f>
        <v>#000000</v>
      </c>
      <c r="AN118" s="76" t="str">
        <f t="array" ref="AN118">INDEX(Factions!F:F, MATCH(E118, Factions!B:B, 0))</f>
        <v>#ffffff</v>
      </c>
      <c r="AO118" s="76" t="str">
        <f t="array" ref="AO118">concat(INDEX(Factions!G:G, MATCH(E118, Factions!B:B, 0)),".png")</f>
        <v>spiders.png</v>
      </c>
      <c r="AP118" s="84">
        <f>IFERROR(__xludf.DUMMYFUNCTION("MIN(FILTER(M118:M1098, F118:F1098=F118))"),1.0)</f>
        <v>1</v>
      </c>
      <c r="AQ118" s="76">
        <f t="shared" si="2"/>
        <v>3</v>
      </c>
      <c r="AR118" s="86">
        <f>IFERROR(__xludf.DUMMYFUNCTION("IF(and(REGEXMATCH(S118,""Vengence""),not(REGEXMATCH(S118, ""Protective Markings""))),AQ118,AQ118 * 6 / iferror(R118-1,6))"),3.6)</f>
        <v>3.6</v>
      </c>
      <c r="AS118" s="88">
        <f t="shared" si="3"/>
        <v>2</v>
      </c>
      <c r="AT118" s="89">
        <f t="shared" si="4"/>
        <v>2</v>
      </c>
      <c r="AU118" s="86">
        <f>IFERROR(__xludf.DUMMYFUNCTION("IF(REGEXMATCH(S118,""&lt;b&gt;Poison&lt;/b&gt;""),1+((1/(7-N118))/3),1)"),1.3333333333333333)</f>
        <v>1.333333333</v>
      </c>
      <c r="AV118" s="86">
        <f>IFERROR(__xludf.DUMMYFUNCTION("IF(REGEXMATCH(S118,""Vengence""),(7 - R118) / 3,0)"),0.0)</f>
        <v>0</v>
      </c>
      <c r="AW118" s="86">
        <f t="shared" si="5"/>
        <v>0.4444444444</v>
      </c>
      <c r="AX118" s="84">
        <f t="shared" si="6"/>
        <v>4.266666667</v>
      </c>
      <c r="AY118" s="76" t="b">
        <f>IFERROR(__xludf.DUMMYFUNCTION("if(regexmatch(G118,""Mage|War Machine""),true,false)"),TRUE)</f>
        <v>1</v>
      </c>
    </row>
    <row r="119" ht="22.5" hidden="1" customHeight="1">
      <c r="A119" s="44" t="s">
        <v>1020</v>
      </c>
      <c r="B119" s="44" t="s">
        <v>811</v>
      </c>
      <c r="C119" s="44" t="str">
        <f t="shared" si="1"/>
        <v>Silk Court Weblayer</v>
      </c>
      <c r="D119" s="44" t="b">
        <v>1</v>
      </c>
      <c r="E119" s="57" t="s">
        <v>205</v>
      </c>
      <c r="F119" s="44" t="s">
        <v>1018</v>
      </c>
      <c r="G119" s="57" t="s">
        <v>156</v>
      </c>
      <c r="H119" s="60">
        <v>6.0</v>
      </c>
      <c r="I119" s="62">
        <v>2.0</v>
      </c>
      <c r="J119" s="62"/>
      <c r="K119" s="62"/>
      <c r="L119" s="62">
        <v>1.0</v>
      </c>
      <c r="M119" s="62">
        <v>1.0</v>
      </c>
      <c r="N119" s="62">
        <v>5.0</v>
      </c>
      <c r="O119" s="64" t="s">
        <v>147</v>
      </c>
      <c r="P119" s="66" t="s">
        <v>372</v>
      </c>
      <c r="Q119" s="62">
        <v>3.0</v>
      </c>
      <c r="R119" s="66" t="s">
        <v>217</v>
      </c>
      <c r="S119" s="67" t="s">
        <v>812</v>
      </c>
      <c r="T119" s="6">
        <v>1.0</v>
      </c>
      <c r="U119" s="76"/>
      <c r="V119" s="76"/>
      <c r="W119" s="76"/>
      <c r="X119" s="76"/>
      <c r="Y119" s="76"/>
      <c r="Z119" s="76"/>
      <c r="AA119" s="76"/>
      <c r="AB119" s="76"/>
      <c r="AC119" s="76"/>
      <c r="AD119" s="76"/>
      <c r="AE119" s="68" t="s">
        <v>167</v>
      </c>
      <c r="AF119" s="68" t="s">
        <v>167</v>
      </c>
      <c r="AG119" s="68" t="s">
        <v>167</v>
      </c>
      <c r="AH119" s="68" t="s">
        <v>167</v>
      </c>
      <c r="AI119" s="68" t="s">
        <v>167</v>
      </c>
      <c r="AJ119" s="69" t="s">
        <v>171</v>
      </c>
      <c r="AK119" s="76" t="str">
        <f t="array" ref="AK119">INDEX(Factions!C:C, MATCH(E119, Factions!B:B, 0))</f>
        <v>#f1baff</v>
      </c>
      <c r="AL119" s="6" t="str">
        <f t="array" ref="AL119">INDEX(Factions!D:D, MATCH(E119, Factions!B:B, 0))</f>
        <v>#2d2d2d</v>
      </c>
      <c r="AM119" s="6" t="str">
        <f t="array" ref="AM119">INDEX(Factions!E:E, MATCH(E119, Factions!B:B, 0))</f>
        <v>#000000</v>
      </c>
      <c r="AN119" s="76" t="str">
        <f t="array" ref="AN119">INDEX(Factions!F:F, MATCH(E119, Factions!B:B, 0))</f>
        <v>#ffffff</v>
      </c>
      <c r="AO119" s="76" t="str">
        <f t="array" ref="AO119">concat(INDEX(Factions!G:G, MATCH(E119, Factions!B:B, 0)),".png")</f>
        <v>spiders.png</v>
      </c>
      <c r="AP119" s="84">
        <f>IFERROR(__xludf.DUMMYFUNCTION("MIN(FILTER(M119:M1098, F119:F1098=F119))"),1.0)</f>
        <v>1</v>
      </c>
      <c r="AQ119" s="76">
        <f t="shared" si="2"/>
        <v>3</v>
      </c>
      <c r="AR119" s="86">
        <f>IFERROR(__xludf.DUMMYFUNCTION("IF(and(REGEXMATCH(S119,""Vengence""),not(REGEXMATCH(S119, ""Protective Markings""))),AQ119,AQ119 * 6 / iferror(R119-1,6))"),3.6)</f>
        <v>3.6</v>
      </c>
      <c r="AS119" s="88">
        <f t="shared" si="3"/>
        <v>2</v>
      </c>
      <c r="AT119" s="89">
        <f t="shared" si="4"/>
        <v>2</v>
      </c>
      <c r="AU119" s="86">
        <f>IFERROR(__xludf.DUMMYFUNCTION("IF(REGEXMATCH(S119,""&lt;b&gt;Poison&lt;/b&gt;""),1+((1/(7-N119))/3),1)"),1.1666666666666667)</f>
        <v>1.166666667</v>
      </c>
      <c r="AV119" s="86">
        <f>IFERROR(__xludf.DUMMYFUNCTION("IF(REGEXMATCH(S119,""Vengence""),(7 - R119) / 3,0)"),0.0)</f>
        <v>0</v>
      </c>
      <c r="AW119" s="86">
        <f t="shared" si="5"/>
        <v>0.7777777778</v>
      </c>
      <c r="AX119" s="84">
        <f t="shared" si="6"/>
        <v>4.766666667</v>
      </c>
      <c r="AY119" s="76" t="b">
        <f>IFERROR(__xludf.DUMMYFUNCTION("if(regexmatch(G119,""Mage|War Machine""),true,false)"),TRUE)</f>
        <v>1</v>
      </c>
    </row>
    <row r="120" ht="22.5" hidden="1" customHeight="1">
      <c r="A120" s="44" t="s">
        <v>1021</v>
      </c>
      <c r="B120" s="44" t="s">
        <v>1022</v>
      </c>
      <c r="C120" s="44" t="str">
        <f t="shared" si="1"/>
        <v>Silk Court Widowmakers</v>
      </c>
      <c r="D120" s="44" t="b">
        <v>1</v>
      </c>
      <c r="E120" s="57" t="s">
        <v>205</v>
      </c>
      <c r="F120" s="44" t="s">
        <v>726</v>
      </c>
      <c r="G120" s="57" t="s">
        <v>148</v>
      </c>
      <c r="H120" s="60">
        <v>6.0</v>
      </c>
      <c r="I120" s="62">
        <v>2.0</v>
      </c>
      <c r="J120" s="62"/>
      <c r="K120" s="62"/>
      <c r="L120" s="62">
        <v>5.0</v>
      </c>
      <c r="M120" s="62">
        <v>2.0</v>
      </c>
      <c r="N120" s="62">
        <v>5.0</v>
      </c>
      <c r="O120" s="64">
        <v>5.0</v>
      </c>
      <c r="P120" s="66" t="s">
        <v>150</v>
      </c>
      <c r="Q120" s="62">
        <v>2.0</v>
      </c>
      <c r="R120" s="66" t="s">
        <v>217</v>
      </c>
      <c r="S120" s="67" t="s">
        <v>1023</v>
      </c>
      <c r="T120" s="6">
        <v>6.0</v>
      </c>
      <c r="U120" s="6"/>
      <c r="V120" s="6"/>
      <c r="W120" s="6"/>
      <c r="X120" s="6"/>
      <c r="Y120" s="6">
        <v>2.0</v>
      </c>
      <c r="Z120" s="6">
        <v>2.0</v>
      </c>
      <c r="AA120" s="6">
        <v>2.0</v>
      </c>
      <c r="AB120" s="6">
        <v>2.0</v>
      </c>
      <c r="AC120" s="6"/>
      <c r="AD120" s="76"/>
      <c r="AE120" s="90" t="s">
        <v>195</v>
      </c>
      <c r="AF120" s="69" t="s">
        <v>171</v>
      </c>
      <c r="AG120" s="68" t="s">
        <v>167</v>
      </c>
      <c r="AH120" s="68" t="s">
        <v>167</v>
      </c>
      <c r="AI120" s="90" t="s">
        <v>195</v>
      </c>
      <c r="AJ120" s="69" t="s">
        <v>171</v>
      </c>
      <c r="AK120" s="76" t="str">
        <f t="array" ref="AK120">INDEX(Factions!C:C, MATCH(E120, Factions!B:B, 0))</f>
        <v>#f1baff</v>
      </c>
      <c r="AL120" s="6" t="str">
        <f t="array" ref="AL120">INDEX(Factions!D:D, MATCH(E120, Factions!B:B, 0))</f>
        <v>#2d2d2d</v>
      </c>
      <c r="AM120" s="6" t="str">
        <f t="array" ref="AM120">INDEX(Factions!E:E, MATCH(E120, Factions!B:B, 0))</f>
        <v>#000000</v>
      </c>
      <c r="AN120" s="76" t="str">
        <f t="array" ref="AN120">INDEX(Factions!F:F, MATCH(E120, Factions!B:B, 0))</f>
        <v>#ffffff</v>
      </c>
      <c r="AO120" s="76" t="str">
        <f t="array" ref="AO120">concat(INDEX(Factions!G:G, MATCH(E120, Factions!B:B, 0)),".png")</f>
        <v>spiders.png</v>
      </c>
      <c r="AP120" s="84">
        <f>IFERROR(__xludf.DUMMYFUNCTION("MIN(FILTER(M120:M1098, F120:F1098=F120))"),2.0)</f>
        <v>2</v>
      </c>
      <c r="AQ120" s="76">
        <f t="shared" si="2"/>
        <v>10</v>
      </c>
      <c r="AR120" s="86">
        <f>IFERROR(__xludf.DUMMYFUNCTION("IF(and(REGEXMATCH(S120,""Vengence""),not(REGEXMATCH(S120, ""Protective Markings""))),AQ120,AQ120 * 6 / iferror(R120-1,6))"),12.0)</f>
        <v>12</v>
      </c>
      <c r="AS120" s="88">
        <f t="shared" si="3"/>
        <v>1</v>
      </c>
      <c r="AT120" s="89">
        <f t="shared" si="4"/>
        <v>5</v>
      </c>
      <c r="AU120" s="86">
        <f>IFERROR(__xludf.DUMMYFUNCTION("IF(REGEXMATCH(S120,""&lt;b&gt;Poison&lt;/b&gt;""),1+((1/(7-N120))/3),1)"),1.0)</f>
        <v>1</v>
      </c>
      <c r="AV120" s="86">
        <f>IFERROR(__xludf.DUMMYFUNCTION("IF(REGEXMATCH(S120,""Vengence""),(7 - R120) / 3,0)"),0.0)</f>
        <v>0</v>
      </c>
      <c r="AW120" s="86">
        <f t="shared" si="5"/>
        <v>1.666666667</v>
      </c>
      <c r="AX120" s="84">
        <f t="shared" si="6"/>
        <v>14.5</v>
      </c>
      <c r="AY120" s="76" t="b">
        <f>IFERROR(__xludf.DUMMYFUNCTION("if(regexmatch(G120,""Mage|War Machine""),true,false)"),FALSE)</f>
        <v>0</v>
      </c>
    </row>
    <row r="121" ht="22.5" hidden="1" customHeight="1">
      <c r="A121" s="44" t="s">
        <v>1024</v>
      </c>
      <c r="B121" s="44" t="s">
        <v>1025</v>
      </c>
      <c r="C121" s="44" t="str">
        <f t="shared" si="1"/>
        <v>Silk Court Shimmerwebs</v>
      </c>
      <c r="D121" s="44" t="b">
        <v>1</v>
      </c>
      <c r="E121" s="57" t="s">
        <v>205</v>
      </c>
      <c r="F121" s="44" t="s">
        <v>1012</v>
      </c>
      <c r="G121" s="57" t="s">
        <v>144</v>
      </c>
      <c r="H121" s="60">
        <v>4.0</v>
      </c>
      <c r="I121" s="64">
        <v>2.0</v>
      </c>
      <c r="J121" s="62"/>
      <c r="K121" s="62"/>
      <c r="L121" s="62">
        <v>5.0</v>
      </c>
      <c r="M121" s="62">
        <v>1.0</v>
      </c>
      <c r="N121" s="62">
        <v>4.0</v>
      </c>
      <c r="O121" s="64">
        <v>6.0</v>
      </c>
      <c r="P121" s="66" t="s">
        <v>150</v>
      </c>
      <c r="Q121" s="62">
        <v>1.0</v>
      </c>
      <c r="R121" s="66" t="s">
        <v>217</v>
      </c>
      <c r="S121" s="67" t="s">
        <v>1026</v>
      </c>
      <c r="T121" s="6">
        <v>7.0</v>
      </c>
      <c r="U121" s="6"/>
      <c r="V121" s="6"/>
      <c r="W121" s="6"/>
      <c r="X121" s="6"/>
      <c r="Y121" s="6">
        <v>2.0</v>
      </c>
      <c r="Z121" s="6">
        <v>2.0</v>
      </c>
      <c r="AA121" s="6">
        <v>2.0</v>
      </c>
      <c r="AB121" s="6">
        <v>2.0</v>
      </c>
      <c r="AC121" s="6"/>
      <c r="AD121" s="6">
        <v>1.0</v>
      </c>
      <c r="AE121" s="68" t="s">
        <v>167</v>
      </c>
      <c r="AF121" s="68" t="s">
        <v>167</v>
      </c>
      <c r="AG121" s="68" t="s">
        <v>167</v>
      </c>
      <c r="AH121" s="68" t="s">
        <v>167</v>
      </c>
      <c r="AI121" s="68" t="s">
        <v>167</v>
      </c>
      <c r="AJ121" s="69" t="s">
        <v>171</v>
      </c>
      <c r="AK121" s="76" t="str">
        <f t="array" ref="AK121">INDEX(Factions!C:C, MATCH(E121, Factions!B:B, 0))</f>
        <v>#f1baff</v>
      </c>
      <c r="AL121" s="6" t="str">
        <f t="array" ref="AL121">INDEX(Factions!D:D, MATCH(E121, Factions!B:B, 0))</f>
        <v>#2d2d2d</v>
      </c>
      <c r="AM121" s="6" t="str">
        <f t="array" ref="AM121">INDEX(Factions!E:E, MATCH(E121, Factions!B:B, 0))</f>
        <v>#000000</v>
      </c>
      <c r="AN121" s="76" t="str">
        <f t="array" ref="AN121">INDEX(Factions!F:F, MATCH(E121, Factions!B:B, 0))</f>
        <v>#ffffff</v>
      </c>
      <c r="AO121" s="76" t="str">
        <f t="array" ref="AO121">concat(INDEX(Factions!G:G, MATCH(E121, Factions!B:B, 0)),".png")</f>
        <v>spiders.png</v>
      </c>
      <c r="AP121" s="84">
        <f>IFERROR(__xludf.DUMMYFUNCTION("MIN(FILTER(M121:M1098, F121:F1098=F121))"),1.0)</f>
        <v>1</v>
      </c>
      <c r="AQ121" s="76">
        <f t="shared" si="2"/>
        <v>5</v>
      </c>
      <c r="AR121" s="86">
        <f>IFERROR(__xludf.DUMMYFUNCTION("IF(and(REGEXMATCH(S121,""Vengence""),not(REGEXMATCH(S121, ""Protective Markings""))),AQ121,AQ121 * 6 / iferror(R121-1,6))"),6.0)</f>
        <v>6</v>
      </c>
      <c r="AS121" s="88">
        <f t="shared" si="3"/>
        <v>1</v>
      </c>
      <c r="AT121" s="89">
        <f t="shared" si="4"/>
        <v>5</v>
      </c>
      <c r="AU121" s="86">
        <f>IFERROR(__xludf.DUMMYFUNCTION("IF(REGEXMATCH(S121,""&lt;b&gt;Poison&lt;/b&gt;""),1+((1/(7-N121))/3),1)"),1.1111111111111112)</f>
        <v>1.111111111</v>
      </c>
      <c r="AV121" s="86">
        <f>IFERROR(__xludf.DUMMYFUNCTION("IF(REGEXMATCH(S121,""Vengence""),(7 - R121) / 3,0)"),0.0)</f>
        <v>0</v>
      </c>
      <c r="AW121" s="86">
        <f t="shared" si="5"/>
        <v>2.777777778</v>
      </c>
      <c r="AX121" s="84">
        <f t="shared" si="6"/>
        <v>10.16666667</v>
      </c>
      <c r="AY121" s="76" t="b">
        <f>IFERROR(__xludf.DUMMYFUNCTION("if(regexmatch(G121,""Mage|War Machine""),true,false)"),FALSE)</f>
        <v>0</v>
      </c>
    </row>
    <row r="122" ht="22.5" hidden="1" customHeight="1">
      <c r="A122" s="44" t="s">
        <v>1027</v>
      </c>
      <c r="B122" s="44" t="s">
        <v>1028</v>
      </c>
      <c r="C122" s="44" t="str">
        <f t="shared" si="1"/>
        <v>Gobbo Boomshaman</v>
      </c>
      <c r="D122" s="44" t="b">
        <v>1</v>
      </c>
      <c r="E122" s="57" t="s">
        <v>7</v>
      </c>
      <c r="F122" s="44" t="s">
        <v>791</v>
      </c>
      <c r="G122" s="57" t="s">
        <v>160</v>
      </c>
      <c r="H122" s="138"/>
      <c r="I122" s="64">
        <v>3.0</v>
      </c>
      <c r="J122" s="202"/>
      <c r="K122" s="62">
        <v>2.0</v>
      </c>
      <c r="L122" s="62">
        <v>1.0</v>
      </c>
      <c r="M122" s="62">
        <v>1.0</v>
      </c>
      <c r="N122" s="62">
        <v>2.0</v>
      </c>
      <c r="O122" s="64" t="s">
        <v>147</v>
      </c>
      <c r="P122" s="66" t="s">
        <v>1029</v>
      </c>
      <c r="Q122" s="62">
        <v>4.0</v>
      </c>
      <c r="R122" s="66" t="s">
        <v>147</v>
      </c>
      <c r="S122" s="67" t="s">
        <v>1030</v>
      </c>
      <c r="T122" s="6">
        <v>0.0</v>
      </c>
      <c r="U122" s="6"/>
      <c r="V122" s="6"/>
      <c r="W122" s="6">
        <v>3.0</v>
      </c>
      <c r="X122" s="76"/>
      <c r="Y122" s="76"/>
      <c r="Z122" s="76"/>
      <c r="AA122" s="76"/>
      <c r="AB122" s="76"/>
      <c r="AC122" s="76"/>
      <c r="AD122" s="76"/>
      <c r="AE122" s="68" t="s">
        <v>167</v>
      </c>
      <c r="AF122" s="129" t="s">
        <v>354</v>
      </c>
      <c r="AG122" s="68" t="s">
        <v>167</v>
      </c>
      <c r="AH122" s="90" t="s">
        <v>195</v>
      </c>
      <c r="AI122" s="69" t="s">
        <v>171</v>
      </c>
      <c r="AJ122" s="69" t="s">
        <v>171</v>
      </c>
      <c r="AK122" s="76" t="str">
        <f t="array" ref="AK122">INDEX(Factions!C:C, MATCH(E122, Factions!B:B, 0))</f>
        <v>#00dd28</v>
      </c>
      <c r="AL122" s="6" t="str">
        <f t="array" ref="AL122">INDEX(Factions!D:D, MATCH(E122, Factions!B:B, 0))</f>
        <v>#00941A</v>
      </c>
      <c r="AM122" s="6" t="str">
        <f t="array" ref="AM122">INDEX(Factions!E:E, MATCH(E122, Factions!B:B, 0))</f>
        <v>#000000</v>
      </c>
      <c r="AN122" s="76" t="str">
        <f t="array" ref="AN122">INDEX(Factions!F:F, MATCH(E122, Factions!B:B, 0))</f>
        <v>#ffffff</v>
      </c>
      <c r="AO122" s="76" t="str">
        <f t="array" ref="AO122">concat(INDEX(Factions!G:G, MATCH(E122, Factions!B:B, 0)),".png")</f>
        <v>gobbos.png</v>
      </c>
      <c r="AP122" s="84">
        <f>IFERROR(__xludf.DUMMYFUNCTION("MIN(FILTER(M122:M1098, F122:F1098=F122))"),1.0)</f>
        <v>1</v>
      </c>
      <c r="AQ122" s="76">
        <f t="shared" si="2"/>
        <v>4</v>
      </c>
      <c r="AR122" s="86">
        <f>IFERROR(__xludf.DUMMYFUNCTION("IF(and(REGEXMATCH(S122,""Vengence""),not(REGEXMATCH(S122, ""Protective Markings""))),AQ122,AQ122 * 6 / iferror(R122-1,6))"),4.0)</f>
        <v>4</v>
      </c>
      <c r="AS122" s="143">
        <f t="shared" si="3"/>
        <v>3.5</v>
      </c>
      <c r="AT122" s="89">
        <f t="shared" si="4"/>
        <v>3.5</v>
      </c>
      <c r="AU122" s="86">
        <f>IFERROR(__xludf.DUMMYFUNCTION("IF(REGEXMATCH(S122,""&lt;b&gt;Poison&lt;/b&gt;""),1+((1/(7-N122))/3),1)"),1.0)</f>
        <v>1</v>
      </c>
      <c r="AV122" s="86">
        <f>IFERROR(__xludf.DUMMYFUNCTION("IF(REGEXMATCH(S122,""Vengence""),(7 - R122) / 3,0)"),0.0)</f>
        <v>0</v>
      </c>
      <c r="AW122" s="86">
        <f t="shared" si="5"/>
        <v>2.916666667</v>
      </c>
      <c r="AX122" s="84">
        <f t="shared" si="6"/>
        <v>8.375</v>
      </c>
      <c r="AY122" s="76" t="b">
        <f>IFERROR(__xludf.DUMMYFUNCTION("if(regexmatch(G122,""Mage|War Machine""),true,false)"),TRUE)</f>
        <v>1</v>
      </c>
    </row>
    <row r="123" ht="22.5" hidden="1" customHeight="1">
      <c r="A123" s="44" t="s">
        <v>1031</v>
      </c>
      <c r="B123" s="44" t="s">
        <v>1032</v>
      </c>
      <c r="C123" s="44" t="str">
        <f t="shared" si="1"/>
        <v>Gobbo Weirdweaver</v>
      </c>
      <c r="D123" s="44" t="b">
        <v>1</v>
      </c>
      <c r="E123" s="57" t="s">
        <v>7</v>
      </c>
      <c r="F123" s="44" t="s">
        <v>791</v>
      </c>
      <c r="G123" s="57" t="s">
        <v>159</v>
      </c>
      <c r="H123" s="138"/>
      <c r="I123" s="64">
        <v>3.0</v>
      </c>
      <c r="J123" s="202"/>
      <c r="K123" s="62">
        <v>4.0</v>
      </c>
      <c r="L123" s="62">
        <v>1.0</v>
      </c>
      <c r="M123" s="62">
        <v>1.0</v>
      </c>
      <c r="N123" s="62">
        <v>4.0</v>
      </c>
      <c r="O123" s="64" t="s">
        <v>147</v>
      </c>
      <c r="P123" s="66" t="s">
        <v>380</v>
      </c>
      <c r="Q123" s="62">
        <v>4.0</v>
      </c>
      <c r="R123" s="66" t="s">
        <v>153</v>
      </c>
      <c r="S123" s="67" t="s">
        <v>1033</v>
      </c>
      <c r="T123" s="6">
        <v>3.0</v>
      </c>
      <c r="U123" s="6"/>
      <c r="V123" s="6"/>
      <c r="W123" s="6">
        <v>3.0</v>
      </c>
      <c r="X123" s="76"/>
      <c r="Y123" s="76"/>
      <c r="Z123" s="76"/>
      <c r="AA123" s="76"/>
      <c r="AB123" s="76"/>
      <c r="AC123" s="76"/>
      <c r="AD123" s="76"/>
      <c r="AE123" s="68" t="s">
        <v>167</v>
      </c>
      <c r="AF123" s="68" t="s">
        <v>167</v>
      </c>
      <c r="AG123" s="68" t="s">
        <v>167</v>
      </c>
      <c r="AH123" s="69" t="s">
        <v>171</v>
      </c>
      <c r="AI123" s="69" t="s">
        <v>171</v>
      </c>
      <c r="AJ123" s="68" t="s">
        <v>167</v>
      </c>
      <c r="AK123" s="76" t="str">
        <f t="array" ref="AK123">INDEX(Factions!C:C, MATCH(E123, Factions!B:B, 0))</f>
        <v>#00dd28</v>
      </c>
      <c r="AL123" s="6" t="str">
        <f t="array" ref="AL123">INDEX(Factions!D:D, MATCH(E123, Factions!B:B, 0))</f>
        <v>#00941A</v>
      </c>
      <c r="AM123" s="6" t="str">
        <f t="array" ref="AM123">INDEX(Factions!E:E, MATCH(E123, Factions!B:B, 0))</f>
        <v>#000000</v>
      </c>
      <c r="AN123" s="76" t="str">
        <f t="array" ref="AN123">INDEX(Factions!F:F, MATCH(E123, Factions!B:B, 0))</f>
        <v>#ffffff</v>
      </c>
      <c r="AO123" s="76" t="str">
        <f t="array" ref="AO123">concat(INDEX(Factions!G:G, MATCH(E123, Factions!B:B, 0)),".png")</f>
        <v>gobbos.png</v>
      </c>
      <c r="AP123" s="84">
        <f>IFERROR(__xludf.DUMMYFUNCTION("MIN(FILTER(M123:M1098, F123:F1098=F123))"),1.0)</f>
        <v>1</v>
      </c>
      <c r="AQ123" s="76">
        <f t="shared" si="2"/>
        <v>4</v>
      </c>
      <c r="AR123" s="86">
        <f>IFERROR(__xludf.DUMMYFUNCTION("IF(and(REGEXMATCH(S123,""Vengence""),not(REGEXMATCH(S123, ""Protective Markings""))),AQ123,AQ123 * 6 / iferror(R123-1,6))"),6.0)</f>
        <v>6</v>
      </c>
      <c r="AS123" s="88">
        <f t="shared" si="3"/>
        <v>3</v>
      </c>
      <c r="AT123" s="89">
        <f t="shared" si="4"/>
        <v>3</v>
      </c>
      <c r="AU123" s="86">
        <f>IFERROR(__xludf.DUMMYFUNCTION("IF(REGEXMATCH(S123,""&lt;b&gt;Poison&lt;/b&gt;""),1+((1/(7-N123))/3),1)"),1.0)</f>
        <v>1</v>
      </c>
      <c r="AV123" s="86">
        <f>IFERROR(__xludf.DUMMYFUNCTION("IF(REGEXMATCH(S123,""Vengence""),(7 - R123) / 3,0)"),0.0)</f>
        <v>0</v>
      </c>
      <c r="AW123" s="86">
        <f t="shared" si="5"/>
        <v>1.5</v>
      </c>
      <c r="AX123" s="84">
        <f t="shared" si="6"/>
        <v>8.25</v>
      </c>
      <c r="AY123" s="76" t="b">
        <f>IFERROR(__xludf.DUMMYFUNCTION("if(regexmatch(G123,""Mage|War Machine""),true,false)"),TRUE)</f>
        <v>1</v>
      </c>
    </row>
    <row r="124" ht="22.5" hidden="1" customHeight="1">
      <c r="A124" s="44" t="s">
        <v>1034</v>
      </c>
      <c r="B124" s="44" t="s">
        <v>1035</v>
      </c>
      <c r="C124" s="44" t="str">
        <f t="shared" si="1"/>
        <v>Gobbo Cap'n Bangtidy</v>
      </c>
      <c r="D124" s="44" t="b">
        <v>1</v>
      </c>
      <c r="E124" s="57" t="s">
        <v>7</v>
      </c>
      <c r="F124" s="44" t="s">
        <v>791</v>
      </c>
      <c r="G124" s="57" t="s">
        <v>165</v>
      </c>
      <c r="H124" s="138"/>
      <c r="I124" s="62">
        <v>3.0</v>
      </c>
      <c r="J124" s="202"/>
      <c r="K124" s="62">
        <v>3.0</v>
      </c>
      <c r="L124" s="62">
        <v>1.0</v>
      </c>
      <c r="M124" s="62">
        <v>2.0</v>
      </c>
      <c r="N124" s="62">
        <v>4.0</v>
      </c>
      <c r="O124" s="64">
        <v>4.0</v>
      </c>
      <c r="P124" s="66" t="s">
        <v>194</v>
      </c>
      <c r="Q124" s="62">
        <v>7.0</v>
      </c>
      <c r="R124" s="66" t="s">
        <v>153</v>
      </c>
      <c r="S124" s="67" t="s">
        <v>1036</v>
      </c>
      <c r="T124" s="6">
        <v>5.0</v>
      </c>
      <c r="U124" s="76"/>
      <c r="V124" s="76"/>
      <c r="W124" s="76"/>
      <c r="X124" s="76"/>
      <c r="Y124" s="6">
        <v>3.0</v>
      </c>
      <c r="Z124" s="6">
        <v>3.0</v>
      </c>
      <c r="AA124" s="6">
        <v>3.0</v>
      </c>
      <c r="AB124" s="6">
        <v>3.0</v>
      </c>
      <c r="AC124" s="6">
        <v>2.0</v>
      </c>
      <c r="AD124" s="76"/>
      <c r="AE124" s="90" t="s">
        <v>195</v>
      </c>
      <c r="AF124" s="68" t="s">
        <v>167</v>
      </c>
      <c r="AG124" s="90" t="s">
        <v>195</v>
      </c>
      <c r="AH124" s="68" t="s">
        <v>167</v>
      </c>
      <c r="AI124" s="90" t="s">
        <v>195</v>
      </c>
      <c r="AJ124" s="68" t="s">
        <v>167</v>
      </c>
      <c r="AK124" s="76" t="str">
        <f t="array" ref="AK124">INDEX(Factions!C:C, MATCH(E124, Factions!B:B, 0))</f>
        <v>#00dd28</v>
      </c>
      <c r="AL124" s="6" t="str">
        <f t="array" ref="AL124">INDEX(Factions!D:D, MATCH(E124, Factions!B:B, 0))</f>
        <v>#00941A</v>
      </c>
      <c r="AM124" s="6" t="str">
        <f t="array" ref="AM124">INDEX(Factions!E:E, MATCH(E124, Factions!B:B, 0))</f>
        <v>#000000</v>
      </c>
      <c r="AN124" s="76" t="str">
        <f t="array" ref="AN124">INDEX(Factions!F:F, MATCH(E124, Factions!B:B, 0))</f>
        <v>#ffffff</v>
      </c>
      <c r="AO124" s="76" t="str">
        <f t="array" ref="AO124">concat(INDEX(Factions!G:G, MATCH(E124, Factions!B:B, 0)),".png")</f>
        <v>gobbos.png</v>
      </c>
      <c r="AP124" s="84">
        <f>IFERROR(__xludf.DUMMYFUNCTION("MIN(FILTER(M124:M1098, F124:F1098=F124))"),1.0)</f>
        <v>1</v>
      </c>
      <c r="AQ124" s="76">
        <f t="shared" si="2"/>
        <v>7</v>
      </c>
      <c r="AR124" s="86">
        <f>IFERROR(__xludf.DUMMYFUNCTION("IF(and(REGEXMATCH(S124,""Vengence""),not(REGEXMATCH(S124, ""Protective Markings""))),AQ124,AQ124 * 6 / iferror(R124-1,6))"),10.5)</f>
        <v>10.5</v>
      </c>
      <c r="AS124" s="88">
        <f t="shared" si="3"/>
        <v>4</v>
      </c>
      <c r="AT124" s="89">
        <f t="shared" si="4"/>
        <v>4</v>
      </c>
      <c r="AU124" s="86">
        <f>IFERROR(__xludf.DUMMYFUNCTION("IF(REGEXMATCH(S124,""&lt;b&gt;Poison&lt;/b&gt;""),1+((1/(7-N124))/3),1)"),1.0)</f>
        <v>1</v>
      </c>
      <c r="AV124" s="86">
        <f>IFERROR(__xludf.DUMMYFUNCTION("IF(REGEXMATCH(S124,""Vengence""),(7 - R124) / 3,0)"),0.0)</f>
        <v>0</v>
      </c>
      <c r="AW124" s="86">
        <f t="shared" si="5"/>
        <v>2</v>
      </c>
      <c r="AX124" s="84">
        <f t="shared" si="6"/>
        <v>13.5</v>
      </c>
      <c r="AY124" s="76" t="b">
        <f>IFERROR(__xludf.DUMMYFUNCTION("if(regexmatch(G124,""Mage|War Machine""),true,false)"),TRUE)</f>
        <v>1</v>
      </c>
    </row>
    <row r="125" ht="22.5" hidden="1" customHeight="1">
      <c r="A125" s="44" t="s">
        <v>1037</v>
      </c>
      <c r="B125" s="44" t="s">
        <v>1038</v>
      </c>
      <c r="C125" s="44" t="str">
        <f t="shared" si="1"/>
        <v>Gobbo Funguspeddler</v>
      </c>
      <c r="D125" s="44" t="b">
        <v>1</v>
      </c>
      <c r="E125" s="57" t="s">
        <v>7</v>
      </c>
      <c r="F125" s="44" t="s">
        <v>791</v>
      </c>
      <c r="G125" s="57" t="s">
        <v>162</v>
      </c>
      <c r="H125" s="138"/>
      <c r="I125" s="62">
        <v>3.0</v>
      </c>
      <c r="J125" s="202"/>
      <c r="K125" s="62">
        <v>3.0</v>
      </c>
      <c r="L125" s="62">
        <v>1.0</v>
      </c>
      <c r="M125" s="62">
        <v>1.0</v>
      </c>
      <c r="N125" s="62">
        <v>3.0</v>
      </c>
      <c r="O125" s="64" t="s">
        <v>147</v>
      </c>
      <c r="P125" s="66" t="s">
        <v>1039</v>
      </c>
      <c r="Q125" s="62">
        <v>6.0</v>
      </c>
      <c r="R125" s="66" t="s">
        <v>147</v>
      </c>
      <c r="S125" s="67" t="s">
        <v>1040</v>
      </c>
      <c r="T125" s="6">
        <v>7.0</v>
      </c>
      <c r="U125" s="67" t="s">
        <v>425</v>
      </c>
      <c r="V125" s="76"/>
      <c r="W125" s="76"/>
      <c r="X125" s="76"/>
      <c r="Y125" s="76"/>
      <c r="Z125" s="6">
        <v>3.0</v>
      </c>
      <c r="AA125" s="6">
        <v>3.0</v>
      </c>
      <c r="AB125" s="6"/>
      <c r="AC125" s="76"/>
      <c r="AD125" s="76"/>
      <c r="AE125" s="68" t="s">
        <v>167</v>
      </c>
      <c r="AF125" s="90" t="s">
        <v>195</v>
      </c>
      <c r="AG125" s="68" t="s">
        <v>167</v>
      </c>
      <c r="AH125" s="90" t="s">
        <v>195</v>
      </c>
      <c r="AI125" s="68" t="s">
        <v>167</v>
      </c>
      <c r="AJ125" s="69" t="s">
        <v>171</v>
      </c>
      <c r="AK125" s="76" t="str">
        <f t="array" ref="AK125">INDEX(Factions!C:C, MATCH(E125, Factions!B:B, 0))</f>
        <v>#00dd28</v>
      </c>
      <c r="AL125" s="6" t="str">
        <f t="array" ref="AL125">INDEX(Factions!D:D, MATCH(E125, Factions!B:B, 0))</f>
        <v>#00941A</v>
      </c>
      <c r="AM125" s="6" t="str">
        <f t="array" ref="AM125">INDEX(Factions!E:E, MATCH(E125, Factions!B:B, 0))</f>
        <v>#000000</v>
      </c>
      <c r="AN125" s="76" t="str">
        <f t="array" ref="AN125">INDEX(Factions!F:F, MATCH(E125, Factions!B:B, 0))</f>
        <v>#ffffff</v>
      </c>
      <c r="AO125" s="76" t="str">
        <f t="array" ref="AO125">concat(INDEX(Factions!G:G, MATCH(E125, Factions!B:B, 0)),".png")</f>
        <v>gobbos.png</v>
      </c>
      <c r="AP125" s="84">
        <f>IFERROR(__xludf.DUMMYFUNCTION("MIN(FILTER(M125:M1098, F125:F1098=F125))"),1.0)</f>
        <v>1</v>
      </c>
      <c r="AQ125" s="76">
        <f t="shared" si="2"/>
        <v>6</v>
      </c>
      <c r="AR125" s="86">
        <f>IFERROR(__xludf.DUMMYFUNCTION("IF(and(REGEXMATCH(S125,""Vengence""),not(REGEXMATCH(S125, ""Protective Markings""))),AQ125,AQ125 * 6 / iferror(R125-1,6))"),6.0)</f>
        <v>6</v>
      </c>
      <c r="AS125" s="88">
        <f t="shared" si="3"/>
        <v>9</v>
      </c>
      <c r="AT125" s="89">
        <f t="shared" si="4"/>
        <v>9</v>
      </c>
      <c r="AU125" s="86">
        <f>IFERROR(__xludf.DUMMYFUNCTION("IF(REGEXMATCH(S125,""&lt;b&gt;Poison&lt;/b&gt;""),1+((1/(7-N125))/3),1)"),1.0)</f>
        <v>1</v>
      </c>
      <c r="AV125" s="86">
        <f>IFERROR(__xludf.DUMMYFUNCTION("IF(REGEXMATCH(S125,""Vengence""),(7 - R125) / 3,0)"),0.0)</f>
        <v>0</v>
      </c>
      <c r="AW125" s="86">
        <f t="shared" si="5"/>
        <v>6</v>
      </c>
      <c r="AX125" s="84">
        <f t="shared" si="6"/>
        <v>15</v>
      </c>
      <c r="AY125" s="76" t="b">
        <f>IFERROR(__xludf.DUMMYFUNCTION("if(regexmatch(G125,""Mage|War Machine""),true,false)"),FALSE)</f>
        <v>0</v>
      </c>
    </row>
    <row r="126" ht="22.5" hidden="1" customHeight="1">
      <c r="A126" s="44" t="s">
        <v>1041</v>
      </c>
      <c r="B126" s="44" t="s">
        <v>1042</v>
      </c>
      <c r="C126" s="44" t="str">
        <f t="shared" si="1"/>
        <v>Gobbo The Green Wolf</v>
      </c>
      <c r="D126" s="44" t="b">
        <v>1</v>
      </c>
      <c r="E126" s="57" t="s">
        <v>7</v>
      </c>
      <c r="F126" s="44" t="s">
        <v>791</v>
      </c>
      <c r="G126" s="57" t="s">
        <v>164</v>
      </c>
      <c r="H126" s="138"/>
      <c r="I126" s="62">
        <v>3.0</v>
      </c>
      <c r="J126" s="202"/>
      <c r="K126" s="64">
        <v>3.0</v>
      </c>
      <c r="L126" s="62">
        <v>1.0</v>
      </c>
      <c r="M126" s="62">
        <v>2.0</v>
      </c>
      <c r="N126" s="62">
        <v>3.0</v>
      </c>
      <c r="O126" s="64">
        <v>4.0</v>
      </c>
      <c r="P126" s="66" t="s">
        <v>153</v>
      </c>
      <c r="Q126" s="62">
        <v>6.0</v>
      </c>
      <c r="R126" s="66" t="s">
        <v>153</v>
      </c>
      <c r="S126" s="67" t="s">
        <v>1043</v>
      </c>
      <c r="T126" s="6">
        <v>6.5</v>
      </c>
      <c r="U126" s="67" t="s">
        <v>425</v>
      </c>
      <c r="V126" s="76"/>
      <c r="W126" s="76"/>
      <c r="X126" s="76"/>
      <c r="Y126" s="6">
        <v>3.0</v>
      </c>
      <c r="Z126" s="6">
        <v>3.0</v>
      </c>
      <c r="AA126" s="6">
        <v>3.0</v>
      </c>
      <c r="AB126" s="6">
        <v>3.0</v>
      </c>
      <c r="AC126" s="6">
        <v>3.0</v>
      </c>
      <c r="AD126" s="6">
        <v>3.0</v>
      </c>
      <c r="AE126" s="90" t="s">
        <v>195</v>
      </c>
      <c r="AF126" s="90" t="s">
        <v>195</v>
      </c>
      <c r="AG126" s="90" t="s">
        <v>195</v>
      </c>
      <c r="AH126" s="90" t="s">
        <v>195</v>
      </c>
      <c r="AI126" s="68" t="s">
        <v>167</v>
      </c>
      <c r="AJ126" s="68" t="s">
        <v>167</v>
      </c>
      <c r="AK126" s="76" t="str">
        <f t="array" ref="AK126">INDEX(Factions!C:C, MATCH(E126, Factions!B:B, 0))</f>
        <v>#00dd28</v>
      </c>
      <c r="AL126" s="6" t="str">
        <f t="array" ref="AL126">INDEX(Factions!D:D, MATCH(E126, Factions!B:B, 0))</f>
        <v>#00941A</v>
      </c>
      <c r="AM126" s="6" t="str">
        <f t="array" ref="AM126">INDEX(Factions!E:E, MATCH(E126, Factions!B:B, 0))</f>
        <v>#000000</v>
      </c>
      <c r="AN126" s="76" t="str">
        <f t="array" ref="AN126">INDEX(Factions!F:F, MATCH(E126, Factions!B:B, 0))</f>
        <v>#ffffff</v>
      </c>
      <c r="AO126" s="76" t="str">
        <f t="array" ref="AO126">concat(INDEX(Factions!G:G, MATCH(E126, Factions!B:B, 0)),".png")</f>
        <v>gobbos.png</v>
      </c>
      <c r="AP126" s="84">
        <f>IFERROR(__xludf.DUMMYFUNCTION("MIN(FILTER(M126:M1098, F126:F1098=F126))"),1.0)</f>
        <v>1</v>
      </c>
      <c r="AQ126" s="76">
        <f t="shared" si="2"/>
        <v>6</v>
      </c>
      <c r="AR126" s="86">
        <f>IFERROR(__xludf.DUMMYFUNCTION("IF(and(REGEXMATCH(S126,""Vengence""),not(REGEXMATCH(S126, ""Protective Markings""))),AQ126,AQ126 * 6 / iferror(R126-1,6))"),9.0)</f>
        <v>9</v>
      </c>
      <c r="AS126" s="88">
        <f t="shared" si="3"/>
        <v>5</v>
      </c>
      <c r="AT126" s="89">
        <f t="shared" si="4"/>
        <v>5</v>
      </c>
      <c r="AU126" s="86">
        <f>IFERROR(__xludf.DUMMYFUNCTION("IF(REGEXMATCH(S126,""&lt;b&gt;Poison&lt;/b&gt;""),1+((1/(7-N126))/3),1)"),1.0)</f>
        <v>1</v>
      </c>
      <c r="AV126" s="86">
        <f>IFERROR(__xludf.DUMMYFUNCTION("IF(REGEXMATCH(S126,""Vengence""),(7 - R126) / 3,0)"),0.0)</f>
        <v>0</v>
      </c>
      <c r="AW126" s="86">
        <f t="shared" si="5"/>
        <v>3.333333333</v>
      </c>
      <c r="AX126" s="84">
        <f t="shared" si="6"/>
        <v>14</v>
      </c>
      <c r="AY126" s="76" t="b">
        <f>IFERROR(__xludf.DUMMYFUNCTION("if(regexmatch(G126,""Mage|War Machine""),true,false)"),FALSE)</f>
        <v>0</v>
      </c>
    </row>
    <row r="127" ht="22.5" hidden="1" customHeight="1">
      <c r="A127" s="44" t="s">
        <v>1044</v>
      </c>
      <c r="B127" s="44" t="s">
        <v>1045</v>
      </c>
      <c r="C127" s="44" t="str">
        <f t="shared" si="1"/>
        <v>Ratkin The Ratking</v>
      </c>
      <c r="D127" s="44" t="b">
        <v>1</v>
      </c>
      <c r="E127" s="57" t="s">
        <v>203</v>
      </c>
      <c r="F127" s="44" t="s">
        <v>791</v>
      </c>
      <c r="G127" s="57" t="s">
        <v>168</v>
      </c>
      <c r="H127" s="138"/>
      <c r="I127" s="62">
        <v>3.0</v>
      </c>
      <c r="J127" s="202"/>
      <c r="K127" s="62">
        <v>2.0</v>
      </c>
      <c r="L127" s="62">
        <v>1.0</v>
      </c>
      <c r="M127" s="62">
        <v>1.0</v>
      </c>
      <c r="N127" s="62">
        <v>4.0</v>
      </c>
      <c r="O127" s="64" t="s">
        <v>147</v>
      </c>
      <c r="P127" s="66" t="s">
        <v>1039</v>
      </c>
      <c r="Q127" s="62">
        <v>3.0</v>
      </c>
      <c r="R127" s="66" t="s">
        <v>153</v>
      </c>
      <c r="S127" s="67" t="s">
        <v>1046</v>
      </c>
      <c r="T127" s="6">
        <v>0.0</v>
      </c>
      <c r="U127" s="6" t="s">
        <v>456</v>
      </c>
      <c r="V127" s="76"/>
      <c r="W127" s="76"/>
      <c r="X127" s="76"/>
      <c r="Y127" s="6">
        <v>3.0</v>
      </c>
      <c r="Z127" s="6">
        <v>3.0</v>
      </c>
      <c r="AA127" s="6">
        <v>3.0</v>
      </c>
      <c r="AB127" s="6"/>
      <c r="AC127" s="6">
        <v>3.0</v>
      </c>
      <c r="AD127" s="6"/>
      <c r="AE127" s="68" t="s">
        <v>167</v>
      </c>
      <c r="AF127" s="68" t="s">
        <v>167</v>
      </c>
      <c r="AG127" s="68" t="s">
        <v>167</v>
      </c>
      <c r="AH127" s="90" t="s">
        <v>195</v>
      </c>
      <c r="AI127" s="69" t="s">
        <v>171</v>
      </c>
      <c r="AJ127" s="68" t="s">
        <v>167</v>
      </c>
      <c r="AK127" s="76" t="str">
        <f t="array" ref="AK127">INDEX(Factions!C:C, MATCH(E127, Factions!B:B, 0))</f>
        <v>#ffb380</v>
      </c>
      <c r="AL127" s="6" t="str">
        <f t="array" ref="AL127">INDEX(Factions!D:D, MATCH(E127, Factions!B:B, 0))</f>
        <v>#733d00</v>
      </c>
      <c r="AM127" s="6" t="str">
        <f t="array" ref="AM127">INDEX(Factions!E:E, MATCH(E127, Factions!B:B, 0))</f>
        <v>#000000</v>
      </c>
      <c r="AN127" s="76" t="str">
        <f t="array" ref="AN127">INDEX(Factions!F:F, MATCH(E127, Factions!B:B, 0))</f>
        <v>#ffffff</v>
      </c>
      <c r="AO127" s="76" t="str">
        <f t="array" ref="AO127">concat(INDEX(Factions!G:G, MATCH(E127, Factions!B:B, 0)),".png")</f>
        <v>rats.png</v>
      </c>
      <c r="AP127" s="84">
        <f>IFERROR(__xludf.DUMMYFUNCTION("MIN(FILTER(M127:M1098, F127:F1098=F127))"),1.0)</f>
        <v>1</v>
      </c>
      <c r="AQ127" s="76">
        <f t="shared" si="2"/>
        <v>3</v>
      </c>
      <c r="AR127" s="86">
        <f>IFERROR(__xludf.DUMMYFUNCTION("IF(and(REGEXMATCH(S127,""Vengence""),not(REGEXMATCH(S127, ""Protective Markings""))),AQ127,AQ127 * 6 / iferror(R127-1,6))"),4.5)</f>
        <v>4.5</v>
      </c>
      <c r="AS127" s="88">
        <f t="shared" si="3"/>
        <v>9</v>
      </c>
      <c r="AT127" s="89">
        <f t="shared" si="4"/>
        <v>9</v>
      </c>
      <c r="AU127" s="86">
        <f>IFERROR(__xludf.DUMMYFUNCTION("IF(REGEXMATCH(S127,""&lt;b&gt;Poison&lt;/b&gt;""),1+((1/(7-N127))/3),1)"),1.0)</f>
        <v>1</v>
      </c>
      <c r="AV127" s="86">
        <f>IFERROR(__xludf.DUMMYFUNCTION("IF(REGEXMATCH(S127,""Vengence""),(7 - R127) / 3,0)"),0.0)</f>
        <v>0</v>
      </c>
      <c r="AW127" s="86">
        <f t="shared" si="5"/>
        <v>4.5</v>
      </c>
      <c r="AX127" s="84">
        <f t="shared" si="6"/>
        <v>11.25</v>
      </c>
      <c r="AY127" s="76" t="b">
        <f>IFERROR(__xludf.DUMMYFUNCTION("if(regexmatch(G127,""Mage|War Machine""),true,false)"),FALSE)</f>
        <v>0</v>
      </c>
    </row>
    <row r="128" ht="22.5" hidden="1" customHeight="1">
      <c r="A128" s="44" t="s">
        <v>1047</v>
      </c>
      <c r="B128" s="44" t="s">
        <v>1048</v>
      </c>
      <c r="C128" s="44" t="str">
        <f t="shared" si="1"/>
        <v>Ratkin The Cabal</v>
      </c>
      <c r="D128" s="44" t="b">
        <v>1</v>
      </c>
      <c r="E128" s="57" t="s">
        <v>203</v>
      </c>
      <c r="F128" s="44" t="s">
        <v>791</v>
      </c>
      <c r="G128" s="57" t="s">
        <v>159</v>
      </c>
      <c r="H128" s="138"/>
      <c r="I128" s="62">
        <v>3.0</v>
      </c>
      <c r="J128" s="202"/>
      <c r="K128" s="62">
        <v>4.0</v>
      </c>
      <c r="L128" s="62">
        <v>3.0</v>
      </c>
      <c r="M128" s="62">
        <v>1.0</v>
      </c>
      <c r="N128" s="62">
        <v>5.0</v>
      </c>
      <c r="O128" s="64" t="s">
        <v>147</v>
      </c>
      <c r="P128" s="66" t="s">
        <v>372</v>
      </c>
      <c r="Q128" s="62">
        <v>2.0</v>
      </c>
      <c r="R128" s="66" t="s">
        <v>153</v>
      </c>
      <c r="S128" s="67" t="s">
        <v>1049</v>
      </c>
      <c r="T128" s="6">
        <v>3.0</v>
      </c>
      <c r="U128" s="6"/>
      <c r="V128" s="6"/>
      <c r="W128" s="6">
        <v>3.0</v>
      </c>
      <c r="X128" s="76"/>
      <c r="Y128" s="6">
        <v>3.0</v>
      </c>
      <c r="Z128" s="76"/>
      <c r="AA128" s="76"/>
      <c r="AB128" s="76"/>
      <c r="AC128" s="76"/>
      <c r="AD128" s="76"/>
      <c r="AE128" s="68" t="s">
        <v>167</v>
      </c>
      <c r="AF128" s="69" t="s">
        <v>171</v>
      </c>
      <c r="AG128" s="68" t="s">
        <v>167</v>
      </c>
      <c r="AH128" s="90" t="s">
        <v>195</v>
      </c>
      <c r="AI128" s="68" t="s">
        <v>167</v>
      </c>
      <c r="AJ128" s="68" t="s">
        <v>167</v>
      </c>
      <c r="AK128" s="76" t="str">
        <f t="array" ref="AK128">INDEX(Factions!C:C, MATCH(E128, Factions!B:B, 0))</f>
        <v>#ffb380</v>
      </c>
      <c r="AL128" s="6" t="str">
        <f t="array" ref="AL128">INDEX(Factions!D:D, MATCH(E128, Factions!B:B, 0))</f>
        <v>#733d00</v>
      </c>
      <c r="AM128" s="6" t="str">
        <f t="array" ref="AM128">INDEX(Factions!E:E, MATCH(E128, Factions!B:B, 0))</f>
        <v>#000000</v>
      </c>
      <c r="AN128" s="76" t="str">
        <f t="array" ref="AN128">INDEX(Factions!F:F, MATCH(E128, Factions!B:B, 0))</f>
        <v>#ffffff</v>
      </c>
      <c r="AO128" s="76" t="str">
        <f t="array" ref="AO128">concat(INDEX(Factions!G:G, MATCH(E128, Factions!B:B, 0)),".png")</f>
        <v>rats.png</v>
      </c>
      <c r="AP128" s="84">
        <f>IFERROR(__xludf.DUMMYFUNCTION("MIN(FILTER(M128:M1098, F128:F1098=F128))"),1.0)</f>
        <v>1</v>
      </c>
      <c r="AQ128" s="76">
        <f t="shared" si="2"/>
        <v>6</v>
      </c>
      <c r="AR128" s="86">
        <f>IFERROR(__xludf.DUMMYFUNCTION("IF(and(REGEXMATCH(S128,""Vengence""),not(REGEXMATCH(S128, ""Protective Markings""))),AQ128,AQ128 * 6 / iferror(R128-1,6))"),9.0)</f>
        <v>9</v>
      </c>
      <c r="AS128" s="88">
        <f t="shared" si="3"/>
        <v>2</v>
      </c>
      <c r="AT128" s="89">
        <f t="shared" si="4"/>
        <v>6</v>
      </c>
      <c r="AU128" s="86">
        <f>IFERROR(__xludf.DUMMYFUNCTION("IF(REGEXMATCH(S128,""&lt;b&gt;Poison&lt;/b&gt;""),1+((1/(7-N128))/3),1)"),1.0)</f>
        <v>1</v>
      </c>
      <c r="AV128" s="86">
        <f>IFERROR(__xludf.DUMMYFUNCTION("IF(REGEXMATCH(S128,""Vengence""),(7 - R128) / 3,0)"),0.0)</f>
        <v>0</v>
      </c>
      <c r="AW128" s="86">
        <f t="shared" si="5"/>
        <v>2</v>
      </c>
      <c r="AX128" s="84">
        <f t="shared" si="6"/>
        <v>12</v>
      </c>
      <c r="AY128" s="76" t="b">
        <f>IFERROR(__xludf.DUMMYFUNCTION("if(regexmatch(G128,""Mage|War Machine""),true,false)"),TRUE)</f>
        <v>1</v>
      </c>
    </row>
    <row r="129" ht="22.5" hidden="1" customHeight="1">
      <c r="A129" s="44" t="s">
        <v>1050</v>
      </c>
      <c r="B129" s="44" t="s">
        <v>1051</v>
      </c>
      <c r="C129" s="44" t="str">
        <f t="shared" si="1"/>
        <v>Ratkin The Grand Rataltar</v>
      </c>
      <c r="D129" s="44" t="b">
        <v>1</v>
      </c>
      <c r="E129" s="57" t="s">
        <v>203</v>
      </c>
      <c r="F129" s="44" t="s">
        <v>791</v>
      </c>
      <c r="G129" s="57" t="s">
        <v>160</v>
      </c>
      <c r="H129" s="138"/>
      <c r="I129" s="62">
        <v>3.0</v>
      </c>
      <c r="J129" s="202"/>
      <c r="K129" s="62">
        <v>2.0</v>
      </c>
      <c r="L129" s="62">
        <v>1.0</v>
      </c>
      <c r="M129" s="62">
        <v>1.0</v>
      </c>
      <c r="N129" s="62">
        <v>5.0</v>
      </c>
      <c r="O129" s="64" t="s">
        <v>147</v>
      </c>
      <c r="P129" s="66" t="s">
        <v>217</v>
      </c>
      <c r="Q129" s="62">
        <v>4.0</v>
      </c>
      <c r="R129" s="66" t="s">
        <v>153</v>
      </c>
      <c r="S129" s="67" t="s">
        <v>1052</v>
      </c>
      <c r="T129" s="6">
        <v>3.0</v>
      </c>
      <c r="U129" s="6"/>
      <c r="V129" s="6"/>
      <c r="W129" s="6">
        <v>3.0</v>
      </c>
      <c r="X129" s="76"/>
      <c r="Y129" s="76"/>
      <c r="Z129" s="76"/>
      <c r="AA129" s="6">
        <v>3.0</v>
      </c>
      <c r="AB129" s="76"/>
      <c r="AC129" s="76"/>
      <c r="AD129" s="76"/>
      <c r="AE129" s="68" t="s">
        <v>167</v>
      </c>
      <c r="AF129" s="69" t="s">
        <v>171</v>
      </c>
      <c r="AG129" s="68" t="s">
        <v>167</v>
      </c>
      <c r="AH129" s="90" t="s">
        <v>195</v>
      </c>
      <c r="AI129" s="69" t="s">
        <v>171</v>
      </c>
      <c r="AJ129" s="68" t="s">
        <v>167</v>
      </c>
      <c r="AK129" s="76" t="str">
        <f t="array" ref="AK129">INDEX(Factions!C:C, MATCH(E129, Factions!B:B, 0))</f>
        <v>#ffb380</v>
      </c>
      <c r="AL129" s="6" t="str">
        <f t="array" ref="AL129">INDEX(Factions!D:D, MATCH(E129, Factions!B:B, 0))</f>
        <v>#733d00</v>
      </c>
      <c r="AM129" s="6" t="str">
        <f t="array" ref="AM129">INDEX(Factions!E:E, MATCH(E129, Factions!B:B, 0))</f>
        <v>#000000</v>
      </c>
      <c r="AN129" s="76" t="str">
        <f t="array" ref="AN129">INDEX(Factions!F:F, MATCH(E129, Factions!B:B, 0))</f>
        <v>#ffffff</v>
      </c>
      <c r="AO129" s="76" t="str">
        <f t="array" ref="AO129">concat(INDEX(Factions!G:G, MATCH(E129, Factions!B:B, 0)),".png")</f>
        <v>rats.png</v>
      </c>
      <c r="AP129" s="84">
        <f>IFERROR(__xludf.DUMMYFUNCTION("MIN(FILTER(M129:M1098, F129:F1098=F129))"),1.0)</f>
        <v>1</v>
      </c>
      <c r="AQ129" s="76">
        <f t="shared" si="2"/>
        <v>4</v>
      </c>
      <c r="AR129" s="86">
        <f>IFERROR(__xludf.DUMMYFUNCTION("IF(and(REGEXMATCH(S129,""Vengence""),not(REGEXMATCH(S129, ""Protective Markings""))),AQ129,AQ129 * 6 / iferror(R129-1,6))"),6.0)</f>
        <v>6</v>
      </c>
      <c r="AS129" s="88">
        <f t="shared" si="3"/>
        <v>6</v>
      </c>
      <c r="AT129" s="89">
        <f t="shared" si="4"/>
        <v>6</v>
      </c>
      <c r="AU129" s="86">
        <f>IFERROR(__xludf.DUMMYFUNCTION("IF(REGEXMATCH(S129,""&lt;b&gt;Poison&lt;/b&gt;""),1+((1/(7-N129))/3),1)"),1.0)</f>
        <v>1</v>
      </c>
      <c r="AV129" s="86">
        <f>IFERROR(__xludf.DUMMYFUNCTION("IF(REGEXMATCH(S129,""Vengence""),(7 - R129) / 3,0)"),0.0)</f>
        <v>0</v>
      </c>
      <c r="AW129" s="86">
        <f t="shared" si="5"/>
        <v>2</v>
      </c>
      <c r="AX129" s="84">
        <f t="shared" si="6"/>
        <v>9</v>
      </c>
      <c r="AY129" s="76" t="b">
        <f>IFERROR(__xludf.DUMMYFUNCTION("if(regexmatch(G129,""Mage|War Machine""),true,false)"),TRUE)</f>
        <v>1</v>
      </c>
    </row>
    <row r="130" ht="22.5" hidden="1" customHeight="1">
      <c r="A130" s="44" t="s">
        <v>1053</v>
      </c>
      <c r="B130" s="44" t="s">
        <v>1054</v>
      </c>
      <c r="C130" s="44" t="str">
        <f t="shared" si="1"/>
        <v>Ratkin The Twins</v>
      </c>
      <c r="D130" s="44" t="b">
        <v>1</v>
      </c>
      <c r="E130" s="57" t="s">
        <v>203</v>
      </c>
      <c r="F130" s="44" t="s">
        <v>791</v>
      </c>
      <c r="G130" s="57" t="s">
        <v>162</v>
      </c>
      <c r="H130" s="138"/>
      <c r="I130" s="62">
        <v>3.0</v>
      </c>
      <c r="J130" s="202"/>
      <c r="K130" s="62">
        <v>3.0</v>
      </c>
      <c r="L130" s="62">
        <v>2.0</v>
      </c>
      <c r="M130" s="62">
        <v>2.0</v>
      </c>
      <c r="N130" s="62">
        <v>4.0</v>
      </c>
      <c r="O130" s="64">
        <v>4.0</v>
      </c>
      <c r="P130" s="66" t="s">
        <v>194</v>
      </c>
      <c r="Q130" s="62">
        <v>3.0</v>
      </c>
      <c r="R130" s="66" t="s">
        <v>153</v>
      </c>
      <c r="S130" s="67" t="s">
        <v>1055</v>
      </c>
      <c r="T130" s="6">
        <v>6.5</v>
      </c>
      <c r="U130" s="67" t="s">
        <v>431</v>
      </c>
      <c r="V130" s="76"/>
      <c r="W130" s="76"/>
      <c r="X130" s="76"/>
      <c r="Y130" s="76"/>
      <c r="Z130" s="6">
        <v>3.0</v>
      </c>
      <c r="AA130" s="6"/>
      <c r="AB130" s="6">
        <v>3.0</v>
      </c>
      <c r="AC130" s="76"/>
      <c r="AD130" s="6">
        <v>3.0</v>
      </c>
      <c r="AE130" s="90" t="s">
        <v>195</v>
      </c>
      <c r="AF130" s="68" t="s">
        <v>167</v>
      </c>
      <c r="AG130" s="90" t="s">
        <v>195</v>
      </c>
      <c r="AH130" s="90" t="s">
        <v>195</v>
      </c>
      <c r="AI130" s="68" t="s">
        <v>167</v>
      </c>
      <c r="AJ130" s="68" t="s">
        <v>167</v>
      </c>
      <c r="AK130" s="76" t="str">
        <f t="array" ref="AK130">INDEX(Factions!C:C, MATCH(E130, Factions!B:B, 0))</f>
        <v>#ffb380</v>
      </c>
      <c r="AL130" s="6" t="str">
        <f t="array" ref="AL130">INDEX(Factions!D:D, MATCH(E130, Factions!B:B, 0))</f>
        <v>#733d00</v>
      </c>
      <c r="AM130" s="6" t="str">
        <f t="array" ref="AM130">INDEX(Factions!E:E, MATCH(E130, Factions!B:B, 0))</f>
        <v>#000000</v>
      </c>
      <c r="AN130" s="76" t="str">
        <f t="array" ref="AN130">INDEX(Factions!F:F, MATCH(E130, Factions!B:B, 0))</f>
        <v>#ffffff</v>
      </c>
      <c r="AO130" s="76" t="str">
        <f t="array" ref="AO130">concat(INDEX(Factions!G:G, MATCH(E130, Factions!B:B, 0)),".png")</f>
        <v>rats.png</v>
      </c>
      <c r="AP130" s="84">
        <f>IFERROR(__xludf.DUMMYFUNCTION("MIN(FILTER(M130:M1098, F130:F1098=F130))"),1.0)</f>
        <v>1</v>
      </c>
      <c r="AQ130" s="76">
        <f t="shared" si="2"/>
        <v>6</v>
      </c>
      <c r="AR130" s="86">
        <f>IFERROR(__xludf.DUMMYFUNCTION("IF(and(REGEXMATCH(S130,""Vengence""),not(REGEXMATCH(S130, ""Protective Markings""))),AQ130,AQ130 * 6 / iferror(R130-1,6))"),9.0)</f>
        <v>9</v>
      </c>
      <c r="AS130" s="88">
        <f t="shared" si="3"/>
        <v>4</v>
      </c>
      <c r="AT130" s="89">
        <f t="shared" si="4"/>
        <v>8</v>
      </c>
      <c r="AU130" s="86">
        <f>IFERROR(__xludf.DUMMYFUNCTION("IF(REGEXMATCH(S130,""&lt;b&gt;Poison&lt;/b&gt;""),1+((1/(7-N130))/3),1)"),1.0)</f>
        <v>1</v>
      </c>
      <c r="AV130" s="86">
        <f>IFERROR(__xludf.DUMMYFUNCTION("IF(REGEXMATCH(S130,""Vengence""),(7 - R130) / 3,0)"),0.0)</f>
        <v>0</v>
      </c>
      <c r="AW130" s="86">
        <f t="shared" si="5"/>
        <v>4</v>
      </c>
      <c r="AX130" s="84">
        <f t="shared" si="6"/>
        <v>15</v>
      </c>
      <c r="AY130" s="76" t="b">
        <f>IFERROR(__xludf.DUMMYFUNCTION("if(regexmatch(G130,""Mage|War Machine""),true,false)"),FALSE)</f>
        <v>0</v>
      </c>
    </row>
    <row r="131" ht="22.5" hidden="1" customHeight="1">
      <c r="A131" s="44" t="s">
        <v>1056</v>
      </c>
      <c r="B131" s="44" t="s">
        <v>1057</v>
      </c>
      <c r="C131" s="44" t="str">
        <f t="shared" si="1"/>
        <v>Ratkin The Packrat</v>
      </c>
      <c r="D131" s="44" t="b">
        <v>1</v>
      </c>
      <c r="E131" s="57" t="s">
        <v>203</v>
      </c>
      <c r="F131" s="44" t="s">
        <v>791</v>
      </c>
      <c r="G131" s="57" t="s">
        <v>162</v>
      </c>
      <c r="H131" s="138"/>
      <c r="I131" s="62">
        <v>3.0</v>
      </c>
      <c r="J131" s="202"/>
      <c r="K131" s="62">
        <v>5.0</v>
      </c>
      <c r="L131" s="62">
        <v>1.0</v>
      </c>
      <c r="M131" s="62">
        <v>2.0</v>
      </c>
      <c r="N131" s="62">
        <v>4.0</v>
      </c>
      <c r="O131" s="64">
        <v>4.0</v>
      </c>
      <c r="P131" s="66" t="s">
        <v>153</v>
      </c>
      <c r="Q131" s="62">
        <v>5.0</v>
      </c>
      <c r="R131" s="66" t="s">
        <v>194</v>
      </c>
      <c r="S131" s="67" t="s">
        <v>1058</v>
      </c>
      <c r="T131" s="6">
        <v>5.0</v>
      </c>
      <c r="U131" s="67" t="s">
        <v>431</v>
      </c>
      <c r="V131" s="76"/>
      <c r="W131" s="76"/>
      <c r="X131" s="76"/>
      <c r="Y131" s="6">
        <v>3.0</v>
      </c>
      <c r="Z131" s="6">
        <v>3.0</v>
      </c>
      <c r="AA131" s="6">
        <v>3.0</v>
      </c>
      <c r="AB131" s="6">
        <v>3.0</v>
      </c>
      <c r="AC131" s="6">
        <v>3.0</v>
      </c>
      <c r="AD131" s="6">
        <v>3.0</v>
      </c>
      <c r="AE131" s="90" t="s">
        <v>195</v>
      </c>
      <c r="AF131" s="68" t="s">
        <v>167</v>
      </c>
      <c r="AG131" s="90" t="s">
        <v>195</v>
      </c>
      <c r="AH131" s="90" t="s">
        <v>195</v>
      </c>
      <c r="AI131" s="68" t="s">
        <v>167</v>
      </c>
      <c r="AJ131" s="90" t="s">
        <v>195</v>
      </c>
      <c r="AK131" s="76" t="str">
        <f t="array" ref="AK131">INDEX(Factions!C:C, MATCH(E131, Factions!B:B, 0))</f>
        <v>#ffb380</v>
      </c>
      <c r="AL131" s="6" t="str">
        <f t="array" ref="AL131">INDEX(Factions!D:D, MATCH(E131, Factions!B:B, 0))</f>
        <v>#733d00</v>
      </c>
      <c r="AM131" s="6" t="str">
        <f t="array" ref="AM131">INDEX(Factions!E:E, MATCH(E131, Factions!B:B, 0))</f>
        <v>#000000</v>
      </c>
      <c r="AN131" s="76" t="str">
        <f t="array" ref="AN131">INDEX(Factions!F:F, MATCH(E131, Factions!B:B, 0))</f>
        <v>#ffffff</v>
      </c>
      <c r="AO131" s="76" t="str">
        <f t="array" ref="AO131">concat(INDEX(Factions!G:G, MATCH(E131, Factions!B:B, 0)),".png")</f>
        <v>rats.png</v>
      </c>
      <c r="AP131" s="84">
        <f>IFERROR(__xludf.DUMMYFUNCTION("MIN(FILTER(M131:M1098, F131:F1098=F131))"),1.0)</f>
        <v>1</v>
      </c>
      <c r="AQ131" s="76">
        <f t="shared" si="2"/>
        <v>5</v>
      </c>
      <c r="AR131" s="86">
        <f>IFERROR(__xludf.DUMMYFUNCTION("IF(and(REGEXMATCH(S131,""Vengence""),not(REGEXMATCH(S131, ""Protective Markings""))),AQ131,AQ131 * 6 / iferror(R131-1,6))"),10.0)</f>
        <v>10</v>
      </c>
      <c r="AS131" s="88">
        <f t="shared" si="3"/>
        <v>5</v>
      </c>
      <c r="AT131" s="89">
        <f t="shared" si="4"/>
        <v>5</v>
      </c>
      <c r="AU131" s="86">
        <f>IFERROR(__xludf.DUMMYFUNCTION("IF(REGEXMATCH(S131,""&lt;b&gt;Poison&lt;/b&gt;""),1+((1/(7-N131))/3),1)"),1.0)</f>
        <v>1</v>
      </c>
      <c r="AV131" s="86">
        <f>IFERROR(__xludf.DUMMYFUNCTION("IF(REGEXMATCH(S131,""Vengence""),(7 - R131) / 3,0)"),0.0)</f>
        <v>0</v>
      </c>
      <c r="AW131" s="86">
        <f t="shared" si="5"/>
        <v>2.5</v>
      </c>
      <c r="AX131" s="84">
        <f t="shared" si="6"/>
        <v>13.75</v>
      </c>
      <c r="AY131" s="76" t="b">
        <f>IFERROR(__xludf.DUMMYFUNCTION("if(regexmatch(G131,""Mage|War Machine""),true,false)"),FALSE)</f>
        <v>0</v>
      </c>
    </row>
    <row r="132" ht="22.5" hidden="1" customHeight="1">
      <c r="A132" s="44" t="s">
        <v>1059</v>
      </c>
      <c r="B132" s="44" t="s">
        <v>1060</v>
      </c>
      <c r="C132" s="44" t="str">
        <f t="shared" si="1"/>
        <v>Boneborn Grand Necromancer</v>
      </c>
      <c r="D132" s="44" t="b">
        <v>1</v>
      </c>
      <c r="E132" s="57" t="s">
        <v>138</v>
      </c>
      <c r="F132" s="44" t="s">
        <v>791</v>
      </c>
      <c r="G132" s="57" t="s">
        <v>159</v>
      </c>
      <c r="H132" s="138"/>
      <c r="I132" s="64">
        <v>3.0</v>
      </c>
      <c r="J132" s="202"/>
      <c r="K132" s="62">
        <v>4.0</v>
      </c>
      <c r="L132" s="62">
        <v>1.0</v>
      </c>
      <c r="M132" s="62">
        <v>1.0</v>
      </c>
      <c r="N132" s="62">
        <v>3.0</v>
      </c>
      <c r="O132" s="64" t="s">
        <v>147</v>
      </c>
      <c r="P132" s="66" t="s">
        <v>372</v>
      </c>
      <c r="Q132" s="62">
        <v>4.0</v>
      </c>
      <c r="R132" s="66" t="s">
        <v>153</v>
      </c>
      <c r="S132" s="67" t="s">
        <v>1061</v>
      </c>
      <c r="T132" s="6">
        <v>3.0</v>
      </c>
      <c r="U132" s="6"/>
      <c r="V132" s="6"/>
      <c r="W132" s="6">
        <v>3.0</v>
      </c>
      <c r="X132" s="76"/>
      <c r="Y132" s="76"/>
      <c r="Z132" s="76"/>
      <c r="AA132" s="76"/>
      <c r="AB132" s="76"/>
      <c r="AC132" s="76"/>
      <c r="AD132" s="76"/>
      <c r="AE132" s="68" t="s">
        <v>167</v>
      </c>
      <c r="AF132" s="90" t="s">
        <v>195</v>
      </c>
      <c r="AG132" s="68" t="s">
        <v>167</v>
      </c>
      <c r="AH132" s="69" t="s">
        <v>171</v>
      </c>
      <c r="AI132" s="69" t="s">
        <v>171</v>
      </c>
      <c r="AJ132" s="68" t="s">
        <v>167</v>
      </c>
      <c r="AK132" s="76" t="str">
        <f t="array" ref="AK132">INDEX(Factions!C:C, MATCH(E132, Factions!B:B, 0))</f>
        <v>#e0e0d3</v>
      </c>
      <c r="AL132" s="6" t="str">
        <f t="array" ref="AL132">INDEX(Factions!D:D, MATCH(E132, Factions!B:B, 0))</f>
        <v>#4d4d4d</v>
      </c>
      <c r="AM132" s="6" t="str">
        <f t="array" ref="AM132">INDEX(Factions!E:E, MATCH(E132, Factions!B:B, 0))</f>
        <v>#000000</v>
      </c>
      <c r="AN132" s="76" t="str">
        <f t="array" ref="AN132">INDEX(Factions!F:F, MATCH(E132, Factions!B:B, 0))</f>
        <v>#ffffff</v>
      </c>
      <c r="AO132" s="76" t="str">
        <f t="array" ref="AO132">concat(INDEX(Factions!G:G, MATCH(E132, Factions!B:B, 0)),".png")</f>
        <v>skellies.png</v>
      </c>
      <c r="AP132" s="84">
        <f>IFERROR(__xludf.DUMMYFUNCTION("MIN(FILTER(M132:M1098, F132:F1098=F132))"),1.0)</f>
        <v>1</v>
      </c>
      <c r="AQ132" s="76">
        <f t="shared" si="2"/>
        <v>4</v>
      </c>
      <c r="AR132" s="86">
        <f>IFERROR(__xludf.DUMMYFUNCTION("IF(and(REGEXMATCH(S132,""Vengence""),not(REGEXMATCH(S132, ""Protective Markings""))),AQ132,AQ132 * 6 / iferror(R132-1,6))"),6.0)</f>
        <v>6</v>
      </c>
      <c r="AS132" s="88">
        <f t="shared" si="3"/>
        <v>2</v>
      </c>
      <c r="AT132" s="89">
        <f t="shared" si="4"/>
        <v>2</v>
      </c>
      <c r="AU132" s="86">
        <f>IFERROR(__xludf.DUMMYFUNCTION("IF(REGEXMATCH(S132,""&lt;b&gt;Poison&lt;/b&gt;""),1+((1/(7-N132))/3),1)"),1.0)</f>
        <v>1</v>
      </c>
      <c r="AV132" s="86">
        <f>IFERROR(__xludf.DUMMYFUNCTION("IF(REGEXMATCH(S132,""Vengence""),(7 - R132) / 3,0)"),0.0)</f>
        <v>0</v>
      </c>
      <c r="AW132" s="86">
        <f t="shared" si="5"/>
        <v>1.333333333</v>
      </c>
      <c r="AX132" s="84">
        <f t="shared" si="6"/>
        <v>8</v>
      </c>
      <c r="AY132" s="76" t="b">
        <f>IFERROR(__xludf.DUMMYFUNCTION("if(regexmatch(G132,""Mage|War Machine""),true,false)"),TRUE)</f>
        <v>1</v>
      </c>
    </row>
    <row r="133" ht="22.5" hidden="1" customHeight="1">
      <c r="A133" s="44" t="s">
        <v>1062</v>
      </c>
      <c r="B133" s="44" t="s">
        <v>1063</v>
      </c>
      <c r="C133" s="44" t="str">
        <f t="shared" si="1"/>
        <v>Boneborn Banshee Queen</v>
      </c>
      <c r="D133" s="44" t="b">
        <v>1</v>
      </c>
      <c r="E133" s="57" t="s">
        <v>138</v>
      </c>
      <c r="F133" s="44" t="s">
        <v>791</v>
      </c>
      <c r="G133" s="57" t="s">
        <v>160</v>
      </c>
      <c r="H133" s="138"/>
      <c r="I133" s="64">
        <v>3.0</v>
      </c>
      <c r="J133" s="202"/>
      <c r="K133" s="62">
        <v>2.0</v>
      </c>
      <c r="L133" s="62">
        <v>1.0</v>
      </c>
      <c r="M133" s="62">
        <v>1.0</v>
      </c>
      <c r="N133" s="62">
        <v>3.0</v>
      </c>
      <c r="O133" s="64" t="s">
        <v>147</v>
      </c>
      <c r="P133" s="66" t="s">
        <v>380</v>
      </c>
      <c r="Q133" s="62">
        <v>4.0</v>
      </c>
      <c r="R133" s="66" t="s">
        <v>380</v>
      </c>
      <c r="S133" s="67" t="s">
        <v>1064</v>
      </c>
      <c r="T133" s="6">
        <v>7.0</v>
      </c>
      <c r="U133" s="6"/>
      <c r="V133" s="6"/>
      <c r="W133" s="6">
        <v>2.0</v>
      </c>
      <c r="X133" s="76"/>
      <c r="Y133" s="76"/>
      <c r="Z133" s="76"/>
      <c r="AA133" s="76"/>
      <c r="AB133" s="76"/>
      <c r="AC133" s="76"/>
      <c r="AD133" s="76"/>
      <c r="AE133" s="68" t="s">
        <v>167</v>
      </c>
      <c r="AF133" s="90" t="s">
        <v>195</v>
      </c>
      <c r="AG133" s="68" t="s">
        <v>167</v>
      </c>
      <c r="AH133" s="69" t="s">
        <v>171</v>
      </c>
      <c r="AI133" s="69" t="s">
        <v>171</v>
      </c>
      <c r="AJ133" s="129" t="s">
        <v>354</v>
      </c>
      <c r="AK133" s="76" t="str">
        <f t="array" ref="AK133">INDEX(Factions!C:C, MATCH(E133, Factions!B:B, 0))</f>
        <v>#e0e0d3</v>
      </c>
      <c r="AL133" s="6" t="str">
        <f t="array" ref="AL133">INDEX(Factions!D:D, MATCH(E133, Factions!B:B, 0))</f>
        <v>#4d4d4d</v>
      </c>
      <c r="AM133" s="6" t="str">
        <f t="array" ref="AM133">INDEX(Factions!E:E, MATCH(E133, Factions!B:B, 0))</f>
        <v>#000000</v>
      </c>
      <c r="AN133" s="76" t="str">
        <f t="array" ref="AN133">INDEX(Factions!F:F, MATCH(E133, Factions!B:B, 0))</f>
        <v>#ffffff</v>
      </c>
      <c r="AO133" s="76" t="str">
        <f t="array" ref="AO133">concat(INDEX(Factions!G:G, MATCH(E133, Factions!B:B, 0)),".png")</f>
        <v>skellies.png</v>
      </c>
      <c r="AP133" s="84">
        <f>IFERROR(__xludf.DUMMYFUNCTION("MIN(FILTER(M133:M1098, F133:F1098=F133))"),1.0)</f>
        <v>1</v>
      </c>
      <c r="AQ133" s="76">
        <f t="shared" si="2"/>
        <v>4</v>
      </c>
      <c r="AR133" s="86">
        <f>IFERROR(__xludf.DUMMYFUNCTION("IF(and(REGEXMATCH(S133,""Vengence""),not(REGEXMATCH(S133, ""Protective Markings""))),AQ133,AQ133 * 6 / iferror(R133-1,6))"),12.0)</f>
        <v>12</v>
      </c>
      <c r="AS133" s="88">
        <f t="shared" si="3"/>
        <v>3</v>
      </c>
      <c r="AT133" s="89">
        <f t="shared" si="4"/>
        <v>3</v>
      </c>
      <c r="AU133" s="86">
        <f>IFERROR(__xludf.DUMMYFUNCTION("IF(REGEXMATCH(S133,""&lt;b&gt;Poison&lt;/b&gt;""),1+((1/(7-N133))/3),1)"),1.0)</f>
        <v>1</v>
      </c>
      <c r="AV133" s="86">
        <f>IFERROR(__xludf.DUMMYFUNCTION("IF(REGEXMATCH(S133,""Vengence""),(7 - R133) / 3,0)"),0.0)</f>
        <v>0</v>
      </c>
      <c r="AW133" s="86">
        <f t="shared" si="5"/>
        <v>2</v>
      </c>
      <c r="AX133" s="84">
        <f t="shared" si="6"/>
        <v>15</v>
      </c>
      <c r="AY133" s="76" t="b">
        <f>IFERROR(__xludf.DUMMYFUNCTION("if(regexmatch(G133,""Mage|War Machine""),true,false)"),TRUE)</f>
        <v>1</v>
      </c>
    </row>
    <row r="134" ht="22.5" hidden="1" customHeight="1">
      <c r="A134" s="44" t="s">
        <v>1065</v>
      </c>
      <c r="B134" s="44" t="s">
        <v>1066</v>
      </c>
      <c r="C134" s="44" t="str">
        <f t="shared" si="1"/>
        <v>Boneborn The Gravedigger</v>
      </c>
      <c r="D134" s="44" t="b">
        <v>1</v>
      </c>
      <c r="E134" s="57" t="s">
        <v>138</v>
      </c>
      <c r="F134" s="44" t="s">
        <v>791</v>
      </c>
      <c r="G134" s="57" t="s">
        <v>162</v>
      </c>
      <c r="H134" s="138"/>
      <c r="I134" s="62">
        <v>3.0</v>
      </c>
      <c r="J134" s="202"/>
      <c r="K134" s="62">
        <v>3.0</v>
      </c>
      <c r="L134" s="62">
        <v>1.0</v>
      </c>
      <c r="M134" s="62">
        <v>1.0</v>
      </c>
      <c r="N134" s="62">
        <v>4.0</v>
      </c>
      <c r="O134" s="64" t="s">
        <v>147</v>
      </c>
      <c r="P134" s="66" t="s">
        <v>194</v>
      </c>
      <c r="Q134" s="62">
        <v>6.0</v>
      </c>
      <c r="R134" s="66" t="s">
        <v>194</v>
      </c>
      <c r="S134" s="67" t="s">
        <v>1067</v>
      </c>
      <c r="T134" s="6">
        <v>5.0</v>
      </c>
      <c r="U134" s="67" t="s">
        <v>1068</v>
      </c>
      <c r="V134" s="76"/>
      <c r="W134" s="76"/>
      <c r="X134" s="76"/>
      <c r="Y134" s="6">
        <v>3.0</v>
      </c>
      <c r="Z134" s="6">
        <v>3.0</v>
      </c>
      <c r="AA134" s="6">
        <v>3.0</v>
      </c>
      <c r="AB134" s="6">
        <v>3.0</v>
      </c>
      <c r="AC134" s="6">
        <v>3.0</v>
      </c>
      <c r="AD134" s="76"/>
      <c r="AE134" s="68" t="s">
        <v>167</v>
      </c>
      <c r="AF134" s="68" t="s">
        <v>167</v>
      </c>
      <c r="AG134" s="68" t="s">
        <v>167</v>
      </c>
      <c r="AH134" s="68" t="s">
        <v>167</v>
      </c>
      <c r="AI134" s="68" t="s">
        <v>167</v>
      </c>
      <c r="AJ134" s="90" t="s">
        <v>195</v>
      </c>
      <c r="AK134" s="76" t="str">
        <f t="array" ref="AK134">INDEX(Factions!C:C, MATCH(E134, Factions!B:B, 0))</f>
        <v>#e0e0d3</v>
      </c>
      <c r="AL134" s="6" t="str">
        <f t="array" ref="AL134">INDEX(Factions!D:D, MATCH(E134, Factions!B:B, 0))</f>
        <v>#4d4d4d</v>
      </c>
      <c r="AM134" s="6" t="str">
        <f t="array" ref="AM134">INDEX(Factions!E:E, MATCH(E134, Factions!B:B, 0))</f>
        <v>#000000</v>
      </c>
      <c r="AN134" s="76" t="str">
        <f t="array" ref="AN134">INDEX(Factions!F:F, MATCH(E134, Factions!B:B, 0))</f>
        <v>#ffffff</v>
      </c>
      <c r="AO134" s="76" t="str">
        <f t="array" ref="AO134">concat(INDEX(Factions!G:G, MATCH(E134, Factions!B:B, 0)),".png")</f>
        <v>skellies.png</v>
      </c>
      <c r="AP134" s="84">
        <f>IFERROR(__xludf.DUMMYFUNCTION("MIN(FILTER(M134:M1098, F134:F1098=F134))"),1.0)</f>
        <v>1</v>
      </c>
      <c r="AQ134" s="76">
        <f t="shared" si="2"/>
        <v>6</v>
      </c>
      <c r="AR134" s="86">
        <f>IFERROR(__xludf.DUMMYFUNCTION("IF(and(REGEXMATCH(S134,""Vengence""),not(REGEXMATCH(S134, ""Protective Markings""))),AQ134,AQ134 * 6 / iferror(R134-1,6))"),12.0)</f>
        <v>12</v>
      </c>
      <c r="AS134" s="88">
        <f t="shared" si="3"/>
        <v>4</v>
      </c>
      <c r="AT134" s="89">
        <f t="shared" si="4"/>
        <v>4</v>
      </c>
      <c r="AU134" s="86">
        <f>IFERROR(__xludf.DUMMYFUNCTION("IF(REGEXMATCH(S134,""&lt;b&gt;Poison&lt;/b&gt;""),1+((1/(7-N134))/3),1)"),1.0)</f>
        <v>1</v>
      </c>
      <c r="AV134" s="86">
        <f>IFERROR(__xludf.DUMMYFUNCTION("IF(REGEXMATCH(S134,""Vengence""),(7 - R134) / 3,0)"),0.0)</f>
        <v>0</v>
      </c>
      <c r="AW134" s="86">
        <f t="shared" si="5"/>
        <v>2</v>
      </c>
      <c r="AX134" s="84">
        <f t="shared" si="6"/>
        <v>15</v>
      </c>
      <c r="AY134" s="76" t="b">
        <f>IFERROR(__xludf.DUMMYFUNCTION("if(regexmatch(G134,""Mage|War Machine""),true,false)"),FALSE)</f>
        <v>0</v>
      </c>
    </row>
    <row r="135" ht="22.5" hidden="1" customHeight="1">
      <c r="A135" s="44" t="s">
        <v>1069</v>
      </c>
      <c r="B135" s="44" t="s">
        <v>1070</v>
      </c>
      <c r="C135" s="44" t="str">
        <f t="shared" si="1"/>
        <v>Boneborn Dracolich</v>
      </c>
      <c r="D135" s="44" t="b">
        <v>1</v>
      </c>
      <c r="E135" s="57" t="s">
        <v>138</v>
      </c>
      <c r="F135" s="44" t="s">
        <v>791</v>
      </c>
      <c r="G135" s="57" t="s">
        <v>163</v>
      </c>
      <c r="H135" s="138"/>
      <c r="I135" s="62">
        <v>3.0</v>
      </c>
      <c r="J135" s="202"/>
      <c r="K135" s="62">
        <v>0.0</v>
      </c>
      <c r="L135" s="62">
        <v>1.0</v>
      </c>
      <c r="M135" s="62">
        <v>3.0</v>
      </c>
      <c r="N135" s="62">
        <v>3.0</v>
      </c>
      <c r="O135" s="64" t="s">
        <v>147</v>
      </c>
      <c r="P135" s="66" t="s">
        <v>153</v>
      </c>
      <c r="Q135" s="62">
        <v>8.0</v>
      </c>
      <c r="R135" s="66" t="s">
        <v>153</v>
      </c>
      <c r="S135" s="67" t="s">
        <v>1071</v>
      </c>
      <c r="T135" s="6">
        <v>6.0</v>
      </c>
      <c r="U135" s="6"/>
      <c r="V135" s="6"/>
      <c r="W135" s="6">
        <v>2.0</v>
      </c>
      <c r="X135" s="76"/>
      <c r="Y135" s="76"/>
      <c r="Z135" s="6">
        <v>3.0</v>
      </c>
      <c r="AA135" s="6">
        <v>3.0</v>
      </c>
      <c r="AB135" s="6">
        <v>3.0</v>
      </c>
      <c r="AC135" s="76"/>
      <c r="AD135" s="76"/>
      <c r="AE135" s="129" t="s">
        <v>354</v>
      </c>
      <c r="AF135" s="90" t="s">
        <v>195</v>
      </c>
      <c r="AG135" s="68" t="s">
        <v>167</v>
      </c>
      <c r="AH135" s="90" t="s">
        <v>195</v>
      </c>
      <c r="AI135" s="129" t="s">
        <v>354</v>
      </c>
      <c r="AJ135" s="68" t="s">
        <v>167</v>
      </c>
      <c r="AK135" s="76" t="str">
        <f t="array" ref="AK135">INDEX(Factions!C:C, MATCH(E135, Factions!B:B, 0))</f>
        <v>#e0e0d3</v>
      </c>
      <c r="AL135" s="6" t="str">
        <f t="array" ref="AL135">INDEX(Factions!D:D, MATCH(E135, Factions!B:B, 0))</f>
        <v>#4d4d4d</v>
      </c>
      <c r="AM135" s="6" t="str">
        <f t="array" ref="AM135">INDEX(Factions!E:E, MATCH(E135, Factions!B:B, 0))</f>
        <v>#000000</v>
      </c>
      <c r="AN135" s="76" t="str">
        <f t="array" ref="AN135">INDEX(Factions!F:F, MATCH(E135, Factions!B:B, 0))</f>
        <v>#ffffff</v>
      </c>
      <c r="AO135" s="76" t="str">
        <f t="array" ref="AO135">concat(INDEX(Factions!G:G, MATCH(E135, Factions!B:B, 0)),".png")</f>
        <v>skellies.png</v>
      </c>
      <c r="AP135" s="84">
        <f>IFERROR(__xludf.DUMMYFUNCTION("MIN(FILTER(M135:M1098, F135:F1098=F135))"),1.0)</f>
        <v>1</v>
      </c>
      <c r="AQ135" s="76">
        <f t="shared" si="2"/>
        <v>8</v>
      </c>
      <c r="AR135" s="86">
        <f>IFERROR(__xludf.DUMMYFUNCTION("IF(and(REGEXMATCH(S135,""Vengence""),not(REGEXMATCH(S135, ""Protective Markings""))),AQ135,AQ135 * 6 / iferror(R135-1,6))"),12.0)</f>
        <v>12</v>
      </c>
      <c r="AS135" s="88">
        <f t="shared" si="3"/>
        <v>5</v>
      </c>
      <c r="AT135" s="89">
        <f t="shared" si="4"/>
        <v>5</v>
      </c>
      <c r="AU135" s="86">
        <f>IFERROR(__xludf.DUMMYFUNCTION("IF(REGEXMATCH(S135,""&lt;b&gt;Poison&lt;/b&gt;""),1+((1/(7-N135))/3),1)"),1.0)</f>
        <v>1</v>
      </c>
      <c r="AV135" s="86">
        <f>IFERROR(__xludf.DUMMYFUNCTION("IF(REGEXMATCH(S135,""Vengence""),(7 - R135) / 3,0)"),0.0)</f>
        <v>0</v>
      </c>
      <c r="AW135" s="86">
        <f t="shared" si="5"/>
        <v>3.333333333</v>
      </c>
      <c r="AX135" s="84">
        <f t="shared" si="6"/>
        <v>17</v>
      </c>
      <c r="AY135" s="76" t="b">
        <f>IFERROR(__xludf.DUMMYFUNCTION("if(regexmatch(G135,""Mage|War Machine""),true,false)"),FALSE)</f>
        <v>0</v>
      </c>
    </row>
    <row r="136" ht="22.5" hidden="1" customHeight="1">
      <c r="A136" s="44" t="s">
        <v>1072</v>
      </c>
      <c r="B136" s="44" t="s">
        <v>1073</v>
      </c>
      <c r="C136" s="44" t="str">
        <f t="shared" si="1"/>
        <v>Boneborn Archrevenant</v>
      </c>
      <c r="D136" s="44" t="b">
        <v>1</v>
      </c>
      <c r="E136" s="57" t="s">
        <v>138</v>
      </c>
      <c r="F136" s="44" t="s">
        <v>791</v>
      </c>
      <c r="G136" s="57" t="s">
        <v>162</v>
      </c>
      <c r="H136" s="138"/>
      <c r="I136" s="62">
        <v>3.0</v>
      </c>
      <c r="J136" s="202"/>
      <c r="K136" s="62">
        <v>3.0</v>
      </c>
      <c r="L136" s="62">
        <v>1.0</v>
      </c>
      <c r="M136" s="62">
        <v>1.0</v>
      </c>
      <c r="N136" s="62">
        <v>3.0</v>
      </c>
      <c r="O136" s="64" t="s">
        <v>147</v>
      </c>
      <c r="P136" s="66" t="s">
        <v>153</v>
      </c>
      <c r="Q136" s="62">
        <v>6.0</v>
      </c>
      <c r="R136" s="66" t="s">
        <v>153</v>
      </c>
      <c r="S136" s="67" t="s">
        <v>1074</v>
      </c>
      <c r="T136" s="6">
        <v>8.0</v>
      </c>
      <c r="U136" s="67" t="s">
        <v>418</v>
      </c>
      <c r="V136" s="6"/>
      <c r="W136" s="6"/>
      <c r="X136" s="76"/>
      <c r="Y136" s="6">
        <v>3.0</v>
      </c>
      <c r="Z136" s="6">
        <v>3.0</v>
      </c>
      <c r="AA136" s="6">
        <v>3.0</v>
      </c>
      <c r="AB136" s="6">
        <v>3.0</v>
      </c>
      <c r="AC136" s="6">
        <v>3.0</v>
      </c>
      <c r="AD136" s="76"/>
      <c r="AE136" s="68" t="s">
        <v>167</v>
      </c>
      <c r="AF136" s="90" t="s">
        <v>195</v>
      </c>
      <c r="AG136" s="68" t="s">
        <v>167</v>
      </c>
      <c r="AH136" s="90" t="s">
        <v>195</v>
      </c>
      <c r="AI136" s="68" t="s">
        <v>167</v>
      </c>
      <c r="AJ136" s="68" t="s">
        <v>167</v>
      </c>
      <c r="AK136" s="76" t="str">
        <f t="array" ref="AK136">INDEX(Factions!C:C, MATCH(E136, Factions!B:B, 0))</f>
        <v>#e0e0d3</v>
      </c>
      <c r="AL136" s="6" t="str">
        <f t="array" ref="AL136">INDEX(Factions!D:D, MATCH(E136, Factions!B:B, 0))</f>
        <v>#4d4d4d</v>
      </c>
      <c r="AM136" s="6" t="str">
        <f t="array" ref="AM136">INDEX(Factions!E:E, MATCH(E136, Factions!B:B, 0))</f>
        <v>#000000</v>
      </c>
      <c r="AN136" s="76" t="str">
        <f t="array" ref="AN136">INDEX(Factions!F:F, MATCH(E136, Factions!B:B, 0))</f>
        <v>#ffffff</v>
      </c>
      <c r="AO136" s="76" t="str">
        <f t="array" ref="AO136">concat(INDEX(Factions!G:G, MATCH(E136, Factions!B:B, 0)),".png")</f>
        <v>skellies.png</v>
      </c>
      <c r="AP136" s="84">
        <f>IFERROR(__xludf.DUMMYFUNCTION("MIN(FILTER(M136:M1098, F136:F1098=F136))"),1.0)</f>
        <v>1</v>
      </c>
      <c r="AQ136" s="76">
        <f t="shared" si="2"/>
        <v>6</v>
      </c>
      <c r="AR136" s="86">
        <f>IFERROR(__xludf.DUMMYFUNCTION("IF(and(REGEXMATCH(S136,""Vengence""),not(REGEXMATCH(S136, ""Protective Markings""))),AQ136,AQ136 * 6 / iferror(R136-1,6))"),9.0)</f>
        <v>9</v>
      </c>
      <c r="AS136" s="88">
        <f t="shared" si="3"/>
        <v>5</v>
      </c>
      <c r="AT136" s="89">
        <f t="shared" si="4"/>
        <v>5</v>
      </c>
      <c r="AU136" s="86">
        <f>IFERROR(__xludf.DUMMYFUNCTION("IF(REGEXMATCH(S136,""&lt;b&gt;Poison&lt;/b&gt;""),1+((1/(7-N136))/3),1)"),1.0)</f>
        <v>1</v>
      </c>
      <c r="AV136" s="86">
        <f>IFERROR(__xludf.DUMMYFUNCTION("IF(REGEXMATCH(S136,""Vengence""),(7 - R136) / 3,0)"),0.0)</f>
        <v>0</v>
      </c>
      <c r="AW136" s="86">
        <f t="shared" si="5"/>
        <v>3.333333333</v>
      </c>
      <c r="AX136" s="84">
        <f t="shared" si="6"/>
        <v>14</v>
      </c>
      <c r="AY136" s="76" t="b">
        <f>IFERROR(__xludf.DUMMYFUNCTION("if(regexmatch(G136,""Mage|War Machine""),true,false)"),FALSE)</f>
        <v>0</v>
      </c>
    </row>
    <row r="137" ht="22.5" hidden="1" customHeight="1">
      <c r="A137" s="44" t="s">
        <v>1075</v>
      </c>
      <c r="B137" s="44" t="s">
        <v>1076</v>
      </c>
      <c r="C137" s="44" t="str">
        <f t="shared" si="1"/>
        <v>Silk Court Huntmistress</v>
      </c>
      <c r="D137" s="44" t="b">
        <v>1</v>
      </c>
      <c r="E137" s="57" t="s">
        <v>205</v>
      </c>
      <c r="F137" s="44" t="s">
        <v>791</v>
      </c>
      <c r="G137" s="57" t="s">
        <v>166</v>
      </c>
      <c r="H137" s="138"/>
      <c r="I137" s="64">
        <v>3.0</v>
      </c>
      <c r="J137" s="202"/>
      <c r="K137" s="62">
        <v>3.0</v>
      </c>
      <c r="L137" s="62">
        <v>1.0</v>
      </c>
      <c r="M137" s="62">
        <v>2.0</v>
      </c>
      <c r="N137" s="62">
        <v>4.0</v>
      </c>
      <c r="O137" s="64">
        <v>3.0</v>
      </c>
      <c r="P137" s="66" t="s">
        <v>194</v>
      </c>
      <c r="Q137" s="62">
        <v>5.0</v>
      </c>
      <c r="R137" s="66" t="s">
        <v>153</v>
      </c>
      <c r="S137" s="67" t="s">
        <v>1077</v>
      </c>
      <c r="T137" s="6">
        <v>4.0</v>
      </c>
      <c r="U137" s="76"/>
      <c r="V137" s="76"/>
      <c r="W137" s="76"/>
      <c r="X137" s="76"/>
      <c r="Y137" s="6">
        <v>3.0</v>
      </c>
      <c r="Z137" s="6">
        <v>3.0</v>
      </c>
      <c r="AA137" s="6">
        <v>3.0</v>
      </c>
      <c r="AB137" s="6">
        <v>3.0</v>
      </c>
      <c r="AC137" s="76"/>
      <c r="AD137" s="6">
        <v>3.0</v>
      </c>
      <c r="AE137" s="90" t="s">
        <v>195</v>
      </c>
      <c r="AF137" s="68" t="s">
        <v>167</v>
      </c>
      <c r="AG137" s="129" t="s">
        <v>354</v>
      </c>
      <c r="AH137" s="68" t="s">
        <v>167</v>
      </c>
      <c r="AI137" s="68" t="s">
        <v>167</v>
      </c>
      <c r="AJ137" s="68" t="s">
        <v>167</v>
      </c>
      <c r="AK137" s="76" t="str">
        <f t="array" ref="AK137">INDEX(Factions!C:C, MATCH(E137, Factions!B:B, 0))</f>
        <v>#f1baff</v>
      </c>
      <c r="AL137" s="6" t="str">
        <f t="array" ref="AL137">INDEX(Factions!D:D, MATCH(E137, Factions!B:B, 0))</f>
        <v>#2d2d2d</v>
      </c>
      <c r="AM137" s="6" t="str">
        <f t="array" ref="AM137">INDEX(Factions!E:E, MATCH(E137, Factions!B:B, 0))</f>
        <v>#000000</v>
      </c>
      <c r="AN137" s="76" t="str">
        <f t="array" ref="AN137">INDEX(Factions!F:F, MATCH(E137, Factions!B:B, 0))</f>
        <v>#ffffff</v>
      </c>
      <c r="AO137" s="76" t="str">
        <f t="array" ref="AO137">concat(INDEX(Factions!G:G, MATCH(E137, Factions!B:B, 0)),".png")</f>
        <v>spiders.png</v>
      </c>
      <c r="AP137" s="84">
        <f>IFERROR(__xludf.DUMMYFUNCTION("MIN(FILTER(M137:M1098, F137:F1098=F137))"),1.0)</f>
        <v>1</v>
      </c>
      <c r="AQ137" s="76">
        <f t="shared" si="2"/>
        <v>5</v>
      </c>
      <c r="AR137" s="86">
        <f>IFERROR(__xludf.DUMMYFUNCTION("IF(and(REGEXMATCH(S137,""Vengence""),not(REGEXMATCH(S137, ""Protective Markings""))),AQ137,AQ137 * 6 / iferror(R137-1,6))"),7.5)</f>
        <v>7.5</v>
      </c>
      <c r="AS137" s="88">
        <f t="shared" si="3"/>
        <v>4</v>
      </c>
      <c r="AT137" s="89">
        <f t="shared" si="4"/>
        <v>4</v>
      </c>
      <c r="AU137" s="86">
        <f>IFERROR(__xludf.DUMMYFUNCTION("IF(REGEXMATCH(S137,""&lt;b&gt;Poison&lt;/b&gt;""),1+((1/(7-N137))/3),1)"),1.1111111111111112)</f>
        <v>1.111111111</v>
      </c>
      <c r="AV137" s="86">
        <f>IFERROR(__xludf.DUMMYFUNCTION("IF(REGEXMATCH(S137,""Vengence""),(7 - R137) / 3,0)"),0.0)</f>
        <v>0</v>
      </c>
      <c r="AW137" s="86">
        <f t="shared" si="5"/>
        <v>2.222222222</v>
      </c>
      <c r="AX137" s="84">
        <f t="shared" si="6"/>
        <v>10.83333333</v>
      </c>
      <c r="AY137" s="76" t="b">
        <f>IFERROR(__xludf.DUMMYFUNCTION("if(regexmatch(G137,""Mage|War Machine""),true,false)"),FALSE)</f>
        <v>0</v>
      </c>
    </row>
    <row r="138" ht="22.5" hidden="1" customHeight="1">
      <c r="A138" s="44" t="s">
        <v>1078</v>
      </c>
      <c r="B138" s="44" t="s">
        <v>1079</v>
      </c>
      <c r="C138" s="44" t="str">
        <f t="shared" si="1"/>
        <v>Silk Court Royal Poisoner</v>
      </c>
      <c r="D138" s="44" t="b">
        <v>1</v>
      </c>
      <c r="E138" s="57" t="s">
        <v>205</v>
      </c>
      <c r="F138" s="44" t="s">
        <v>791</v>
      </c>
      <c r="G138" s="57" t="s">
        <v>160</v>
      </c>
      <c r="H138" s="138"/>
      <c r="I138" s="64">
        <v>3.0</v>
      </c>
      <c r="J138" s="202"/>
      <c r="K138" s="62">
        <v>3.0</v>
      </c>
      <c r="L138" s="62">
        <v>1.0</v>
      </c>
      <c r="M138" s="62">
        <v>1.0</v>
      </c>
      <c r="N138" s="62">
        <v>4.0</v>
      </c>
      <c r="O138" s="64">
        <v>4.0</v>
      </c>
      <c r="P138" s="66" t="s">
        <v>194</v>
      </c>
      <c r="Q138" s="62">
        <v>4.0</v>
      </c>
      <c r="R138" s="66" t="s">
        <v>153</v>
      </c>
      <c r="S138" s="67" t="s">
        <v>1080</v>
      </c>
      <c r="T138" s="6">
        <v>5.0</v>
      </c>
      <c r="U138" s="6" t="s">
        <v>238</v>
      </c>
      <c r="V138" s="6"/>
      <c r="W138" s="6">
        <v>2.0</v>
      </c>
      <c r="X138" s="76"/>
      <c r="Y138" s="76"/>
      <c r="Z138" s="76"/>
      <c r="AA138" s="76"/>
      <c r="AB138" s="6">
        <v>3.0</v>
      </c>
      <c r="AC138" s="76"/>
      <c r="AD138" s="6">
        <v>3.0</v>
      </c>
      <c r="AE138" s="68" t="s">
        <v>167</v>
      </c>
      <c r="AF138" s="68" t="s">
        <v>167</v>
      </c>
      <c r="AG138" s="90" t="s">
        <v>195</v>
      </c>
      <c r="AH138" s="68" t="s">
        <v>167</v>
      </c>
      <c r="AI138" s="68" t="s">
        <v>167</v>
      </c>
      <c r="AJ138" s="68" t="s">
        <v>167</v>
      </c>
      <c r="AK138" s="76" t="str">
        <f t="array" ref="AK138">INDEX(Factions!C:C, MATCH(E138, Factions!B:B, 0))</f>
        <v>#f1baff</v>
      </c>
      <c r="AL138" s="6" t="str">
        <f t="array" ref="AL138">INDEX(Factions!D:D, MATCH(E138, Factions!B:B, 0))</f>
        <v>#2d2d2d</v>
      </c>
      <c r="AM138" s="6" t="str">
        <f t="array" ref="AM138">INDEX(Factions!E:E, MATCH(E138, Factions!B:B, 0))</f>
        <v>#000000</v>
      </c>
      <c r="AN138" s="76" t="str">
        <f t="array" ref="AN138">INDEX(Factions!F:F, MATCH(E138, Factions!B:B, 0))</f>
        <v>#ffffff</v>
      </c>
      <c r="AO138" s="76" t="str">
        <f t="array" ref="AO138">concat(INDEX(Factions!G:G, MATCH(E138, Factions!B:B, 0)),".png")</f>
        <v>spiders.png</v>
      </c>
      <c r="AP138" s="84">
        <f>IFERROR(__xludf.DUMMYFUNCTION("MIN(FILTER(M138:M1098, F138:F1098=F138))"),1.0)</f>
        <v>1</v>
      </c>
      <c r="AQ138" s="76">
        <f t="shared" si="2"/>
        <v>4</v>
      </c>
      <c r="AR138" s="86">
        <f>IFERROR(__xludf.DUMMYFUNCTION("IF(and(REGEXMATCH(S138,""Vengence""),not(REGEXMATCH(S138, ""Protective Markings""))),AQ138,AQ138 * 6 / iferror(R138-1,6))"),6.0)</f>
        <v>6</v>
      </c>
      <c r="AS138" s="88">
        <f t="shared" si="3"/>
        <v>4</v>
      </c>
      <c r="AT138" s="89">
        <f t="shared" si="4"/>
        <v>4</v>
      </c>
      <c r="AU138" s="86">
        <f>IFERROR(__xludf.DUMMYFUNCTION("IF(REGEXMATCH(S138,""&lt;b&gt;Poison&lt;/b&gt;""),1+((1/(7-N138))/3),1)"),1.1111111111111112)</f>
        <v>1.111111111</v>
      </c>
      <c r="AV138" s="86">
        <f>IFERROR(__xludf.DUMMYFUNCTION("IF(REGEXMATCH(S138,""Vengence""),(7 - R138) / 3,0)"),0.0)</f>
        <v>0</v>
      </c>
      <c r="AW138" s="86">
        <f t="shared" si="5"/>
        <v>2.222222222</v>
      </c>
      <c r="AX138" s="84">
        <f t="shared" si="6"/>
        <v>9.333333333</v>
      </c>
      <c r="AY138" s="76" t="b">
        <f>IFERROR(__xludf.DUMMYFUNCTION("if(regexmatch(G138,""Mage|War Machine""),true,false)"),TRUE)</f>
        <v>1</v>
      </c>
    </row>
    <row r="139" ht="22.5" hidden="1" customHeight="1">
      <c r="A139" s="44" t="s">
        <v>1081</v>
      </c>
      <c r="B139" s="44" t="s">
        <v>1082</v>
      </c>
      <c r="C139" s="44" t="str">
        <f t="shared" si="1"/>
        <v>Silk Court Mistress of Whispers</v>
      </c>
      <c r="D139" s="44" t="b">
        <v>1</v>
      </c>
      <c r="E139" s="57" t="s">
        <v>205</v>
      </c>
      <c r="F139" s="44" t="s">
        <v>791</v>
      </c>
      <c r="G139" s="57" t="s">
        <v>159</v>
      </c>
      <c r="H139" s="138"/>
      <c r="I139" s="64">
        <v>3.0</v>
      </c>
      <c r="J139" s="202"/>
      <c r="K139" s="62">
        <v>2.0</v>
      </c>
      <c r="L139" s="62">
        <v>1.0</v>
      </c>
      <c r="M139" s="62">
        <v>1.0</v>
      </c>
      <c r="N139" s="62">
        <v>4.0</v>
      </c>
      <c r="O139" s="64" t="s">
        <v>147</v>
      </c>
      <c r="P139" s="66" t="s">
        <v>380</v>
      </c>
      <c r="Q139" s="62">
        <v>4.0</v>
      </c>
      <c r="R139" s="66" t="s">
        <v>153</v>
      </c>
      <c r="S139" s="67" t="s">
        <v>1083</v>
      </c>
      <c r="T139" s="6">
        <v>3.0</v>
      </c>
      <c r="U139" s="6"/>
      <c r="V139" s="6"/>
      <c r="W139" s="6">
        <v>3.0</v>
      </c>
      <c r="X139" s="76"/>
      <c r="Y139" s="76"/>
      <c r="Z139" s="76"/>
      <c r="AA139" s="76"/>
      <c r="AB139" s="6">
        <v>3.0</v>
      </c>
      <c r="AC139" s="76"/>
      <c r="AD139" s="76"/>
      <c r="AE139" s="68" t="s">
        <v>167</v>
      </c>
      <c r="AF139" s="68" t="s">
        <v>167</v>
      </c>
      <c r="AG139" s="68" t="s">
        <v>167</v>
      </c>
      <c r="AH139" s="69" t="s">
        <v>171</v>
      </c>
      <c r="AI139" s="69" t="s">
        <v>171</v>
      </c>
      <c r="AJ139" s="68" t="s">
        <v>167</v>
      </c>
      <c r="AK139" s="76" t="str">
        <f t="array" ref="AK139">INDEX(Factions!C:C, MATCH(E139, Factions!B:B, 0))</f>
        <v>#f1baff</v>
      </c>
      <c r="AL139" s="6" t="str">
        <f t="array" ref="AL139">INDEX(Factions!D:D, MATCH(E139, Factions!B:B, 0))</f>
        <v>#2d2d2d</v>
      </c>
      <c r="AM139" s="6" t="str">
        <f t="array" ref="AM139">INDEX(Factions!E:E, MATCH(E139, Factions!B:B, 0))</f>
        <v>#000000</v>
      </c>
      <c r="AN139" s="76" t="str">
        <f t="array" ref="AN139">INDEX(Factions!F:F, MATCH(E139, Factions!B:B, 0))</f>
        <v>#ffffff</v>
      </c>
      <c r="AO139" s="76" t="str">
        <f t="array" ref="AO139">concat(INDEX(Factions!G:G, MATCH(E139, Factions!B:B, 0)),".png")</f>
        <v>spiders.png</v>
      </c>
      <c r="AP139" s="84">
        <f>IFERROR(__xludf.DUMMYFUNCTION("MIN(FILTER(M139:M1098, F139:F1098=F139))"),1.0)</f>
        <v>1</v>
      </c>
      <c r="AQ139" s="76">
        <f t="shared" si="2"/>
        <v>4</v>
      </c>
      <c r="AR139" s="86">
        <f>IFERROR(__xludf.DUMMYFUNCTION("IF(and(REGEXMATCH(S139,""Vengence""),not(REGEXMATCH(S139, ""Protective Markings""))),AQ139,AQ139 * 6 / iferror(R139-1,6))"),6.0)</f>
        <v>6</v>
      </c>
      <c r="AS139" s="88">
        <f t="shared" si="3"/>
        <v>3</v>
      </c>
      <c r="AT139" s="89">
        <f t="shared" si="4"/>
        <v>3</v>
      </c>
      <c r="AU139" s="86">
        <f>IFERROR(__xludf.DUMMYFUNCTION("IF(REGEXMATCH(S139,""&lt;b&gt;Poison&lt;/b&gt;""),1+((1/(7-N139))/3),1)"),1.1111111111111112)</f>
        <v>1.111111111</v>
      </c>
      <c r="AV139" s="86">
        <f>IFERROR(__xludf.DUMMYFUNCTION("IF(REGEXMATCH(S139,""Vengence""),(7 - R139) / 3,0)"),0.0)</f>
        <v>0</v>
      </c>
      <c r="AW139" s="86">
        <f t="shared" si="5"/>
        <v>1.666666667</v>
      </c>
      <c r="AX139" s="84">
        <f t="shared" si="6"/>
        <v>8.5</v>
      </c>
      <c r="AY139" s="76" t="b">
        <f>IFERROR(__xludf.DUMMYFUNCTION("if(regexmatch(G139,""Mage|War Machine""),true,false)"),TRUE)</f>
        <v>1</v>
      </c>
    </row>
    <row r="140" ht="22.5" hidden="1" customHeight="1">
      <c r="A140" s="44" t="s">
        <v>1084</v>
      </c>
      <c r="B140" s="44" t="s">
        <v>1085</v>
      </c>
      <c r="C140" s="44" t="str">
        <f t="shared" si="1"/>
        <v>Silk Court Handmaid</v>
      </c>
      <c r="D140" s="44" t="b">
        <v>1</v>
      </c>
      <c r="E140" s="57" t="s">
        <v>205</v>
      </c>
      <c r="F140" s="44" t="s">
        <v>791</v>
      </c>
      <c r="G140" s="57" t="s">
        <v>159</v>
      </c>
      <c r="H140" s="138"/>
      <c r="I140" s="62">
        <v>3.0</v>
      </c>
      <c r="J140" s="202"/>
      <c r="K140" s="62">
        <v>4.0</v>
      </c>
      <c r="L140" s="62">
        <v>1.0</v>
      </c>
      <c r="M140" s="62">
        <v>1.0</v>
      </c>
      <c r="N140" s="62">
        <v>4.0</v>
      </c>
      <c r="O140" s="64" t="s">
        <v>147</v>
      </c>
      <c r="P140" s="66" t="s">
        <v>380</v>
      </c>
      <c r="Q140" s="62">
        <v>4.0</v>
      </c>
      <c r="R140" s="66" t="s">
        <v>153</v>
      </c>
      <c r="S140" s="67" t="s">
        <v>1086</v>
      </c>
      <c r="T140" s="6">
        <v>3.0</v>
      </c>
      <c r="U140" s="6"/>
      <c r="V140" s="6"/>
      <c r="W140" s="6">
        <v>3.0</v>
      </c>
      <c r="X140" s="76"/>
      <c r="Y140" s="76"/>
      <c r="Z140" s="76"/>
      <c r="AA140" s="76"/>
      <c r="AB140" s="6">
        <v>3.0</v>
      </c>
      <c r="AC140" s="76"/>
      <c r="AD140" s="76"/>
      <c r="AE140" s="68" t="s">
        <v>167</v>
      </c>
      <c r="AF140" s="68" t="s">
        <v>167</v>
      </c>
      <c r="AG140" s="68" t="s">
        <v>167</v>
      </c>
      <c r="AH140" s="69" t="s">
        <v>171</v>
      </c>
      <c r="AI140" s="69" t="s">
        <v>171</v>
      </c>
      <c r="AJ140" s="68" t="s">
        <v>167</v>
      </c>
      <c r="AK140" s="76" t="str">
        <f t="array" ref="AK140">INDEX(Factions!C:C, MATCH(E140, Factions!B:B, 0))</f>
        <v>#f1baff</v>
      </c>
      <c r="AL140" s="6" t="str">
        <f t="array" ref="AL140">INDEX(Factions!D:D, MATCH(E140, Factions!B:B, 0))</f>
        <v>#2d2d2d</v>
      </c>
      <c r="AM140" s="6" t="str">
        <f t="array" ref="AM140">INDEX(Factions!E:E, MATCH(E140, Factions!B:B, 0))</f>
        <v>#000000</v>
      </c>
      <c r="AN140" s="76" t="str">
        <f t="array" ref="AN140">INDEX(Factions!F:F, MATCH(E140, Factions!B:B, 0))</f>
        <v>#ffffff</v>
      </c>
      <c r="AO140" s="76" t="str">
        <f t="array" ref="AO140">concat(INDEX(Factions!G:G, MATCH(E140, Factions!B:B, 0)),".png")</f>
        <v>spiders.png</v>
      </c>
      <c r="AP140" s="84">
        <f>IFERROR(__xludf.DUMMYFUNCTION("MIN(FILTER(M140:M1098, F140:F1098=F140))"),1.0)</f>
        <v>1</v>
      </c>
      <c r="AQ140" s="76">
        <f t="shared" si="2"/>
        <v>4</v>
      </c>
      <c r="AR140" s="86">
        <f>IFERROR(__xludf.DUMMYFUNCTION("IF(and(REGEXMATCH(S140,""Vengence""),not(REGEXMATCH(S140, ""Protective Markings""))),AQ140,AQ140 * 6 / iferror(R140-1,6))"),6.0)</f>
        <v>6</v>
      </c>
      <c r="AS140" s="88">
        <f t="shared" si="3"/>
        <v>3</v>
      </c>
      <c r="AT140" s="89">
        <f t="shared" si="4"/>
        <v>3</v>
      </c>
      <c r="AU140" s="86">
        <f>IFERROR(__xludf.DUMMYFUNCTION("IF(REGEXMATCH(S140,""&lt;b&gt;Poison&lt;/b&gt;""),1+((1/(7-N140))/3),1)"),1.1111111111111112)</f>
        <v>1.111111111</v>
      </c>
      <c r="AV140" s="86">
        <f>IFERROR(__xludf.DUMMYFUNCTION("IF(REGEXMATCH(S140,""Vengence""),(7 - R140) / 3,0)"),0.0)</f>
        <v>0</v>
      </c>
      <c r="AW140" s="86">
        <f t="shared" si="5"/>
        <v>1.666666667</v>
      </c>
      <c r="AX140" s="84">
        <f t="shared" si="6"/>
        <v>8.5</v>
      </c>
      <c r="AY140" s="76" t="b">
        <f>IFERROR(__xludf.DUMMYFUNCTION("if(regexmatch(G140,""Mage|War Machine""),true,false)"),TRUE)</f>
        <v>1</v>
      </c>
    </row>
    <row r="141" ht="22.5" hidden="1" customHeight="1">
      <c r="A141" s="44" t="s">
        <v>1087</v>
      </c>
      <c r="B141" s="44" t="s">
        <v>1088</v>
      </c>
      <c r="C141" s="44" t="str">
        <f t="shared" si="1"/>
        <v>Silk Court Broodmother</v>
      </c>
      <c r="D141" s="44" t="b">
        <v>1</v>
      </c>
      <c r="E141" s="57" t="s">
        <v>205</v>
      </c>
      <c r="F141" s="44" t="s">
        <v>791</v>
      </c>
      <c r="G141" s="57" t="s">
        <v>163</v>
      </c>
      <c r="H141" s="138"/>
      <c r="I141" s="62">
        <v>3.0</v>
      </c>
      <c r="J141" s="202"/>
      <c r="K141" s="62">
        <v>0.0</v>
      </c>
      <c r="L141" s="62">
        <v>1.0</v>
      </c>
      <c r="M141" s="62">
        <v>2.0</v>
      </c>
      <c r="N141" s="62">
        <v>4.0</v>
      </c>
      <c r="O141" s="64" t="s">
        <v>147</v>
      </c>
      <c r="P141" s="66" t="s">
        <v>153</v>
      </c>
      <c r="Q141" s="62">
        <v>8.0</v>
      </c>
      <c r="R141" s="66" t="s">
        <v>194</v>
      </c>
      <c r="S141" s="67" t="s">
        <v>1089</v>
      </c>
      <c r="T141" s="6">
        <v>7.0</v>
      </c>
      <c r="U141" s="6"/>
      <c r="V141" s="6"/>
      <c r="W141" s="6"/>
      <c r="X141" s="76"/>
      <c r="Y141" s="6">
        <v>3.0</v>
      </c>
      <c r="Z141" s="6">
        <v>3.0</v>
      </c>
      <c r="AA141" s="6">
        <v>3.0</v>
      </c>
      <c r="AB141" s="6"/>
      <c r="AC141" s="76"/>
      <c r="AD141" s="76"/>
      <c r="AE141" s="90" t="s">
        <v>195</v>
      </c>
      <c r="AF141" s="68" t="s">
        <v>167</v>
      </c>
      <c r="AG141" s="68" t="s">
        <v>167</v>
      </c>
      <c r="AH141" s="90" t="s">
        <v>195</v>
      </c>
      <c r="AI141" s="129" t="s">
        <v>354</v>
      </c>
      <c r="AJ141" s="90" t="s">
        <v>195</v>
      </c>
      <c r="AK141" s="76" t="str">
        <f t="array" ref="AK141">INDEX(Factions!C:C, MATCH(E141, Factions!B:B, 0))</f>
        <v>#f1baff</v>
      </c>
      <c r="AL141" s="6" t="str">
        <f t="array" ref="AL141">INDEX(Factions!D:D, MATCH(E141, Factions!B:B, 0))</f>
        <v>#2d2d2d</v>
      </c>
      <c r="AM141" s="6" t="str">
        <f t="array" ref="AM141">INDEX(Factions!E:E, MATCH(E141, Factions!B:B, 0))</f>
        <v>#000000</v>
      </c>
      <c r="AN141" s="76" t="str">
        <f t="array" ref="AN141">INDEX(Factions!F:F, MATCH(E141, Factions!B:B, 0))</f>
        <v>#ffffff</v>
      </c>
      <c r="AO141" s="76" t="str">
        <f t="array" ref="AO141">concat(INDEX(Factions!G:G, MATCH(E141, Factions!B:B, 0)),".png")</f>
        <v>spiders.png</v>
      </c>
      <c r="AP141" s="84">
        <f>IFERROR(__xludf.DUMMYFUNCTION("MIN(FILTER(M141:M1098, F141:F1098=F141))"),1.0)</f>
        <v>1</v>
      </c>
      <c r="AQ141" s="76">
        <f t="shared" si="2"/>
        <v>8</v>
      </c>
      <c r="AR141" s="86">
        <f>IFERROR(__xludf.DUMMYFUNCTION("IF(and(REGEXMATCH(S141,""Vengence""),not(REGEXMATCH(S141, ""Protective Markings""))),AQ141,AQ141 * 6 / iferror(R141-1,6))"),16.0)</f>
        <v>16</v>
      </c>
      <c r="AS141" s="88">
        <f t="shared" si="3"/>
        <v>5</v>
      </c>
      <c r="AT141" s="89">
        <f t="shared" si="4"/>
        <v>5</v>
      </c>
      <c r="AU141" s="86">
        <f>IFERROR(__xludf.DUMMYFUNCTION("IF(REGEXMATCH(S141,""&lt;b&gt;Poison&lt;/b&gt;""),1+((1/(7-N141))/3),1)"),1.1111111111111112)</f>
        <v>1.111111111</v>
      </c>
      <c r="AV141" s="86">
        <f>IFERROR(__xludf.DUMMYFUNCTION("IF(REGEXMATCH(S141,""Vengence""),(7 - R141) / 3,0)"),0.0)</f>
        <v>0</v>
      </c>
      <c r="AW141" s="86">
        <f t="shared" si="5"/>
        <v>2.777777778</v>
      </c>
      <c r="AX141" s="84">
        <f t="shared" si="6"/>
        <v>20.16666667</v>
      </c>
      <c r="AY141" s="76" t="b">
        <f>IFERROR(__xludf.DUMMYFUNCTION("if(regexmatch(G141,""Mage|War Machine""),true,false)"),FALSE)</f>
        <v>0</v>
      </c>
    </row>
    <row r="142" ht="22.5" hidden="1" customHeight="1">
      <c r="A142" s="6" t="s">
        <v>1090</v>
      </c>
      <c r="B142" s="6" t="s">
        <v>1091</v>
      </c>
      <c r="C142" s="6" t="str">
        <f t="shared" si="1"/>
        <v>Redspines Crowcaller</v>
      </c>
      <c r="D142" s="44" t="b">
        <v>1</v>
      </c>
      <c r="E142" s="5" t="s">
        <v>204</v>
      </c>
      <c r="F142" s="134" t="s">
        <v>791</v>
      </c>
      <c r="G142" s="5" t="s">
        <v>159</v>
      </c>
      <c r="H142" s="138"/>
      <c r="I142" s="135">
        <v>3.0</v>
      </c>
      <c r="J142" s="135"/>
      <c r="K142" s="135">
        <v>3.0</v>
      </c>
      <c r="L142" s="135">
        <v>1.0</v>
      </c>
      <c r="M142" s="135">
        <v>1.0</v>
      </c>
      <c r="N142" s="135">
        <v>4.0</v>
      </c>
      <c r="O142" s="60" t="s">
        <v>147</v>
      </c>
      <c r="P142" s="136" t="s">
        <v>380</v>
      </c>
      <c r="Q142" s="135">
        <v>5.0</v>
      </c>
      <c r="R142" s="136" t="s">
        <v>153</v>
      </c>
      <c r="S142" s="67" t="s">
        <v>1092</v>
      </c>
      <c r="T142" s="6">
        <v>3.0</v>
      </c>
      <c r="U142" s="6"/>
      <c r="V142" s="6"/>
      <c r="W142" s="6">
        <v>3.0</v>
      </c>
      <c r="X142" s="76"/>
      <c r="Y142" s="6">
        <v>3.0</v>
      </c>
      <c r="Z142" s="6">
        <v>3.0</v>
      </c>
      <c r="AA142" s="6">
        <v>3.0</v>
      </c>
      <c r="AB142" s="6">
        <v>3.0</v>
      </c>
      <c r="AC142" s="6"/>
      <c r="AD142" s="6"/>
      <c r="AE142" s="68" t="s">
        <v>167</v>
      </c>
      <c r="AF142" s="68" t="s">
        <v>167</v>
      </c>
      <c r="AG142" s="68" t="s">
        <v>167</v>
      </c>
      <c r="AH142" s="69" t="s">
        <v>171</v>
      </c>
      <c r="AI142" s="68" t="s">
        <v>167</v>
      </c>
      <c r="AJ142" s="68" t="s">
        <v>167</v>
      </c>
      <c r="AK142" s="76" t="str">
        <f t="array" ref="AK142">INDEX(Factions!C:C, MATCH(E142, Factions!B:B, 0))</f>
        <v>#e78e7e</v>
      </c>
      <c r="AL142" s="6" t="str">
        <f t="array" ref="AL142">INDEX(Factions!D:D, MATCH(E142, Factions!B:B, 0))</f>
        <v>#cf0000</v>
      </c>
      <c r="AM142" s="6" t="str">
        <f t="array" ref="AM142">INDEX(Factions!E:E, MATCH(E142, Factions!B:B, 0))</f>
        <v>#000000</v>
      </c>
      <c r="AN142" s="76" t="str">
        <f t="array" ref="AN142">INDEX(Factions!F:F, MATCH(E142, Factions!B:B, 0))</f>
        <v>#ffffff</v>
      </c>
      <c r="AO142" s="76" t="str">
        <f t="array" ref="AO142">concat(INDEX(Factions!G:G, MATCH(E142, Factions!B:B, 0)),".png")</f>
        <v>redspines.png</v>
      </c>
      <c r="AP142" s="84">
        <f>IFERROR(__xludf.DUMMYFUNCTION("MIN(FILTER(M142:M1098, F142:F1098=F142))"),1.0)</f>
        <v>1</v>
      </c>
      <c r="AQ142" s="76">
        <f t="shared" si="2"/>
        <v>5</v>
      </c>
      <c r="AR142" s="86">
        <f>IFERROR(__xludf.DUMMYFUNCTION("IF(and(REGEXMATCH(S142,""Vengence""),not(REGEXMATCH(S142, ""Protective Markings""))),AQ142,AQ142 * 6 / iferror(R142-1,6))"),7.5)</f>
        <v>7.5</v>
      </c>
      <c r="AS142" s="88">
        <f t="shared" si="3"/>
        <v>3</v>
      </c>
      <c r="AT142" s="89">
        <f t="shared" si="4"/>
        <v>3</v>
      </c>
      <c r="AU142" s="86">
        <f>IFERROR(__xludf.DUMMYFUNCTION("IF(REGEXMATCH(S142,""&lt;b&gt;Poison&lt;/b&gt;""),1+((1/(7-N142))/3),1)"),1.0)</f>
        <v>1</v>
      </c>
      <c r="AV142" s="86">
        <f>IFERROR(__xludf.DUMMYFUNCTION("IF(REGEXMATCH(S142,""Vengence""),(7 - R142) / 3,0)"),0.6666666666666666)</f>
        <v>0.6666666667</v>
      </c>
      <c r="AW142" s="86">
        <f t="shared" si="5"/>
        <v>2.166666667</v>
      </c>
      <c r="AX142" s="84">
        <f t="shared" si="6"/>
        <v>10.75</v>
      </c>
      <c r="AY142" s="76" t="b">
        <f>IFERROR(__xludf.DUMMYFUNCTION("if(regexmatch(G142,""Mage|War Machine""),true,false)"),TRUE)</f>
        <v>1</v>
      </c>
    </row>
    <row r="143" ht="22.5" hidden="1" customHeight="1">
      <c r="A143" s="6" t="s">
        <v>1093</v>
      </c>
      <c r="B143" s="6" t="s">
        <v>1094</v>
      </c>
      <c r="C143" s="6" t="str">
        <f t="shared" si="1"/>
        <v>Redspines The Brewer</v>
      </c>
      <c r="D143" s="44" t="b">
        <v>1</v>
      </c>
      <c r="E143" s="5" t="s">
        <v>204</v>
      </c>
      <c r="F143" s="134" t="s">
        <v>791</v>
      </c>
      <c r="G143" s="5" t="s">
        <v>159</v>
      </c>
      <c r="H143" s="138"/>
      <c r="I143" s="135">
        <v>3.0</v>
      </c>
      <c r="J143" s="135"/>
      <c r="K143" s="135">
        <v>3.0</v>
      </c>
      <c r="L143" s="135">
        <v>1.0</v>
      </c>
      <c r="M143" s="135">
        <v>1.0</v>
      </c>
      <c r="N143" s="135">
        <v>5.0</v>
      </c>
      <c r="O143" s="60" t="s">
        <v>147</v>
      </c>
      <c r="P143" s="136" t="s">
        <v>380</v>
      </c>
      <c r="Q143" s="135">
        <v>4.0</v>
      </c>
      <c r="R143" s="136" t="s">
        <v>153</v>
      </c>
      <c r="S143" s="67" t="s">
        <v>1095</v>
      </c>
      <c r="T143" s="6">
        <v>3.0</v>
      </c>
      <c r="U143" s="6"/>
      <c r="V143" s="6"/>
      <c r="W143" s="6">
        <v>3.0</v>
      </c>
      <c r="X143" s="76"/>
      <c r="Y143" s="6"/>
      <c r="Z143" s="6"/>
      <c r="AA143" s="6"/>
      <c r="AB143" s="6">
        <v>3.0</v>
      </c>
      <c r="AC143" s="6"/>
      <c r="AD143" s="6"/>
      <c r="AE143" s="68" t="s">
        <v>167</v>
      </c>
      <c r="AF143" s="69" t="s">
        <v>171</v>
      </c>
      <c r="AG143" s="68" t="s">
        <v>167</v>
      </c>
      <c r="AH143" s="69" t="s">
        <v>171</v>
      </c>
      <c r="AI143" s="69" t="s">
        <v>171</v>
      </c>
      <c r="AJ143" s="68" t="s">
        <v>167</v>
      </c>
      <c r="AK143" s="76" t="str">
        <f t="array" ref="AK143">INDEX(Factions!C:C, MATCH(E143, Factions!B:B, 0))</f>
        <v>#e78e7e</v>
      </c>
      <c r="AL143" s="6" t="str">
        <f t="array" ref="AL143">INDEX(Factions!D:D, MATCH(E143, Factions!B:B, 0))</f>
        <v>#cf0000</v>
      </c>
      <c r="AM143" s="6" t="str">
        <f t="array" ref="AM143">INDEX(Factions!E:E, MATCH(E143, Factions!B:B, 0))</f>
        <v>#000000</v>
      </c>
      <c r="AN143" s="76" t="str">
        <f t="array" ref="AN143">INDEX(Factions!F:F, MATCH(E143, Factions!B:B, 0))</f>
        <v>#ffffff</v>
      </c>
      <c r="AO143" s="76" t="str">
        <f t="array" ref="AO143">concat(INDEX(Factions!G:G, MATCH(E143, Factions!B:B, 0)),".png")</f>
        <v>redspines.png</v>
      </c>
      <c r="AP143" s="84">
        <f>IFERROR(__xludf.DUMMYFUNCTION("MIN(FILTER(M143:M1098, F143:F1098=F143))"),1.0)</f>
        <v>1</v>
      </c>
      <c r="AQ143" s="76">
        <f t="shared" si="2"/>
        <v>4</v>
      </c>
      <c r="AR143" s="86">
        <f>IFERROR(__xludf.DUMMYFUNCTION("IF(and(REGEXMATCH(S143,""Vengence""),not(REGEXMATCH(S143, ""Protective Markings""))),AQ143,AQ143 * 6 / iferror(R143-1,6))"),6.0)</f>
        <v>6</v>
      </c>
      <c r="AS143" s="88">
        <f t="shared" si="3"/>
        <v>3</v>
      </c>
      <c r="AT143" s="89">
        <f t="shared" si="4"/>
        <v>3</v>
      </c>
      <c r="AU143" s="86">
        <f>IFERROR(__xludf.DUMMYFUNCTION("IF(REGEXMATCH(S143,""&lt;b&gt;Poison&lt;/b&gt;""),1+((1/(7-N143))/3),1)"),1.0)</f>
        <v>1</v>
      </c>
      <c r="AV143" s="86">
        <f>IFERROR(__xludf.DUMMYFUNCTION("IF(REGEXMATCH(S143,""Vengence""),(7 - R143) / 3,0)"),0.6666666666666666)</f>
        <v>0.6666666667</v>
      </c>
      <c r="AW143" s="86">
        <f t="shared" si="5"/>
        <v>1.666666667</v>
      </c>
      <c r="AX143" s="84">
        <f t="shared" si="6"/>
        <v>8.5</v>
      </c>
      <c r="AY143" s="76" t="b">
        <f>IFERROR(__xludf.DUMMYFUNCTION("if(regexmatch(G143,""Mage|War Machine""),true,false)"),TRUE)</f>
        <v>1</v>
      </c>
    </row>
    <row r="144" ht="22.5" hidden="1" customHeight="1">
      <c r="A144" s="6" t="s">
        <v>1096</v>
      </c>
      <c r="B144" s="6" t="s">
        <v>1097</v>
      </c>
      <c r="C144" s="6" t="str">
        <f t="shared" si="1"/>
        <v>Redspines Executioner</v>
      </c>
      <c r="D144" s="44" t="b">
        <v>1</v>
      </c>
      <c r="E144" s="5" t="s">
        <v>204</v>
      </c>
      <c r="F144" s="134" t="s">
        <v>791</v>
      </c>
      <c r="G144" s="5" t="s">
        <v>162</v>
      </c>
      <c r="H144" s="138"/>
      <c r="I144" s="135">
        <v>3.0</v>
      </c>
      <c r="J144" s="135"/>
      <c r="K144" s="135">
        <v>3.0</v>
      </c>
      <c r="L144" s="135">
        <v>1.0</v>
      </c>
      <c r="M144" s="135">
        <v>1.0</v>
      </c>
      <c r="N144" s="135">
        <v>3.0</v>
      </c>
      <c r="O144" s="60">
        <v>5.0</v>
      </c>
      <c r="P144" s="136" t="s">
        <v>217</v>
      </c>
      <c r="Q144" s="135">
        <v>7.0</v>
      </c>
      <c r="R144" s="136" t="s">
        <v>153</v>
      </c>
      <c r="S144" s="67" t="s">
        <v>1098</v>
      </c>
      <c r="T144" s="6">
        <v>8.0</v>
      </c>
      <c r="U144" s="67" t="s">
        <v>425</v>
      </c>
      <c r="V144" s="76"/>
      <c r="W144" s="76"/>
      <c r="X144" s="76"/>
      <c r="Y144" s="6"/>
      <c r="Z144" s="6">
        <v>3.0</v>
      </c>
      <c r="AA144" s="6"/>
      <c r="AB144" s="6"/>
      <c r="AC144" s="6">
        <v>1.0</v>
      </c>
      <c r="AD144" s="6">
        <v>3.0</v>
      </c>
      <c r="AE144" s="68" t="s">
        <v>167</v>
      </c>
      <c r="AF144" s="90" t="s">
        <v>195</v>
      </c>
      <c r="AG144" s="68" t="s">
        <v>167</v>
      </c>
      <c r="AH144" s="90" t="s">
        <v>195</v>
      </c>
      <c r="AI144" s="90" t="s">
        <v>195</v>
      </c>
      <c r="AJ144" s="68" t="s">
        <v>167</v>
      </c>
      <c r="AK144" s="76" t="str">
        <f t="array" ref="AK144">INDEX(Factions!C:C, MATCH(E144, Factions!B:B, 0))</f>
        <v>#e78e7e</v>
      </c>
      <c r="AL144" s="6" t="str">
        <f t="array" ref="AL144">INDEX(Factions!D:D, MATCH(E144, Factions!B:B, 0))</f>
        <v>#cf0000</v>
      </c>
      <c r="AM144" s="6" t="str">
        <f t="array" ref="AM144">INDEX(Factions!E:E, MATCH(E144, Factions!B:B, 0))</f>
        <v>#000000</v>
      </c>
      <c r="AN144" s="76" t="str">
        <f t="array" ref="AN144">INDEX(Factions!F:F, MATCH(E144, Factions!B:B, 0))</f>
        <v>#ffffff</v>
      </c>
      <c r="AO144" s="76" t="str">
        <f t="array" ref="AO144">concat(INDEX(Factions!G:G, MATCH(E144, Factions!B:B, 0)),".png")</f>
        <v>redspines.png</v>
      </c>
      <c r="AP144" s="84">
        <f>IFERROR(__xludf.DUMMYFUNCTION("MIN(FILTER(M144:M1098, F144:F1098=F144))"),1.0)</f>
        <v>1</v>
      </c>
      <c r="AQ144" s="76">
        <f t="shared" si="2"/>
        <v>7</v>
      </c>
      <c r="AR144" s="86">
        <f>IFERROR(__xludf.DUMMYFUNCTION("IF(and(REGEXMATCH(S144,""Vengence""),not(REGEXMATCH(S144, ""Protective Markings""))),AQ144,AQ144 * 6 / iferror(R144-1,6))"),7.0)</f>
        <v>7</v>
      </c>
      <c r="AS144" s="88">
        <f t="shared" si="3"/>
        <v>6</v>
      </c>
      <c r="AT144" s="89">
        <f t="shared" si="4"/>
        <v>6</v>
      </c>
      <c r="AU144" s="86">
        <f>IFERROR(__xludf.DUMMYFUNCTION("IF(REGEXMATCH(S144,""&lt;b&gt;Poison&lt;/b&gt;""),1+((1/(7-N144))/3),1)"),1.0)</f>
        <v>1</v>
      </c>
      <c r="AV144" s="86">
        <f>IFERROR(__xludf.DUMMYFUNCTION("IF(REGEXMATCH(S144,""Vengence""),(7 - R144) / 3,0)"),0.6666666666666666)</f>
        <v>0.6666666667</v>
      </c>
      <c r="AW144" s="86">
        <f t="shared" si="5"/>
        <v>4.666666667</v>
      </c>
      <c r="AX144" s="84">
        <f t="shared" si="6"/>
        <v>14</v>
      </c>
      <c r="AY144" s="76" t="b">
        <f>IFERROR(__xludf.DUMMYFUNCTION("if(regexmatch(G144,""Mage|War Machine""),true,false)"),FALSE)</f>
        <v>0</v>
      </c>
    </row>
    <row r="145" ht="22.5" hidden="1" customHeight="1">
      <c r="A145" s="6" t="s">
        <v>1099</v>
      </c>
      <c r="B145" s="6" t="s">
        <v>1100</v>
      </c>
      <c r="C145" s="6" t="str">
        <f t="shared" si="1"/>
        <v>Redspines Raidleader</v>
      </c>
      <c r="D145" s="44" t="b">
        <v>1</v>
      </c>
      <c r="E145" s="5" t="s">
        <v>204</v>
      </c>
      <c r="F145" s="134" t="s">
        <v>791</v>
      </c>
      <c r="G145" s="5" t="s">
        <v>164</v>
      </c>
      <c r="H145" s="138"/>
      <c r="I145" s="135">
        <v>3.0</v>
      </c>
      <c r="J145" s="135"/>
      <c r="K145" s="135">
        <v>3.0</v>
      </c>
      <c r="L145" s="135">
        <v>1.0</v>
      </c>
      <c r="M145" s="135">
        <v>2.0</v>
      </c>
      <c r="N145" s="135">
        <v>3.0</v>
      </c>
      <c r="O145" s="60">
        <v>4.0</v>
      </c>
      <c r="P145" s="136" t="s">
        <v>194</v>
      </c>
      <c r="Q145" s="135">
        <v>6.0</v>
      </c>
      <c r="R145" s="136" t="s">
        <v>153</v>
      </c>
      <c r="S145" s="67" t="s">
        <v>1101</v>
      </c>
      <c r="T145" s="6">
        <v>5.0</v>
      </c>
      <c r="U145" s="6" t="s">
        <v>1102</v>
      </c>
      <c r="V145" s="76"/>
      <c r="W145" s="76"/>
      <c r="X145" s="76"/>
      <c r="Y145" s="6">
        <v>3.0</v>
      </c>
      <c r="Z145" s="6">
        <v>3.0</v>
      </c>
      <c r="AA145" s="6">
        <v>3.0</v>
      </c>
      <c r="AB145" s="6">
        <v>3.0</v>
      </c>
      <c r="AC145" s="6">
        <v>3.0</v>
      </c>
      <c r="AD145" s="6">
        <v>3.0</v>
      </c>
      <c r="AE145" s="90" t="s">
        <v>195</v>
      </c>
      <c r="AF145" s="90" t="s">
        <v>195</v>
      </c>
      <c r="AG145" s="90" t="s">
        <v>195</v>
      </c>
      <c r="AH145" s="68" t="s">
        <v>167</v>
      </c>
      <c r="AI145" s="68" t="s">
        <v>167</v>
      </c>
      <c r="AJ145" s="68" t="s">
        <v>167</v>
      </c>
      <c r="AK145" s="76" t="str">
        <f t="array" ref="AK145">INDEX(Factions!C:C, MATCH(E145, Factions!B:B, 0))</f>
        <v>#e78e7e</v>
      </c>
      <c r="AL145" s="6" t="str">
        <f t="array" ref="AL145">INDEX(Factions!D:D, MATCH(E145, Factions!B:B, 0))</f>
        <v>#cf0000</v>
      </c>
      <c r="AM145" s="6" t="str">
        <f t="array" ref="AM145">INDEX(Factions!E:E, MATCH(E145, Factions!B:B, 0))</f>
        <v>#000000</v>
      </c>
      <c r="AN145" s="76" t="str">
        <f t="array" ref="AN145">INDEX(Factions!F:F, MATCH(E145, Factions!B:B, 0))</f>
        <v>#ffffff</v>
      </c>
      <c r="AO145" s="76" t="str">
        <f t="array" ref="AO145">concat(INDEX(Factions!G:G, MATCH(E145, Factions!B:B, 0)),".png")</f>
        <v>redspines.png</v>
      </c>
      <c r="AP145" s="84">
        <f>IFERROR(__xludf.DUMMYFUNCTION("MIN(FILTER(M145:M1098, F145:F1098=F145))"),1.0)</f>
        <v>1</v>
      </c>
      <c r="AQ145" s="76">
        <f t="shared" si="2"/>
        <v>6</v>
      </c>
      <c r="AR145" s="86">
        <f>IFERROR(__xludf.DUMMYFUNCTION("IF(and(REGEXMATCH(S145,""Vengence""),not(REGEXMATCH(S145, ""Protective Markings""))),AQ145,AQ145 * 6 / iferror(R145-1,6))"),6.0)</f>
        <v>6</v>
      </c>
      <c r="AS145" s="88">
        <f t="shared" si="3"/>
        <v>4</v>
      </c>
      <c r="AT145" s="89">
        <f t="shared" si="4"/>
        <v>4</v>
      </c>
      <c r="AU145" s="86">
        <f>IFERROR(__xludf.DUMMYFUNCTION("IF(REGEXMATCH(S145,""&lt;b&gt;Poison&lt;/b&gt;""),1+((1/(7-N145))/3),1)"),1.0)</f>
        <v>1</v>
      </c>
      <c r="AV145" s="86">
        <f>IFERROR(__xludf.DUMMYFUNCTION("IF(REGEXMATCH(S145,""Vengence""),(7 - R145) / 3,0)"),0.6666666666666666)</f>
        <v>0.6666666667</v>
      </c>
      <c r="AW145" s="86">
        <f t="shared" si="5"/>
        <v>3.333333333</v>
      </c>
      <c r="AX145" s="84">
        <f t="shared" si="6"/>
        <v>11</v>
      </c>
      <c r="AY145" s="76" t="b">
        <f>IFERROR(__xludf.DUMMYFUNCTION("if(regexmatch(G145,""Mage|War Machine""),true,false)"),FALSE)</f>
        <v>0</v>
      </c>
    </row>
    <row r="146" ht="22.5" hidden="1" customHeight="1">
      <c r="A146" s="6" t="s">
        <v>1103</v>
      </c>
      <c r="B146" s="6" t="s">
        <v>1104</v>
      </c>
      <c r="C146" s="6" t="str">
        <f t="shared" si="1"/>
        <v>Redspines Battleboar</v>
      </c>
      <c r="D146" s="44" t="b">
        <v>1</v>
      </c>
      <c r="E146" s="5" t="s">
        <v>204</v>
      </c>
      <c r="F146" s="134" t="s">
        <v>791</v>
      </c>
      <c r="G146" s="5" t="s">
        <v>163</v>
      </c>
      <c r="H146" s="138"/>
      <c r="I146" s="135">
        <v>3.0</v>
      </c>
      <c r="J146" s="135"/>
      <c r="K146" s="135">
        <v>0.0</v>
      </c>
      <c r="L146" s="135">
        <v>1.0</v>
      </c>
      <c r="M146" s="135">
        <v>2.0</v>
      </c>
      <c r="N146" s="135">
        <v>4.0</v>
      </c>
      <c r="O146" s="60" t="s">
        <v>147</v>
      </c>
      <c r="P146" s="136" t="s">
        <v>153</v>
      </c>
      <c r="Q146" s="135">
        <v>9.0</v>
      </c>
      <c r="R146" s="136" t="s">
        <v>194</v>
      </c>
      <c r="S146" s="67" t="s">
        <v>1105</v>
      </c>
      <c r="T146" s="6">
        <v>7.0</v>
      </c>
      <c r="U146" s="76"/>
      <c r="V146" s="76"/>
      <c r="W146" s="76"/>
      <c r="X146" s="76"/>
      <c r="Y146" s="6"/>
      <c r="Z146" s="6"/>
      <c r="AA146" s="6"/>
      <c r="AB146" s="6"/>
      <c r="AC146" s="6"/>
      <c r="AD146" s="6"/>
      <c r="AE146" s="90" t="s">
        <v>195</v>
      </c>
      <c r="AF146" s="68" t="s">
        <v>167</v>
      </c>
      <c r="AG146" s="68" t="s">
        <v>167</v>
      </c>
      <c r="AH146" s="90" t="s">
        <v>195</v>
      </c>
      <c r="AI146" s="129" t="s">
        <v>354</v>
      </c>
      <c r="AJ146" s="90" t="s">
        <v>195</v>
      </c>
      <c r="AK146" s="76" t="str">
        <f t="array" ref="AK146">INDEX(Factions!C:C, MATCH(E146, Factions!B:B, 0))</f>
        <v>#e78e7e</v>
      </c>
      <c r="AL146" s="6" t="str">
        <f t="array" ref="AL146">INDEX(Factions!D:D, MATCH(E146, Factions!B:B, 0))</f>
        <v>#cf0000</v>
      </c>
      <c r="AM146" s="6" t="str">
        <f t="array" ref="AM146">INDEX(Factions!E:E, MATCH(E146, Factions!B:B, 0))</f>
        <v>#000000</v>
      </c>
      <c r="AN146" s="76" t="str">
        <f t="array" ref="AN146">INDEX(Factions!F:F, MATCH(E146, Factions!B:B, 0))</f>
        <v>#ffffff</v>
      </c>
      <c r="AO146" s="76" t="str">
        <f t="array" ref="AO146">concat(INDEX(Factions!G:G, MATCH(E146, Factions!B:B, 0)),".png")</f>
        <v>redspines.png</v>
      </c>
      <c r="AP146" s="84">
        <f>IFERROR(__xludf.DUMMYFUNCTION("MIN(FILTER(M146:M1098, F146:F1098=F146))"),1.0)</f>
        <v>1</v>
      </c>
      <c r="AQ146" s="76">
        <f t="shared" si="2"/>
        <v>9</v>
      </c>
      <c r="AR146" s="86">
        <f>IFERROR(__xludf.DUMMYFUNCTION("IF(and(REGEXMATCH(S146,""Vengence""),not(REGEXMATCH(S146, ""Protective Markings""))),AQ146,AQ146 * 6 / iferror(R146-1,6))"),9.0)</f>
        <v>9</v>
      </c>
      <c r="AS146" s="88">
        <f t="shared" si="3"/>
        <v>5</v>
      </c>
      <c r="AT146" s="89">
        <f t="shared" si="4"/>
        <v>5</v>
      </c>
      <c r="AU146" s="86">
        <f>IFERROR(__xludf.DUMMYFUNCTION("IF(REGEXMATCH(S146,""&lt;b&gt;Poison&lt;/b&gt;""),1+((1/(7-N146))/3),1)"),1.0)</f>
        <v>1</v>
      </c>
      <c r="AV146" s="86">
        <f>IFERROR(__xludf.DUMMYFUNCTION("IF(REGEXMATCH(S146,""Vengence""),(7 - R146) / 3,0)"),1.0)</f>
        <v>1</v>
      </c>
      <c r="AW146" s="86">
        <f t="shared" si="5"/>
        <v>3.5</v>
      </c>
      <c r="AX146" s="84">
        <f t="shared" si="6"/>
        <v>14.25</v>
      </c>
      <c r="AY146" s="76" t="b">
        <f>IFERROR(__xludf.DUMMYFUNCTION("if(regexmatch(G146,""Mage|War Machine""),true,false)"),FALSE)</f>
        <v>0</v>
      </c>
    </row>
    <row r="147" ht="22.5" hidden="1" customHeight="1">
      <c r="A147" s="6" t="s">
        <v>1106</v>
      </c>
      <c r="B147" s="6" t="s">
        <v>1107</v>
      </c>
      <c r="C147" s="6" t="str">
        <f t="shared" si="1"/>
        <v>Coppersand Master Sapper</v>
      </c>
      <c r="D147" s="44" t="b">
        <v>1</v>
      </c>
      <c r="E147" s="57" t="s">
        <v>201</v>
      </c>
      <c r="F147" s="134" t="s">
        <v>791</v>
      </c>
      <c r="G147" s="5" t="s">
        <v>161</v>
      </c>
      <c r="H147" s="138"/>
      <c r="I147" s="135">
        <v>3.0</v>
      </c>
      <c r="J147" s="137"/>
      <c r="K147" s="60">
        <v>3.0</v>
      </c>
      <c r="L147" s="135">
        <v>1.0</v>
      </c>
      <c r="M147" s="135">
        <v>2.0</v>
      </c>
      <c r="N147" s="135">
        <v>4.0</v>
      </c>
      <c r="O147" s="60">
        <v>4.0</v>
      </c>
      <c r="P147" s="136" t="s">
        <v>194</v>
      </c>
      <c r="Q147" s="135">
        <v>6.0</v>
      </c>
      <c r="R147" s="136" t="s">
        <v>153</v>
      </c>
      <c r="S147" s="67" t="s">
        <v>1108</v>
      </c>
      <c r="T147" s="6">
        <v>3.0</v>
      </c>
      <c r="U147" s="76"/>
      <c r="V147" s="76"/>
      <c r="W147" s="76"/>
      <c r="X147" s="76"/>
      <c r="Y147" s="6">
        <v>3.0</v>
      </c>
      <c r="Z147" s="6">
        <v>3.0</v>
      </c>
      <c r="AA147" s="6">
        <v>3.0</v>
      </c>
      <c r="AB147" s="6">
        <v>3.0</v>
      </c>
      <c r="AC147" s="6">
        <v>3.0</v>
      </c>
      <c r="AD147" s="6">
        <v>3.0</v>
      </c>
      <c r="AE147" s="90" t="s">
        <v>195</v>
      </c>
      <c r="AF147" s="68" t="s">
        <v>167</v>
      </c>
      <c r="AG147" s="90" t="s">
        <v>195</v>
      </c>
      <c r="AH147" s="68" t="s">
        <v>167</v>
      </c>
      <c r="AI147" s="68" t="s">
        <v>167</v>
      </c>
      <c r="AJ147" s="68" t="s">
        <v>167</v>
      </c>
      <c r="AK147" s="76" t="str">
        <f t="array" ref="AK147">INDEX(Factions!C:C, MATCH(E147, Factions!B:B, 0))</f>
        <v>#ffb317</v>
      </c>
      <c r="AL147" s="6" t="str">
        <f t="array" ref="AL147">INDEX(Factions!D:D, MATCH(E147, Factions!B:B, 0))</f>
        <v>#cf6c23</v>
      </c>
      <c r="AM147" s="6" t="str">
        <f t="array" ref="AM147">INDEX(Factions!E:E, MATCH(E147, Factions!B:B, 0))</f>
        <v>#000000</v>
      </c>
      <c r="AN147" s="76" t="str">
        <f t="array" ref="AN147">INDEX(Factions!F:F, MATCH(E147, Factions!B:B, 0))</f>
        <v>#ffffff</v>
      </c>
      <c r="AO147" s="76" t="str">
        <f t="array" ref="AO147">concat(INDEX(Factions!G:G, MATCH(E147, Factions!B:B, 0)),".png")</f>
        <v>gremlins.png</v>
      </c>
      <c r="AP147" s="84">
        <f>IFERROR(__xludf.DUMMYFUNCTION("MIN(FILTER(M147:M1098, F147:F1098=F147))"),1.0)</f>
        <v>1</v>
      </c>
      <c r="AQ147" s="76">
        <f t="shared" si="2"/>
        <v>6</v>
      </c>
      <c r="AR147" s="86">
        <f>IFERROR(__xludf.DUMMYFUNCTION("IF(and(REGEXMATCH(S147,""Vengence""),not(REGEXMATCH(S147, ""Protective Markings""))),AQ147,AQ147 * 6 / iferror(R147-1,6))"),9.0)</f>
        <v>9</v>
      </c>
      <c r="AS147" s="88">
        <f t="shared" si="3"/>
        <v>4</v>
      </c>
      <c r="AT147" s="89">
        <f t="shared" si="4"/>
        <v>4</v>
      </c>
      <c r="AU147" s="86">
        <f>IFERROR(__xludf.DUMMYFUNCTION("IF(REGEXMATCH(S147,""&lt;b&gt;Poison&lt;/b&gt;""),1+((1/(7-N147))/3),1)"),1.0)</f>
        <v>1</v>
      </c>
      <c r="AV147" s="86">
        <f>IFERROR(__xludf.DUMMYFUNCTION("IF(REGEXMATCH(S147,""Vengence""),(7 - R147) / 3,0)"),0.0)</f>
        <v>0</v>
      </c>
      <c r="AW147" s="86">
        <f t="shared" si="5"/>
        <v>2</v>
      </c>
      <c r="AX147" s="84">
        <f t="shared" si="6"/>
        <v>12</v>
      </c>
      <c r="AY147" s="76" t="b">
        <f>IFERROR(__xludf.DUMMYFUNCTION("if(regexmatch(G147,""Mage|War Machine""),true,false)"),FALSE)</f>
        <v>0</v>
      </c>
    </row>
    <row r="148" ht="22.5" hidden="1" customHeight="1">
      <c r="A148" s="6" t="s">
        <v>1109</v>
      </c>
      <c r="B148" s="6" t="s">
        <v>1110</v>
      </c>
      <c r="C148" s="6" t="str">
        <f t="shared" si="1"/>
        <v>Coppersand Gatebreaker</v>
      </c>
      <c r="D148" s="44" t="b">
        <v>1</v>
      </c>
      <c r="E148" s="57" t="s">
        <v>201</v>
      </c>
      <c r="F148" s="134" t="s">
        <v>791</v>
      </c>
      <c r="G148" s="5" t="s">
        <v>163</v>
      </c>
      <c r="H148" s="138"/>
      <c r="I148" s="135">
        <v>3.0</v>
      </c>
      <c r="J148" s="137"/>
      <c r="K148" s="60">
        <v>4.0</v>
      </c>
      <c r="L148" s="135">
        <v>1.0</v>
      </c>
      <c r="M148" s="135">
        <v>2.0</v>
      </c>
      <c r="N148" s="135">
        <v>3.0</v>
      </c>
      <c r="O148" s="60" t="s">
        <v>147</v>
      </c>
      <c r="P148" s="136" t="s">
        <v>1111</v>
      </c>
      <c r="Q148" s="135">
        <v>6.0</v>
      </c>
      <c r="R148" s="136" t="s">
        <v>153</v>
      </c>
      <c r="S148" s="67" t="s">
        <v>1112</v>
      </c>
      <c r="T148" s="6">
        <v>7.0</v>
      </c>
      <c r="U148" s="6" t="s">
        <v>1113</v>
      </c>
      <c r="V148" s="76"/>
      <c r="W148" s="76"/>
      <c r="X148" s="76"/>
      <c r="Y148" s="6">
        <v>3.0</v>
      </c>
      <c r="Z148" s="6">
        <v>3.0</v>
      </c>
      <c r="AA148" s="6">
        <v>3.0</v>
      </c>
      <c r="AB148" s="6">
        <v>3.0</v>
      </c>
      <c r="AC148" s="6">
        <v>3.0</v>
      </c>
      <c r="AD148" s="76"/>
      <c r="AE148" s="90" t="s">
        <v>195</v>
      </c>
      <c r="AF148" s="90" t="s">
        <v>195</v>
      </c>
      <c r="AG148" s="68" t="s">
        <v>167</v>
      </c>
      <c r="AH148" s="90" t="s">
        <v>195</v>
      </c>
      <c r="AI148" s="68" t="s">
        <v>167</v>
      </c>
      <c r="AJ148" s="68" t="s">
        <v>167</v>
      </c>
      <c r="AK148" s="76" t="str">
        <f t="array" ref="AK148">INDEX(Factions!C:C, MATCH(E148, Factions!B:B, 0))</f>
        <v>#ffb317</v>
      </c>
      <c r="AL148" s="6" t="str">
        <f t="array" ref="AL148">INDEX(Factions!D:D, MATCH(E148, Factions!B:B, 0))</f>
        <v>#cf6c23</v>
      </c>
      <c r="AM148" s="6" t="str">
        <f t="array" ref="AM148">INDEX(Factions!E:E, MATCH(E148, Factions!B:B, 0))</f>
        <v>#000000</v>
      </c>
      <c r="AN148" s="76" t="str">
        <f t="array" ref="AN148">INDEX(Factions!F:F, MATCH(E148, Factions!B:B, 0))</f>
        <v>#ffffff</v>
      </c>
      <c r="AO148" s="76" t="str">
        <f t="array" ref="AO148">concat(INDEX(Factions!G:G, MATCH(E148, Factions!B:B, 0)),".png")</f>
        <v>gremlins.png</v>
      </c>
      <c r="AP148" s="84">
        <f>IFERROR(__xludf.DUMMYFUNCTION("MIN(FILTER(M148:M1098, F148:F1098=F148))"),1.0)</f>
        <v>1</v>
      </c>
      <c r="AQ148" s="76">
        <f t="shared" si="2"/>
        <v>6</v>
      </c>
      <c r="AR148" s="86">
        <f>IFERROR(__xludf.DUMMYFUNCTION("IF(and(REGEXMATCH(S148,""Vengence""),not(REGEXMATCH(S148, ""Protective Markings""))),AQ148,AQ148 * 6 / iferror(R148-1,6))"),9.0)</f>
        <v>9</v>
      </c>
      <c r="AS148" s="143">
        <f t="shared" si="3"/>
        <v>6</v>
      </c>
      <c r="AT148" s="89">
        <f t="shared" si="4"/>
        <v>6</v>
      </c>
      <c r="AU148" s="86">
        <f>IFERROR(__xludf.DUMMYFUNCTION("IF(REGEXMATCH(S148,""&lt;b&gt;Poison&lt;/b&gt;""),1+((1/(7-N148))/3),1)"),1.0)</f>
        <v>1</v>
      </c>
      <c r="AV148" s="86">
        <f>IFERROR(__xludf.DUMMYFUNCTION("IF(REGEXMATCH(S148,""Vengence""),(7 - R148) / 3,0)"),0.0)</f>
        <v>0</v>
      </c>
      <c r="AW148" s="86">
        <f t="shared" si="5"/>
        <v>4</v>
      </c>
      <c r="AX148" s="84">
        <f t="shared" si="6"/>
        <v>15</v>
      </c>
      <c r="AY148" s="76" t="b">
        <f>IFERROR(__xludf.DUMMYFUNCTION("if(regexmatch(G148,""Mage|War Machine""),true,false)"),FALSE)</f>
        <v>0</v>
      </c>
    </row>
    <row r="149" ht="22.5" hidden="1" customHeight="1">
      <c r="A149" s="6" t="s">
        <v>1114</v>
      </c>
      <c r="B149" s="6" t="s">
        <v>1115</v>
      </c>
      <c r="C149" s="6" t="str">
        <f t="shared" si="1"/>
        <v>Coppersand The Warforger</v>
      </c>
      <c r="D149" s="6" t="b">
        <v>1</v>
      </c>
      <c r="E149" s="57" t="s">
        <v>201</v>
      </c>
      <c r="F149" s="134" t="s">
        <v>791</v>
      </c>
      <c r="G149" s="5" t="s">
        <v>162</v>
      </c>
      <c r="H149" s="138"/>
      <c r="I149" s="135">
        <v>3.0</v>
      </c>
      <c r="J149" s="137"/>
      <c r="K149" s="60">
        <v>5.0</v>
      </c>
      <c r="L149" s="135">
        <v>1.0</v>
      </c>
      <c r="M149" s="135">
        <v>1.0</v>
      </c>
      <c r="N149" s="135">
        <v>4.0</v>
      </c>
      <c r="O149" s="60">
        <v>4.0</v>
      </c>
      <c r="P149" s="136" t="s">
        <v>194</v>
      </c>
      <c r="Q149" s="135">
        <v>5.0</v>
      </c>
      <c r="R149" s="136" t="s">
        <v>194</v>
      </c>
      <c r="S149" s="67" t="s">
        <v>1116</v>
      </c>
      <c r="T149" s="6">
        <v>5.0</v>
      </c>
      <c r="U149" s="6" t="s">
        <v>1117</v>
      </c>
      <c r="V149" s="76"/>
      <c r="W149" s="76"/>
      <c r="X149" s="76"/>
      <c r="Y149" s="6">
        <v>3.0</v>
      </c>
      <c r="Z149" s="6">
        <v>3.0</v>
      </c>
      <c r="AA149" s="6">
        <v>3.0</v>
      </c>
      <c r="AB149" s="6">
        <v>3.0</v>
      </c>
      <c r="AC149" s="6">
        <v>3.0</v>
      </c>
      <c r="AD149" s="6">
        <v>3.0</v>
      </c>
      <c r="AE149" s="68" t="s">
        <v>167</v>
      </c>
      <c r="AF149" s="68" t="s">
        <v>167</v>
      </c>
      <c r="AG149" s="90" t="s">
        <v>195</v>
      </c>
      <c r="AH149" s="68" t="s">
        <v>167</v>
      </c>
      <c r="AI149" s="68" t="s">
        <v>167</v>
      </c>
      <c r="AJ149" s="90" t="s">
        <v>195</v>
      </c>
      <c r="AK149" s="76" t="str">
        <f t="array" ref="AK149">INDEX(Factions!C:C, MATCH(E149, Factions!B:B, 0))</f>
        <v>#ffb317</v>
      </c>
      <c r="AL149" s="6" t="str">
        <f t="array" ref="AL149">INDEX(Factions!D:D, MATCH(E149, Factions!B:B, 0))</f>
        <v>#cf6c23</v>
      </c>
      <c r="AM149" s="6" t="str">
        <f t="array" ref="AM149">INDEX(Factions!E:E, MATCH(E149, Factions!B:B, 0))</f>
        <v>#000000</v>
      </c>
      <c r="AN149" s="76" t="str">
        <f t="array" ref="AN149">INDEX(Factions!F:F, MATCH(E149, Factions!B:B, 0))</f>
        <v>#ffffff</v>
      </c>
      <c r="AO149" s="76" t="str">
        <f t="array" ref="AO149">concat(INDEX(Factions!G:G, MATCH(E149, Factions!B:B, 0)),".png")</f>
        <v>gremlins.png</v>
      </c>
      <c r="AP149" s="84">
        <f>IFERROR(__xludf.DUMMYFUNCTION("MIN(FILTER(M149:M1098, F149:F1098=F149))"),1.0)</f>
        <v>1</v>
      </c>
      <c r="AQ149" s="76">
        <f t="shared" si="2"/>
        <v>5</v>
      </c>
      <c r="AR149" s="86">
        <f>IFERROR(__xludf.DUMMYFUNCTION("IF(and(REGEXMATCH(S149,""Vengence""),not(REGEXMATCH(S149, ""Protective Markings""))),AQ149,AQ149 * 6 / iferror(R149-1,6))"),10.0)</f>
        <v>10</v>
      </c>
      <c r="AS149" s="88">
        <f t="shared" si="3"/>
        <v>4</v>
      </c>
      <c r="AT149" s="89">
        <f t="shared" si="4"/>
        <v>4</v>
      </c>
      <c r="AU149" s="86">
        <f>IFERROR(__xludf.DUMMYFUNCTION("IF(REGEXMATCH(S149,""&lt;b&gt;Poison&lt;/b&gt;""),1+((1/(7-N149))/3),1)"),1.0)</f>
        <v>1</v>
      </c>
      <c r="AV149" s="86">
        <f>IFERROR(__xludf.DUMMYFUNCTION("IF(REGEXMATCH(S149,""Vengence""),(7 - R149) / 3,0)"),0.0)</f>
        <v>0</v>
      </c>
      <c r="AW149" s="86">
        <f t="shared" si="5"/>
        <v>2</v>
      </c>
      <c r="AX149" s="84">
        <f t="shared" si="6"/>
        <v>13</v>
      </c>
      <c r="AY149" s="76" t="b">
        <f>IFERROR(__xludf.DUMMYFUNCTION("if(regexmatch(G149,""Mage|War Machine""),true,false)"),FALSE)</f>
        <v>0</v>
      </c>
    </row>
    <row r="150" ht="22.5" hidden="1" customHeight="1">
      <c r="A150" s="6" t="s">
        <v>1118</v>
      </c>
      <c r="B150" s="6" t="s">
        <v>1119</v>
      </c>
      <c r="C150" s="6" t="str">
        <f t="shared" si="1"/>
        <v>Coppersand Crackshot</v>
      </c>
      <c r="D150" s="6" t="b">
        <v>1</v>
      </c>
      <c r="E150" s="57" t="s">
        <v>201</v>
      </c>
      <c r="F150" s="134" t="s">
        <v>791</v>
      </c>
      <c r="G150" s="5" t="s">
        <v>166</v>
      </c>
      <c r="H150" s="138"/>
      <c r="I150" s="135">
        <v>3.0</v>
      </c>
      <c r="J150" s="137"/>
      <c r="K150" s="60">
        <v>4.0</v>
      </c>
      <c r="L150" s="135">
        <v>1.0</v>
      </c>
      <c r="M150" s="135">
        <v>1.0</v>
      </c>
      <c r="N150" s="135">
        <v>4.0</v>
      </c>
      <c r="O150" s="60">
        <v>3.0</v>
      </c>
      <c r="P150" s="136" t="s">
        <v>194</v>
      </c>
      <c r="Q150" s="135">
        <v>5.0</v>
      </c>
      <c r="R150" s="136" t="s">
        <v>153</v>
      </c>
      <c r="S150" s="67" t="s">
        <v>1120</v>
      </c>
      <c r="T150" s="6">
        <v>3.0</v>
      </c>
      <c r="U150" s="6" t="s">
        <v>437</v>
      </c>
      <c r="V150" s="76"/>
      <c r="W150" s="76"/>
      <c r="X150" s="76"/>
      <c r="Y150" s="6">
        <v>3.0</v>
      </c>
      <c r="Z150" s="76"/>
      <c r="AA150" s="76"/>
      <c r="AB150" s="6">
        <v>3.0</v>
      </c>
      <c r="AC150" s="6">
        <v>3.0</v>
      </c>
      <c r="AD150" s="6">
        <v>3.0</v>
      </c>
      <c r="AE150" s="68" t="s">
        <v>167</v>
      </c>
      <c r="AF150" s="68" t="s">
        <v>167</v>
      </c>
      <c r="AG150" s="129" t="s">
        <v>354</v>
      </c>
      <c r="AH150" s="68" t="s">
        <v>167</v>
      </c>
      <c r="AI150" s="68" t="s">
        <v>167</v>
      </c>
      <c r="AJ150" s="68" t="s">
        <v>167</v>
      </c>
      <c r="AK150" s="76" t="str">
        <f t="array" ref="AK150">INDEX(Factions!C:C, MATCH(E150, Factions!B:B, 0))</f>
        <v>#ffb317</v>
      </c>
      <c r="AL150" s="6" t="str">
        <f t="array" ref="AL150">INDEX(Factions!D:D, MATCH(E150, Factions!B:B, 0))</f>
        <v>#cf6c23</v>
      </c>
      <c r="AM150" s="6" t="str">
        <f t="array" ref="AM150">INDEX(Factions!E:E, MATCH(E150, Factions!B:B, 0))</f>
        <v>#000000</v>
      </c>
      <c r="AN150" s="76" t="str">
        <f t="array" ref="AN150">INDEX(Factions!F:F, MATCH(E150, Factions!B:B, 0))</f>
        <v>#ffffff</v>
      </c>
      <c r="AO150" s="76" t="str">
        <f t="array" ref="AO150">concat(INDEX(Factions!G:G, MATCH(E150, Factions!B:B, 0)),".png")</f>
        <v>gremlins.png</v>
      </c>
      <c r="AP150" s="84">
        <f>IFERROR(__xludf.DUMMYFUNCTION("MIN(FILTER(M150:M1098, F150:F1098=F150))"),1.0)</f>
        <v>1</v>
      </c>
      <c r="AQ150" s="76">
        <f t="shared" si="2"/>
        <v>5</v>
      </c>
      <c r="AR150" s="86">
        <f>IFERROR(__xludf.DUMMYFUNCTION("IF(and(REGEXMATCH(S150,""Vengence""),not(REGEXMATCH(S150, ""Protective Markings""))),AQ150,AQ150 * 6 / iferror(R150-1,6))"),7.5)</f>
        <v>7.5</v>
      </c>
      <c r="AS150" s="88">
        <f t="shared" si="3"/>
        <v>4</v>
      </c>
      <c r="AT150" s="89">
        <f t="shared" si="4"/>
        <v>4</v>
      </c>
      <c r="AU150" s="86">
        <f>IFERROR(__xludf.DUMMYFUNCTION("IF(REGEXMATCH(S150,""&lt;b&gt;Poison&lt;/b&gt;""),1+((1/(7-N150))/3),1)"),1.0)</f>
        <v>1</v>
      </c>
      <c r="AV150" s="86">
        <f>IFERROR(__xludf.DUMMYFUNCTION("IF(REGEXMATCH(S150,""Vengence""),(7 - R150) / 3,0)"),0.0)</f>
        <v>0</v>
      </c>
      <c r="AW150" s="86">
        <f t="shared" si="5"/>
        <v>2</v>
      </c>
      <c r="AX150" s="84">
        <f t="shared" si="6"/>
        <v>10.5</v>
      </c>
      <c r="AY150" s="76" t="b">
        <f>IFERROR(__xludf.DUMMYFUNCTION("if(regexmatch(G150,""Mage|War Machine""),true,false)"),FALSE)</f>
        <v>0</v>
      </c>
    </row>
    <row r="151" ht="22.5" hidden="1" customHeight="1">
      <c r="A151" s="6" t="s">
        <v>1121</v>
      </c>
      <c r="B151" s="6" t="s">
        <v>1122</v>
      </c>
      <c r="C151" s="6" t="str">
        <f t="shared" si="1"/>
        <v>Coppersand The Zeppelin</v>
      </c>
      <c r="D151" s="6" t="b">
        <v>1</v>
      </c>
      <c r="E151" s="57" t="s">
        <v>201</v>
      </c>
      <c r="F151" s="134" t="s">
        <v>791</v>
      </c>
      <c r="G151" s="5" t="s">
        <v>165</v>
      </c>
      <c r="H151" s="138"/>
      <c r="I151" s="135">
        <v>3.0</v>
      </c>
      <c r="J151" s="135"/>
      <c r="K151" s="60">
        <v>2.0</v>
      </c>
      <c r="L151" s="135">
        <v>1.0</v>
      </c>
      <c r="M151" s="135">
        <v>2.0</v>
      </c>
      <c r="N151" s="135">
        <v>5.0</v>
      </c>
      <c r="O151" s="60">
        <v>4.0</v>
      </c>
      <c r="P151" s="136" t="s">
        <v>380</v>
      </c>
      <c r="Q151" s="135">
        <v>8.0</v>
      </c>
      <c r="R151" s="136" t="s">
        <v>153</v>
      </c>
      <c r="S151" s="67" t="s">
        <v>1123</v>
      </c>
      <c r="T151" s="6">
        <v>4.0</v>
      </c>
      <c r="U151" s="6"/>
      <c r="V151" s="76"/>
      <c r="W151" s="76"/>
      <c r="X151" s="76"/>
      <c r="Y151" s="76"/>
      <c r="Z151" s="76"/>
      <c r="AA151" s="76"/>
      <c r="AB151" s="76"/>
      <c r="AC151" s="76"/>
      <c r="AD151" s="6">
        <v>3.0</v>
      </c>
      <c r="AE151" s="90" t="s">
        <v>195</v>
      </c>
      <c r="AF151" s="69" t="s">
        <v>171</v>
      </c>
      <c r="AG151" s="90" t="s">
        <v>195</v>
      </c>
      <c r="AH151" s="69" t="s">
        <v>171</v>
      </c>
      <c r="AI151" s="129" t="s">
        <v>354</v>
      </c>
      <c r="AJ151" s="68" t="s">
        <v>167</v>
      </c>
      <c r="AK151" s="76" t="str">
        <f t="array" ref="AK151">INDEX(Factions!C:C, MATCH(E151, Factions!B:B, 0))</f>
        <v>#ffb317</v>
      </c>
      <c r="AL151" s="6" t="str">
        <f t="array" ref="AL151">INDEX(Factions!D:D, MATCH(E151, Factions!B:B, 0))</f>
        <v>#cf6c23</v>
      </c>
      <c r="AM151" s="6" t="str">
        <f t="array" ref="AM151">INDEX(Factions!E:E, MATCH(E151, Factions!B:B, 0))</f>
        <v>#000000</v>
      </c>
      <c r="AN151" s="76" t="str">
        <f t="array" ref="AN151">INDEX(Factions!F:F, MATCH(E151, Factions!B:B, 0))</f>
        <v>#ffffff</v>
      </c>
      <c r="AO151" s="76" t="str">
        <f t="array" ref="AO151">concat(INDEX(Factions!G:G, MATCH(E151, Factions!B:B, 0)),".png")</f>
        <v>gremlins.png</v>
      </c>
      <c r="AP151" s="84">
        <f>IFERROR(__xludf.DUMMYFUNCTION("MIN(FILTER(M151:M1098, F151:F1098=F151))"),1.0)</f>
        <v>1</v>
      </c>
      <c r="AQ151" s="76">
        <f t="shared" si="2"/>
        <v>8</v>
      </c>
      <c r="AR151" s="86">
        <f>IFERROR(__xludf.DUMMYFUNCTION("IF(and(REGEXMATCH(S151,""Vengence""),not(REGEXMATCH(S151, ""Protective Markings""))),AQ151,AQ151 * 6 / iferror(R151-1,6))"),12.0)</f>
        <v>12</v>
      </c>
      <c r="AS151" s="88">
        <f t="shared" si="3"/>
        <v>3</v>
      </c>
      <c r="AT151" s="89">
        <f t="shared" si="4"/>
        <v>3</v>
      </c>
      <c r="AU151" s="86">
        <f>IFERROR(__xludf.DUMMYFUNCTION("IF(REGEXMATCH(S151,""&lt;b&gt;Poison&lt;/b&gt;""),1+((1/(7-N151))/3),1)"),1.0)</f>
        <v>1</v>
      </c>
      <c r="AV151" s="86">
        <f>IFERROR(__xludf.DUMMYFUNCTION("IF(REGEXMATCH(S151,""Vengence""),(7 - R151) / 3,0)"),0.0)</f>
        <v>0</v>
      </c>
      <c r="AW151" s="86">
        <f t="shared" si="5"/>
        <v>1</v>
      </c>
      <c r="AX151" s="84">
        <f t="shared" si="6"/>
        <v>13.5</v>
      </c>
      <c r="AY151" s="76" t="b">
        <f>IFERROR(__xludf.DUMMYFUNCTION("if(regexmatch(G151,""Mage|War Machine""),true,false)"),TRUE)</f>
        <v>1</v>
      </c>
    </row>
    <row r="152" ht="22.5" hidden="1" customHeight="1">
      <c r="A152" s="6" t="s">
        <v>1124</v>
      </c>
      <c r="B152" s="6" t="s">
        <v>1125</v>
      </c>
      <c r="C152" s="6" t="str">
        <f t="shared" si="1"/>
        <v>Scaled Empire The General</v>
      </c>
      <c r="D152" s="6" t="b">
        <v>1</v>
      </c>
      <c r="E152" s="5" t="s">
        <v>10</v>
      </c>
      <c r="F152" s="134" t="s">
        <v>791</v>
      </c>
      <c r="G152" s="5" t="s">
        <v>160</v>
      </c>
      <c r="H152" s="138"/>
      <c r="I152" s="135">
        <v>3.0</v>
      </c>
      <c r="J152" s="135"/>
      <c r="K152" s="60">
        <v>4.0</v>
      </c>
      <c r="L152" s="135">
        <v>1.0</v>
      </c>
      <c r="M152" s="135">
        <v>1.0</v>
      </c>
      <c r="N152" s="135">
        <v>4.0</v>
      </c>
      <c r="O152" s="60">
        <v>5.0</v>
      </c>
      <c r="P152" s="136" t="s">
        <v>194</v>
      </c>
      <c r="Q152" s="135">
        <v>5.0</v>
      </c>
      <c r="R152" s="136" t="s">
        <v>194</v>
      </c>
      <c r="S152" s="144" t="s">
        <v>1126</v>
      </c>
      <c r="T152" s="6">
        <v>6.0</v>
      </c>
      <c r="U152" s="6" t="s">
        <v>1127</v>
      </c>
      <c r="V152" s="6"/>
      <c r="W152" s="6">
        <v>3.0</v>
      </c>
      <c r="X152" s="76"/>
      <c r="Y152" s="6">
        <v>3.0</v>
      </c>
      <c r="Z152" s="6">
        <v>3.0</v>
      </c>
      <c r="AA152" s="6">
        <v>3.0</v>
      </c>
      <c r="AB152" s="6">
        <v>3.0</v>
      </c>
      <c r="AC152" s="6">
        <v>3.0</v>
      </c>
      <c r="AD152" s="6">
        <v>3.0</v>
      </c>
      <c r="AE152" s="68" t="s">
        <v>167</v>
      </c>
      <c r="AF152" s="68" t="s">
        <v>167</v>
      </c>
      <c r="AG152" s="68" t="s">
        <v>167</v>
      </c>
      <c r="AH152" s="68" t="s">
        <v>167</v>
      </c>
      <c r="AI152" s="68" t="s">
        <v>167</v>
      </c>
      <c r="AJ152" s="90" t="s">
        <v>195</v>
      </c>
      <c r="AK152" s="76" t="str">
        <f t="array" ref="AK152">INDEX(Factions!C:C, MATCH(E152, Factions!B:B, 0))</f>
        <v>#c9daf8</v>
      </c>
      <c r="AL152" s="6" t="str">
        <f t="array" ref="AL152">INDEX(Factions!D:D, MATCH(E152, Factions!B:B, 0))</f>
        <v>#00399e</v>
      </c>
      <c r="AM152" s="6" t="str">
        <f t="array" ref="AM152">INDEX(Factions!E:E, MATCH(E152, Factions!B:B, 0))</f>
        <v>#000000</v>
      </c>
      <c r="AN152" s="76" t="str">
        <f t="array" ref="AN152">INDEX(Factions!F:F, MATCH(E152, Factions!B:B, 0))</f>
        <v>#ffffff</v>
      </c>
      <c r="AO152" s="76" t="str">
        <f t="array" ref="AO152">concat(INDEX(Factions!G:G, MATCH(E152, Factions!B:B, 0)),".png")</f>
        <v>empire.png</v>
      </c>
      <c r="AP152" s="84">
        <f>IFERROR(__xludf.DUMMYFUNCTION("MIN(FILTER(M152:M1098, F152:F1098=F152))"),1.0)</f>
        <v>1</v>
      </c>
      <c r="AQ152" s="76">
        <f t="shared" si="2"/>
        <v>5</v>
      </c>
      <c r="AR152" s="86">
        <f>IFERROR(__xludf.DUMMYFUNCTION("IF(and(REGEXMATCH(S152,""Vengence""),not(REGEXMATCH(S152, ""Protective Markings""))),AQ152,AQ152 * 6 / iferror(R152-1,6))"),10.0)</f>
        <v>10</v>
      </c>
      <c r="AS152" s="88">
        <f t="shared" si="3"/>
        <v>4</v>
      </c>
      <c r="AT152" s="89">
        <f t="shared" si="4"/>
        <v>4</v>
      </c>
      <c r="AU152" s="86">
        <f>IFERROR(__xludf.DUMMYFUNCTION("IF(REGEXMATCH(S152,""&lt;b&gt;Poison&lt;/b&gt;""),1+((1/(7-N152))/3),1)"),1.0)</f>
        <v>1</v>
      </c>
      <c r="AV152" s="86">
        <f>IFERROR(__xludf.DUMMYFUNCTION("IF(REGEXMATCH(S152,""Vengence""),(7 - R152) / 3,0)"),0.0)</f>
        <v>0</v>
      </c>
      <c r="AW152" s="86">
        <f t="shared" si="5"/>
        <v>2</v>
      </c>
      <c r="AX152" s="84">
        <f t="shared" si="6"/>
        <v>13</v>
      </c>
      <c r="AY152" s="76" t="b">
        <f>IFERROR(__xludf.DUMMYFUNCTION("if(regexmatch(G152,""Mage|War Machine""),true,false)"),TRUE)</f>
        <v>1</v>
      </c>
    </row>
    <row r="153" ht="22.5" hidden="1" customHeight="1">
      <c r="A153" s="6" t="s">
        <v>1128</v>
      </c>
      <c r="B153" s="6" t="s">
        <v>794</v>
      </c>
      <c r="C153" s="6" t="str">
        <f t="shared" si="1"/>
        <v>Scaled Empire Commando</v>
      </c>
      <c r="D153" s="6" t="b">
        <v>1</v>
      </c>
      <c r="E153" s="5" t="s">
        <v>10</v>
      </c>
      <c r="F153" s="134" t="s">
        <v>791</v>
      </c>
      <c r="G153" s="5" t="s">
        <v>162</v>
      </c>
      <c r="H153" s="138"/>
      <c r="I153" s="135">
        <v>3.0</v>
      </c>
      <c r="J153" s="135"/>
      <c r="K153" s="60">
        <v>4.0</v>
      </c>
      <c r="L153" s="203">
        <v>1.0</v>
      </c>
      <c r="M153" s="135">
        <v>1.0</v>
      </c>
      <c r="N153" s="135">
        <v>3.0</v>
      </c>
      <c r="O153" s="204">
        <v>4.0</v>
      </c>
      <c r="P153" s="205" t="s">
        <v>153</v>
      </c>
      <c r="Q153" s="206">
        <v>6.0</v>
      </c>
      <c r="R153" s="205" t="s">
        <v>194</v>
      </c>
      <c r="S153" s="144" t="s">
        <v>1129</v>
      </c>
      <c r="T153" s="6">
        <v>7.0</v>
      </c>
      <c r="U153" s="67" t="s">
        <v>425</v>
      </c>
      <c r="V153" s="6"/>
      <c r="W153" s="6"/>
      <c r="X153" s="76"/>
      <c r="Y153" s="6">
        <v>3.0</v>
      </c>
      <c r="Z153" s="6">
        <v>3.0</v>
      </c>
      <c r="AA153" s="6">
        <v>3.0</v>
      </c>
      <c r="AB153" s="6">
        <v>3.0</v>
      </c>
      <c r="AC153" s="6">
        <v>3.0</v>
      </c>
      <c r="AD153" s="6">
        <v>3.0</v>
      </c>
      <c r="AE153" s="68" t="s">
        <v>167</v>
      </c>
      <c r="AF153" s="90" t="s">
        <v>195</v>
      </c>
      <c r="AG153" s="90" t="s">
        <v>195</v>
      </c>
      <c r="AH153" s="90" t="s">
        <v>195</v>
      </c>
      <c r="AI153" s="68" t="s">
        <v>167</v>
      </c>
      <c r="AJ153" s="90" t="s">
        <v>195</v>
      </c>
      <c r="AK153" s="76" t="str">
        <f t="array" ref="AK153">INDEX(Factions!C:C, MATCH(E153, Factions!B:B, 0))</f>
        <v>#c9daf8</v>
      </c>
      <c r="AL153" s="6" t="str">
        <f t="array" ref="AL153">INDEX(Factions!D:D, MATCH(E153, Factions!B:B, 0))</f>
        <v>#00399e</v>
      </c>
      <c r="AM153" s="6" t="str">
        <f t="array" ref="AM153">INDEX(Factions!E:E, MATCH(E153, Factions!B:B, 0))</f>
        <v>#000000</v>
      </c>
      <c r="AN153" s="76" t="str">
        <f t="array" ref="AN153">INDEX(Factions!F:F, MATCH(E153, Factions!B:B, 0))</f>
        <v>#ffffff</v>
      </c>
      <c r="AO153" s="76" t="str">
        <f t="array" ref="AO153">concat(INDEX(Factions!G:G, MATCH(E153, Factions!B:B, 0)),".png")</f>
        <v>empire.png</v>
      </c>
      <c r="AP153" s="84">
        <f>IFERROR(__xludf.DUMMYFUNCTION("MIN(FILTER(M153:M1098, F153:F1098=F153))"),1.0)</f>
        <v>1</v>
      </c>
      <c r="AQ153" s="76">
        <f t="shared" si="2"/>
        <v>6</v>
      </c>
      <c r="AR153" s="86">
        <f>IFERROR(__xludf.DUMMYFUNCTION("IF(and(REGEXMATCH(S153,""Vengence""),not(REGEXMATCH(S153, ""Protective Markings""))),AQ153,AQ153 * 6 / iferror(R153-1,6))"),12.0)</f>
        <v>12</v>
      </c>
      <c r="AS153" s="88">
        <f t="shared" si="3"/>
        <v>5</v>
      </c>
      <c r="AT153" s="89">
        <f t="shared" si="4"/>
        <v>5</v>
      </c>
      <c r="AU153" s="86">
        <f>IFERROR(__xludf.DUMMYFUNCTION("IF(REGEXMATCH(S153,""&lt;b&gt;Poison&lt;/b&gt;""),1+((1/(7-N153))/3),1)"),1.0)</f>
        <v>1</v>
      </c>
      <c r="AV153" s="86">
        <f>IFERROR(__xludf.DUMMYFUNCTION("IF(REGEXMATCH(S153,""Vengence""),(7 - R153) / 3,0)"),0.0)</f>
        <v>0</v>
      </c>
      <c r="AW153" s="86">
        <f t="shared" si="5"/>
        <v>3.333333333</v>
      </c>
      <c r="AX153" s="84">
        <f t="shared" si="6"/>
        <v>17</v>
      </c>
      <c r="AY153" s="76" t="b">
        <f>IFERROR(__xludf.DUMMYFUNCTION("if(regexmatch(G153,""Mage|War Machine""),true,false)"),FALSE)</f>
        <v>0</v>
      </c>
    </row>
    <row r="154" ht="22.5" hidden="1" customHeight="1">
      <c r="A154" s="6" t="s">
        <v>1130</v>
      </c>
      <c r="B154" s="6" t="s">
        <v>1131</v>
      </c>
      <c r="C154" s="6" t="str">
        <f t="shared" si="1"/>
        <v>Scaled Empire Archmage</v>
      </c>
      <c r="D154" s="6" t="b">
        <v>1</v>
      </c>
      <c r="E154" s="5" t="s">
        <v>10</v>
      </c>
      <c r="F154" s="134" t="s">
        <v>791</v>
      </c>
      <c r="G154" s="5" t="s">
        <v>159</v>
      </c>
      <c r="H154" s="138"/>
      <c r="I154" s="135">
        <v>3.0</v>
      </c>
      <c r="J154" s="135"/>
      <c r="K154" s="60">
        <v>3.0</v>
      </c>
      <c r="L154" s="135">
        <v>1.0</v>
      </c>
      <c r="M154" s="62">
        <v>1.0</v>
      </c>
      <c r="N154" s="62">
        <v>4.0</v>
      </c>
      <c r="O154" s="60" t="s">
        <v>147</v>
      </c>
      <c r="P154" s="136" t="s">
        <v>380</v>
      </c>
      <c r="Q154" s="135">
        <v>4.0</v>
      </c>
      <c r="R154" s="136" t="s">
        <v>153</v>
      </c>
      <c r="S154" s="144" t="s">
        <v>1132</v>
      </c>
      <c r="T154" s="6">
        <v>3.0</v>
      </c>
      <c r="U154" s="6"/>
      <c r="V154" s="6"/>
      <c r="W154" s="6">
        <v>3.0</v>
      </c>
      <c r="X154" s="76"/>
      <c r="Y154" s="76"/>
      <c r="Z154" s="76"/>
      <c r="AA154" s="76"/>
      <c r="AB154" s="76"/>
      <c r="AC154" s="76"/>
      <c r="AD154" s="76"/>
      <c r="AE154" s="68" t="s">
        <v>167</v>
      </c>
      <c r="AF154" s="68" t="s">
        <v>167</v>
      </c>
      <c r="AG154" s="68" t="s">
        <v>167</v>
      </c>
      <c r="AH154" s="69" t="s">
        <v>171</v>
      </c>
      <c r="AI154" s="69" t="s">
        <v>171</v>
      </c>
      <c r="AJ154" s="68" t="s">
        <v>167</v>
      </c>
      <c r="AK154" s="76" t="str">
        <f t="array" ref="AK154">INDEX(Factions!C:C, MATCH(E154, Factions!B:B, 0))</f>
        <v>#c9daf8</v>
      </c>
      <c r="AL154" s="6" t="str">
        <f t="array" ref="AL154">INDEX(Factions!D:D, MATCH(E154, Factions!B:B, 0))</f>
        <v>#00399e</v>
      </c>
      <c r="AM154" s="6" t="str">
        <f t="array" ref="AM154">INDEX(Factions!E:E, MATCH(E154, Factions!B:B, 0))</f>
        <v>#000000</v>
      </c>
      <c r="AN154" s="76" t="str">
        <f t="array" ref="AN154">INDEX(Factions!F:F, MATCH(E154, Factions!B:B, 0))</f>
        <v>#ffffff</v>
      </c>
      <c r="AO154" s="76" t="str">
        <f t="array" ref="AO154">concat(INDEX(Factions!G:G, MATCH(E154, Factions!B:B, 0)),".png")</f>
        <v>empire.png</v>
      </c>
      <c r="AP154" s="84">
        <f>IFERROR(__xludf.DUMMYFUNCTION("MIN(FILTER(M154:M1098, F154:F1098=F154))"),1.0)</f>
        <v>1</v>
      </c>
      <c r="AQ154" s="76">
        <f t="shared" si="2"/>
        <v>4</v>
      </c>
      <c r="AR154" s="86">
        <f>IFERROR(__xludf.DUMMYFUNCTION("IF(and(REGEXMATCH(S154,""Vengence""),not(REGEXMATCH(S154, ""Protective Markings""))),AQ154,AQ154 * 6 / iferror(R154-1,6))"),6.0)</f>
        <v>6</v>
      </c>
      <c r="AS154" s="88">
        <f t="shared" si="3"/>
        <v>3</v>
      </c>
      <c r="AT154" s="89">
        <f t="shared" si="4"/>
        <v>3</v>
      </c>
      <c r="AU154" s="86">
        <f>IFERROR(__xludf.DUMMYFUNCTION("IF(REGEXMATCH(S154,""&lt;b&gt;Poison&lt;/b&gt;""),1+((1/(7-N154))/3),1)"),1.0)</f>
        <v>1</v>
      </c>
      <c r="AV154" s="86">
        <f>IFERROR(__xludf.DUMMYFUNCTION("IF(REGEXMATCH(S154,""Vengence""),(7 - R154) / 3,0)"),0.0)</f>
        <v>0</v>
      </c>
      <c r="AW154" s="86">
        <f t="shared" si="5"/>
        <v>1.5</v>
      </c>
      <c r="AX154" s="84">
        <f t="shared" si="6"/>
        <v>8.25</v>
      </c>
      <c r="AY154" s="76" t="b">
        <f>IFERROR(__xludf.DUMMYFUNCTION("if(regexmatch(G154,""Mage|War Machine""),true,false)"),TRUE)</f>
        <v>1</v>
      </c>
    </row>
    <row r="155" ht="22.5" hidden="1" customHeight="1">
      <c r="A155" s="6" t="s">
        <v>1133</v>
      </c>
      <c r="B155" s="6" t="s">
        <v>1134</v>
      </c>
      <c r="C155" s="6" t="str">
        <f t="shared" si="1"/>
        <v>Scaled Empire Wyrm Prince</v>
      </c>
      <c r="D155" s="6" t="b">
        <v>1</v>
      </c>
      <c r="E155" s="5" t="s">
        <v>10</v>
      </c>
      <c r="F155" s="134" t="s">
        <v>791</v>
      </c>
      <c r="G155" s="5" t="s">
        <v>163</v>
      </c>
      <c r="H155" s="138"/>
      <c r="I155" s="62">
        <v>3.0</v>
      </c>
      <c r="J155" s="202"/>
      <c r="K155" s="62">
        <v>0.0</v>
      </c>
      <c r="L155" s="62">
        <v>1.0</v>
      </c>
      <c r="M155" s="62">
        <v>3.0</v>
      </c>
      <c r="N155" s="62">
        <v>3.0</v>
      </c>
      <c r="O155" s="64" t="s">
        <v>147</v>
      </c>
      <c r="P155" s="66" t="s">
        <v>380</v>
      </c>
      <c r="Q155" s="62">
        <v>8.0</v>
      </c>
      <c r="R155" s="66" t="s">
        <v>153</v>
      </c>
      <c r="S155" s="67" t="s">
        <v>1135</v>
      </c>
      <c r="T155" s="6">
        <v>6.0</v>
      </c>
      <c r="U155" s="76"/>
      <c r="V155" s="76"/>
      <c r="W155" s="76"/>
      <c r="X155" s="76"/>
      <c r="Y155" s="76"/>
      <c r="Z155" s="76"/>
      <c r="AA155" s="76"/>
      <c r="AB155" s="76"/>
      <c r="AC155" s="76"/>
      <c r="AD155" s="76"/>
      <c r="AE155" s="129" t="s">
        <v>354</v>
      </c>
      <c r="AF155" s="90" t="s">
        <v>195</v>
      </c>
      <c r="AG155" s="68" t="s">
        <v>167</v>
      </c>
      <c r="AH155" s="69" t="s">
        <v>171</v>
      </c>
      <c r="AI155" s="129" t="s">
        <v>354</v>
      </c>
      <c r="AJ155" s="68" t="s">
        <v>167</v>
      </c>
      <c r="AK155" s="76" t="str">
        <f t="array" ref="AK155">INDEX(Factions!C:C, MATCH(E155, Factions!B:B, 0))</f>
        <v>#c9daf8</v>
      </c>
      <c r="AL155" s="6" t="str">
        <f t="array" ref="AL155">INDEX(Factions!D:D, MATCH(E155, Factions!B:B, 0))</f>
        <v>#00399e</v>
      </c>
      <c r="AM155" s="6" t="str">
        <f t="array" ref="AM155">INDEX(Factions!E:E, MATCH(E155, Factions!B:B, 0))</f>
        <v>#000000</v>
      </c>
      <c r="AN155" s="76" t="str">
        <f t="array" ref="AN155">INDEX(Factions!F:F, MATCH(E155, Factions!B:B, 0))</f>
        <v>#ffffff</v>
      </c>
      <c r="AO155" s="76" t="str">
        <f t="array" ref="AO155">concat(INDEX(Factions!G:G, MATCH(E155, Factions!B:B, 0)),".png")</f>
        <v>empire.png</v>
      </c>
      <c r="AP155" s="84">
        <f>IFERROR(__xludf.DUMMYFUNCTION("MIN(FILTER(M155:M1098, F155:F1098=F155))"),1.0)</f>
        <v>1</v>
      </c>
      <c r="AQ155" s="76">
        <f t="shared" si="2"/>
        <v>8</v>
      </c>
      <c r="AR155" s="86">
        <f>IFERROR(__xludf.DUMMYFUNCTION("IF(and(REGEXMATCH(S155,""Vengence""),not(REGEXMATCH(S155, ""Protective Markings""))),AQ155,AQ155 * 6 / iferror(R155-1,6))"),12.0)</f>
        <v>12</v>
      </c>
      <c r="AS155" s="88">
        <f t="shared" si="3"/>
        <v>3</v>
      </c>
      <c r="AT155" s="89">
        <f t="shared" si="4"/>
        <v>3</v>
      </c>
      <c r="AU155" s="86">
        <f>IFERROR(__xludf.DUMMYFUNCTION("IF(REGEXMATCH(S155,""&lt;b&gt;Poison&lt;/b&gt;""),1+((1/(7-N155))/3),1)"),1.0)</f>
        <v>1</v>
      </c>
      <c r="AV155" s="86">
        <f>IFERROR(__xludf.DUMMYFUNCTION("IF(REGEXMATCH(S155,""Vengence""),(7 - R155) / 3,0)"),0.0)</f>
        <v>0</v>
      </c>
      <c r="AW155" s="86">
        <f t="shared" si="5"/>
        <v>2</v>
      </c>
      <c r="AX155" s="84">
        <f t="shared" si="6"/>
        <v>15</v>
      </c>
      <c r="AY155" s="76" t="b">
        <f>IFERROR(__xludf.DUMMYFUNCTION("if(regexmatch(G155,""Mage|War Machine""),true,false)"),FALSE)</f>
        <v>0</v>
      </c>
    </row>
    <row r="156" ht="22.5" hidden="1" customHeight="1">
      <c r="A156" s="6" t="s">
        <v>1136</v>
      </c>
      <c r="B156" s="6" t="s">
        <v>798</v>
      </c>
      <c r="C156" s="6" t="str">
        <f t="shared" si="1"/>
        <v>Scaled Empire Sharpshooter</v>
      </c>
      <c r="D156" s="6" t="b">
        <v>1</v>
      </c>
      <c r="E156" s="5" t="s">
        <v>10</v>
      </c>
      <c r="F156" s="134" t="s">
        <v>791</v>
      </c>
      <c r="G156" s="5" t="s">
        <v>166</v>
      </c>
      <c r="H156" s="138"/>
      <c r="I156" s="135">
        <v>3.0</v>
      </c>
      <c r="J156" s="135"/>
      <c r="K156" s="60">
        <v>3.0</v>
      </c>
      <c r="L156" s="135">
        <v>1.0</v>
      </c>
      <c r="M156" s="135">
        <v>1.0</v>
      </c>
      <c r="N156" s="135">
        <v>4.0</v>
      </c>
      <c r="O156" s="60">
        <v>2.0</v>
      </c>
      <c r="P156" s="136" t="s">
        <v>194</v>
      </c>
      <c r="Q156" s="135">
        <v>5.0</v>
      </c>
      <c r="R156" s="136" t="s">
        <v>153</v>
      </c>
      <c r="S156" s="144" t="s">
        <v>1137</v>
      </c>
      <c r="T156" s="6">
        <v>3.0</v>
      </c>
      <c r="U156" s="76"/>
      <c r="V156" s="76"/>
      <c r="W156" s="76"/>
      <c r="X156" s="76"/>
      <c r="Y156" s="6">
        <v>2.0</v>
      </c>
      <c r="Z156" s="76"/>
      <c r="AA156" s="76"/>
      <c r="AB156" s="76"/>
      <c r="AC156" s="76"/>
      <c r="AD156" s="6">
        <v>3.0</v>
      </c>
      <c r="AE156" s="68" t="s">
        <v>167</v>
      </c>
      <c r="AF156" s="68" t="s">
        <v>167</v>
      </c>
      <c r="AG156" s="129" t="s">
        <v>354</v>
      </c>
      <c r="AH156" s="68" t="s">
        <v>167</v>
      </c>
      <c r="AI156" s="68" t="s">
        <v>167</v>
      </c>
      <c r="AJ156" s="68" t="s">
        <v>167</v>
      </c>
      <c r="AK156" s="76" t="str">
        <f t="array" ref="AK156">INDEX(Factions!C:C, MATCH(E156, Factions!B:B, 0))</f>
        <v>#c9daf8</v>
      </c>
      <c r="AL156" s="6" t="str">
        <f t="array" ref="AL156">INDEX(Factions!D:D, MATCH(E156, Factions!B:B, 0))</f>
        <v>#00399e</v>
      </c>
      <c r="AM156" s="6" t="str">
        <f t="array" ref="AM156">INDEX(Factions!E:E, MATCH(E156, Factions!B:B, 0))</f>
        <v>#000000</v>
      </c>
      <c r="AN156" s="76" t="str">
        <f t="array" ref="AN156">INDEX(Factions!F:F, MATCH(E156, Factions!B:B, 0))</f>
        <v>#ffffff</v>
      </c>
      <c r="AO156" s="76" t="str">
        <f t="array" ref="AO156">concat(INDEX(Factions!G:G, MATCH(E156, Factions!B:B, 0)),".png")</f>
        <v>empire.png</v>
      </c>
      <c r="AP156" s="84">
        <f>IFERROR(__xludf.DUMMYFUNCTION("MIN(FILTER(M156:M1098, F156:F1098=F156))"),1.0)</f>
        <v>1</v>
      </c>
      <c r="AQ156" s="76">
        <f t="shared" si="2"/>
        <v>5</v>
      </c>
      <c r="AR156" s="86">
        <f>IFERROR(__xludf.DUMMYFUNCTION("IF(and(REGEXMATCH(S156,""Vengence""),not(REGEXMATCH(S156, ""Protective Markings""))),AQ156,AQ156 * 6 / iferror(R156-1,6))"),7.5)</f>
        <v>7.5</v>
      </c>
      <c r="AS156" s="88">
        <f t="shared" si="3"/>
        <v>4</v>
      </c>
      <c r="AT156" s="89">
        <f t="shared" si="4"/>
        <v>4</v>
      </c>
      <c r="AU156" s="86">
        <f>IFERROR(__xludf.DUMMYFUNCTION("IF(REGEXMATCH(S156,""&lt;b&gt;Poison&lt;/b&gt;""),1+((1/(7-N156))/3),1)"),1.0)</f>
        <v>1</v>
      </c>
      <c r="AV156" s="86">
        <f>IFERROR(__xludf.DUMMYFUNCTION("IF(REGEXMATCH(S156,""Vengence""),(7 - R156) / 3,0)"),0.0)</f>
        <v>0</v>
      </c>
      <c r="AW156" s="86">
        <f t="shared" si="5"/>
        <v>2</v>
      </c>
      <c r="AX156" s="84">
        <f t="shared" si="6"/>
        <v>10.5</v>
      </c>
      <c r="AY156" s="76" t="b">
        <f>IFERROR(__xludf.DUMMYFUNCTION("if(regexmatch(G156,""Mage|War Machine""),true,false)"),FALSE)</f>
        <v>0</v>
      </c>
    </row>
    <row r="157" ht="22.5" hidden="1" customHeight="1">
      <c r="A157" s="6" t="s">
        <v>1138</v>
      </c>
      <c r="B157" s="6" t="s">
        <v>1139</v>
      </c>
      <c r="C157" s="6" t="str">
        <f t="shared" si="1"/>
        <v>Disciples Stitch</v>
      </c>
      <c r="D157" s="6" t="b">
        <v>1</v>
      </c>
      <c r="E157" s="5" t="s">
        <v>202</v>
      </c>
      <c r="F157" s="134" t="s">
        <v>791</v>
      </c>
      <c r="G157" s="5" t="s">
        <v>163</v>
      </c>
      <c r="H157" s="138"/>
      <c r="I157" s="135">
        <v>3.0</v>
      </c>
      <c r="J157" s="135"/>
      <c r="K157" s="60">
        <v>2.0</v>
      </c>
      <c r="L157" s="135">
        <v>1.0</v>
      </c>
      <c r="M157" s="135">
        <v>2.0</v>
      </c>
      <c r="N157" s="135">
        <v>4.0</v>
      </c>
      <c r="O157" s="60" t="s">
        <v>147</v>
      </c>
      <c r="P157" s="136" t="s">
        <v>1039</v>
      </c>
      <c r="Q157" s="135">
        <v>6.0</v>
      </c>
      <c r="R157" s="136" t="s">
        <v>153</v>
      </c>
      <c r="S157" s="144" t="s">
        <v>1140</v>
      </c>
      <c r="T157" s="6">
        <v>6.0</v>
      </c>
      <c r="U157" s="6" t="s">
        <v>1141</v>
      </c>
      <c r="V157" s="76"/>
      <c r="W157" s="76"/>
      <c r="X157" s="76"/>
      <c r="Y157" s="6">
        <v>3.0</v>
      </c>
      <c r="Z157" s="6">
        <v>3.0</v>
      </c>
      <c r="AA157" s="6">
        <v>3.0</v>
      </c>
      <c r="AB157" s="6"/>
      <c r="AC157" s="6">
        <v>3.0</v>
      </c>
      <c r="AD157" s="6">
        <v>2.0</v>
      </c>
      <c r="AE157" s="90" t="s">
        <v>195</v>
      </c>
      <c r="AF157" s="68" t="s">
        <v>167</v>
      </c>
      <c r="AG157" s="68" t="s">
        <v>167</v>
      </c>
      <c r="AH157" s="90" t="s">
        <v>195</v>
      </c>
      <c r="AI157" s="90" t="s">
        <v>195</v>
      </c>
      <c r="AJ157" s="68" t="s">
        <v>167</v>
      </c>
      <c r="AK157" s="76" t="str">
        <f t="array" ref="AK157">INDEX(Factions!C:C, MATCH(E157, Factions!B:B, 0))</f>
        <v>#5c9667</v>
      </c>
      <c r="AL157" s="6" t="str">
        <f t="array" ref="AL157">INDEX(Factions!D:D, MATCH(E157, Factions!B:B, 0))</f>
        <v>#005050</v>
      </c>
      <c r="AM157" s="6" t="str">
        <f t="array" ref="AM157">INDEX(Factions!E:E, MATCH(E157, Factions!B:B, 0))</f>
        <v>#000000</v>
      </c>
      <c r="AN157" s="76" t="str">
        <f t="array" ref="AN157">INDEX(Factions!F:F, MATCH(E157, Factions!B:B, 0))</f>
        <v>#ffffff</v>
      </c>
      <c r="AO157" s="76" t="str">
        <f t="array" ref="AO157">concat(INDEX(Factions!G:G, MATCH(E157, Factions!B:B, 0)),".png")</f>
        <v>disciples.png</v>
      </c>
      <c r="AP157" s="84">
        <f>IFERROR(__xludf.DUMMYFUNCTION("MIN(FILTER(M157:M1098, F157:F1098=F157))"),1.0)</f>
        <v>1</v>
      </c>
      <c r="AQ157" s="76">
        <f t="shared" si="2"/>
        <v>6</v>
      </c>
      <c r="AR157" s="86">
        <f>IFERROR(__xludf.DUMMYFUNCTION("IF(and(REGEXMATCH(S157,""Vengence""),not(REGEXMATCH(S157, ""Protective Markings""))),AQ157,AQ157 * 6 / iferror(R157-1,6))"),6.0)</f>
        <v>6</v>
      </c>
      <c r="AS157" s="88">
        <f t="shared" si="3"/>
        <v>9</v>
      </c>
      <c r="AT157" s="89">
        <f t="shared" si="4"/>
        <v>9</v>
      </c>
      <c r="AU157" s="86">
        <f>IFERROR(__xludf.DUMMYFUNCTION("IF(REGEXMATCH(S157,""&lt;b&gt;Poison&lt;/b&gt;""),1+((1/(7-N157))/3),1)"),1.1111111111111112)</f>
        <v>1.111111111</v>
      </c>
      <c r="AV157" s="86">
        <f>IFERROR(__xludf.DUMMYFUNCTION("IF(REGEXMATCH(S157,""Vengence""),(7 - R157) / 3,0)"),0.6666666666666666)</f>
        <v>0.6666666667</v>
      </c>
      <c r="AW157" s="86">
        <f t="shared" si="5"/>
        <v>5.666666667</v>
      </c>
      <c r="AX157" s="84">
        <f t="shared" si="6"/>
        <v>14.5</v>
      </c>
      <c r="AY157" s="76" t="b">
        <f>IFERROR(__xludf.DUMMYFUNCTION("if(regexmatch(G157,""Mage|War Machine""),true,false)"),FALSE)</f>
        <v>0</v>
      </c>
    </row>
    <row r="158" ht="22.5" hidden="1" customHeight="1">
      <c r="A158" s="6" t="s">
        <v>1142</v>
      </c>
      <c r="B158" s="6" t="s">
        <v>1143</v>
      </c>
      <c r="C158" s="6" t="str">
        <f t="shared" si="1"/>
        <v>Disciples The New Breed</v>
      </c>
      <c r="D158" s="6" t="b">
        <v>1</v>
      </c>
      <c r="E158" s="5" t="s">
        <v>202</v>
      </c>
      <c r="F158" s="134" t="s">
        <v>791</v>
      </c>
      <c r="G158" s="5" t="s">
        <v>163</v>
      </c>
      <c r="H158" s="138"/>
      <c r="I158" s="135">
        <v>3.0</v>
      </c>
      <c r="J158" s="135"/>
      <c r="K158" s="60">
        <v>2.0</v>
      </c>
      <c r="L158" s="135">
        <v>1.0</v>
      </c>
      <c r="M158" s="135">
        <v>1.0</v>
      </c>
      <c r="N158" s="135">
        <v>4.0</v>
      </c>
      <c r="O158" s="60">
        <v>4.0</v>
      </c>
      <c r="P158" s="136" t="s">
        <v>153</v>
      </c>
      <c r="Q158" s="135">
        <v>6.0</v>
      </c>
      <c r="R158" s="136" t="s">
        <v>153</v>
      </c>
      <c r="S158" s="144" t="s">
        <v>1144</v>
      </c>
      <c r="T158" s="6">
        <v>8.0</v>
      </c>
      <c r="U158" s="6" t="s">
        <v>1145</v>
      </c>
      <c r="V158" s="76"/>
      <c r="W158" s="76"/>
      <c r="X158" s="76"/>
      <c r="Y158" s="6">
        <v>3.0</v>
      </c>
      <c r="Z158" s="6">
        <v>3.0</v>
      </c>
      <c r="AA158" s="6">
        <v>3.0</v>
      </c>
      <c r="AB158" s="6"/>
      <c r="AC158" s="6">
        <v>3.0</v>
      </c>
      <c r="AD158" s="6">
        <v>2.0</v>
      </c>
      <c r="AE158" s="68" t="s">
        <v>167</v>
      </c>
      <c r="AF158" s="68" t="s">
        <v>167</v>
      </c>
      <c r="AG158" s="90" t="s">
        <v>195</v>
      </c>
      <c r="AH158" s="68" t="s">
        <v>167</v>
      </c>
      <c r="AI158" s="68" t="s">
        <v>167</v>
      </c>
      <c r="AJ158" s="68" t="s">
        <v>167</v>
      </c>
      <c r="AK158" s="76" t="str">
        <f t="array" ref="AK158">INDEX(Factions!C:C, MATCH(E158, Factions!B:B, 0))</f>
        <v>#5c9667</v>
      </c>
      <c r="AL158" s="6" t="str">
        <f t="array" ref="AL158">INDEX(Factions!D:D, MATCH(E158, Factions!B:B, 0))</f>
        <v>#005050</v>
      </c>
      <c r="AM158" s="6" t="str">
        <f t="array" ref="AM158">INDEX(Factions!E:E, MATCH(E158, Factions!B:B, 0))</f>
        <v>#000000</v>
      </c>
      <c r="AN158" s="76" t="str">
        <f t="array" ref="AN158">INDEX(Factions!F:F, MATCH(E158, Factions!B:B, 0))</f>
        <v>#ffffff</v>
      </c>
      <c r="AO158" s="76" t="str">
        <f t="array" ref="AO158">concat(INDEX(Factions!G:G, MATCH(E158, Factions!B:B, 0)),".png")</f>
        <v>disciples.png</v>
      </c>
      <c r="AP158" s="84">
        <f>IFERROR(__xludf.DUMMYFUNCTION("MIN(FILTER(M158:M1098, F158:F1098=F158))"),1.0)</f>
        <v>1</v>
      </c>
      <c r="AQ158" s="76">
        <f t="shared" si="2"/>
        <v>6</v>
      </c>
      <c r="AR158" s="86">
        <f>IFERROR(__xludf.DUMMYFUNCTION("IF(and(REGEXMATCH(S158,""Vengence""),not(REGEXMATCH(S158, ""Protective Markings""))),AQ158,AQ158 * 6 / iferror(R158-1,6))"),9.0)</f>
        <v>9</v>
      </c>
      <c r="AS158" s="88">
        <f t="shared" si="3"/>
        <v>5</v>
      </c>
      <c r="AT158" s="89">
        <f t="shared" si="4"/>
        <v>5</v>
      </c>
      <c r="AU158" s="86">
        <f>IFERROR(__xludf.DUMMYFUNCTION("IF(REGEXMATCH(S158,""&lt;b&gt;Poison&lt;/b&gt;""),1+((1/(7-N158))/3),1)"),1.0)</f>
        <v>1</v>
      </c>
      <c r="AV158" s="86">
        <f>IFERROR(__xludf.DUMMYFUNCTION("IF(REGEXMATCH(S158,""Vengence""),(7 - R158) / 3,0)"),0.0)</f>
        <v>0</v>
      </c>
      <c r="AW158" s="86">
        <f t="shared" si="5"/>
        <v>2.5</v>
      </c>
      <c r="AX158" s="84">
        <f t="shared" si="6"/>
        <v>12.75</v>
      </c>
      <c r="AY158" s="76" t="b">
        <f>IFERROR(__xludf.DUMMYFUNCTION("if(regexmatch(G158,""Mage|War Machine""),true,false)"),FALSE)</f>
        <v>0</v>
      </c>
    </row>
    <row r="159" ht="22.5" hidden="1" customHeight="1">
      <c r="A159" s="6" t="s">
        <v>1146</v>
      </c>
      <c r="B159" s="6" t="s">
        <v>1147</v>
      </c>
      <c r="C159" s="6" t="str">
        <f t="shared" si="1"/>
        <v>Disciples The Grafter</v>
      </c>
      <c r="D159" s="6" t="b">
        <v>1</v>
      </c>
      <c r="E159" s="5" t="s">
        <v>202</v>
      </c>
      <c r="F159" s="134" t="s">
        <v>791</v>
      </c>
      <c r="G159" s="5" t="s">
        <v>159</v>
      </c>
      <c r="H159" s="138"/>
      <c r="I159" s="135">
        <v>3.0</v>
      </c>
      <c r="J159" s="135"/>
      <c r="K159" s="60">
        <v>2.0</v>
      </c>
      <c r="L159" s="135">
        <v>1.0</v>
      </c>
      <c r="M159" s="135">
        <v>1.0</v>
      </c>
      <c r="N159" s="135">
        <v>4.0</v>
      </c>
      <c r="O159" s="60" t="s">
        <v>147</v>
      </c>
      <c r="P159" s="136" t="s">
        <v>380</v>
      </c>
      <c r="Q159" s="135">
        <v>4.0</v>
      </c>
      <c r="R159" s="136" t="s">
        <v>153</v>
      </c>
      <c r="S159" s="67" t="s">
        <v>1148</v>
      </c>
      <c r="T159" s="6">
        <v>3.0</v>
      </c>
      <c r="U159" s="76"/>
      <c r="V159" s="76"/>
      <c r="W159" s="6">
        <v>3.0</v>
      </c>
      <c r="X159" s="6"/>
      <c r="Y159" s="76"/>
      <c r="Z159" s="76"/>
      <c r="AA159" s="76"/>
      <c r="AB159" s="6">
        <v>2.0</v>
      </c>
      <c r="AC159" s="76"/>
      <c r="AD159" s="76"/>
      <c r="AE159" s="68" t="s">
        <v>167</v>
      </c>
      <c r="AF159" s="68" t="s">
        <v>167</v>
      </c>
      <c r="AG159" s="68" t="s">
        <v>167</v>
      </c>
      <c r="AH159" s="69" t="s">
        <v>171</v>
      </c>
      <c r="AI159" s="69" t="s">
        <v>171</v>
      </c>
      <c r="AJ159" s="68" t="s">
        <v>167</v>
      </c>
      <c r="AK159" s="76" t="str">
        <f t="array" ref="AK159">INDEX(Factions!C:C, MATCH(E159, Factions!B:B, 0))</f>
        <v>#5c9667</v>
      </c>
      <c r="AL159" s="6" t="str">
        <f t="array" ref="AL159">INDEX(Factions!D:D, MATCH(E159, Factions!B:B, 0))</f>
        <v>#005050</v>
      </c>
      <c r="AM159" s="6" t="str">
        <f t="array" ref="AM159">INDEX(Factions!E:E, MATCH(E159, Factions!B:B, 0))</f>
        <v>#000000</v>
      </c>
      <c r="AN159" s="76" t="str">
        <f t="array" ref="AN159">INDEX(Factions!F:F, MATCH(E159, Factions!B:B, 0))</f>
        <v>#ffffff</v>
      </c>
      <c r="AO159" s="76" t="str">
        <f t="array" ref="AO159">concat(INDEX(Factions!G:G, MATCH(E159, Factions!B:B, 0)),".png")</f>
        <v>disciples.png</v>
      </c>
      <c r="AP159" s="84">
        <f>IFERROR(__xludf.DUMMYFUNCTION("MIN(FILTER(M159:M1098, F159:F1098=F159))"),1.0)</f>
        <v>1</v>
      </c>
      <c r="AQ159" s="76">
        <f t="shared" si="2"/>
        <v>4</v>
      </c>
      <c r="AR159" s="86">
        <f>IFERROR(__xludf.DUMMYFUNCTION("IF(and(REGEXMATCH(S159,""Vengence""),not(REGEXMATCH(S159, ""Protective Markings""))),AQ159,AQ159 * 6 / iferror(R159-1,6))"),6.0)</f>
        <v>6</v>
      </c>
      <c r="AS159" s="88">
        <f t="shared" si="3"/>
        <v>3</v>
      </c>
      <c r="AT159" s="89">
        <f t="shared" si="4"/>
        <v>3</v>
      </c>
      <c r="AU159" s="86">
        <f>IFERROR(__xludf.DUMMYFUNCTION("IF(REGEXMATCH(S159,""&lt;b&gt;Poison&lt;/b&gt;""),1+((1/(7-N159))/3),1)"),1.0)</f>
        <v>1</v>
      </c>
      <c r="AV159" s="86">
        <f>IFERROR(__xludf.DUMMYFUNCTION("IF(REGEXMATCH(S159,""Vengence""),(7 - R159) / 3,0)"),0.0)</f>
        <v>0</v>
      </c>
      <c r="AW159" s="86">
        <f t="shared" si="5"/>
        <v>1.5</v>
      </c>
      <c r="AX159" s="84">
        <f t="shared" si="6"/>
        <v>8.25</v>
      </c>
      <c r="AY159" s="76" t="b">
        <f>IFERROR(__xludf.DUMMYFUNCTION("if(regexmatch(G159,""Mage|War Machine""),true,false)"),TRUE)</f>
        <v>1</v>
      </c>
    </row>
    <row r="160" ht="22.5" hidden="1" customHeight="1">
      <c r="A160" s="6" t="s">
        <v>1149</v>
      </c>
      <c r="B160" s="6" t="s">
        <v>1150</v>
      </c>
      <c r="C160" s="6" t="str">
        <f t="shared" si="1"/>
        <v>Disciples The Speaker</v>
      </c>
      <c r="D160" s="6" t="b">
        <v>1</v>
      </c>
      <c r="E160" s="5" t="s">
        <v>202</v>
      </c>
      <c r="F160" s="134" t="s">
        <v>791</v>
      </c>
      <c r="G160" s="5" t="s">
        <v>159</v>
      </c>
      <c r="H160" s="138"/>
      <c r="I160" s="135">
        <v>3.0</v>
      </c>
      <c r="J160" s="135"/>
      <c r="K160" s="60">
        <v>3.0</v>
      </c>
      <c r="L160" s="135">
        <v>1.0</v>
      </c>
      <c r="M160" s="135">
        <v>1.0</v>
      </c>
      <c r="N160" s="135">
        <v>4.0</v>
      </c>
      <c r="O160" s="60" t="s">
        <v>147</v>
      </c>
      <c r="P160" s="136" t="s">
        <v>380</v>
      </c>
      <c r="Q160" s="135">
        <v>4.0</v>
      </c>
      <c r="R160" s="136" t="s">
        <v>153</v>
      </c>
      <c r="S160" s="44" t="s">
        <v>1151</v>
      </c>
      <c r="T160" s="6">
        <v>3.0</v>
      </c>
      <c r="U160" s="76"/>
      <c r="V160" s="76"/>
      <c r="W160" s="6">
        <v>3.0</v>
      </c>
      <c r="X160" s="76"/>
      <c r="Y160" s="76"/>
      <c r="Z160" s="76"/>
      <c r="AA160" s="76"/>
      <c r="AB160" s="76"/>
      <c r="AC160" s="76"/>
      <c r="AD160" s="76"/>
      <c r="AE160" s="68" t="s">
        <v>167</v>
      </c>
      <c r="AF160" s="68" t="s">
        <v>167</v>
      </c>
      <c r="AG160" s="68" t="s">
        <v>167</v>
      </c>
      <c r="AH160" s="69" t="s">
        <v>171</v>
      </c>
      <c r="AI160" s="69" t="s">
        <v>171</v>
      </c>
      <c r="AJ160" s="68" t="s">
        <v>167</v>
      </c>
      <c r="AK160" s="76" t="str">
        <f t="array" ref="AK160">INDEX(Factions!C:C, MATCH(E160, Factions!B:B, 0))</f>
        <v>#5c9667</v>
      </c>
      <c r="AL160" s="6" t="str">
        <f t="array" ref="AL160">INDEX(Factions!D:D, MATCH(E160, Factions!B:B, 0))</f>
        <v>#005050</v>
      </c>
      <c r="AM160" s="6" t="str">
        <f t="array" ref="AM160">INDEX(Factions!E:E, MATCH(E160, Factions!B:B, 0))</f>
        <v>#000000</v>
      </c>
      <c r="AN160" s="76" t="str">
        <f t="array" ref="AN160">INDEX(Factions!F:F, MATCH(E160, Factions!B:B, 0))</f>
        <v>#ffffff</v>
      </c>
      <c r="AO160" s="76" t="str">
        <f t="array" ref="AO160">concat(INDEX(Factions!G:G, MATCH(E160, Factions!B:B, 0)),".png")</f>
        <v>disciples.png</v>
      </c>
      <c r="AP160" s="84">
        <f>IFERROR(__xludf.DUMMYFUNCTION("MIN(FILTER(M160:M1098, F160:F1098=F160))"),1.0)</f>
        <v>1</v>
      </c>
      <c r="AQ160" s="76">
        <f t="shared" si="2"/>
        <v>4</v>
      </c>
      <c r="AR160" s="86">
        <f>IFERROR(__xludf.DUMMYFUNCTION("IF(and(REGEXMATCH(S160,""Vengence""),not(REGEXMATCH(S160, ""Protective Markings""))),AQ160,AQ160 * 6 / iferror(R160-1,6))"),6.0)</f>
        <v>6</v>
      </c>
      <c r="AS160" s="88">
        <f t="shared" si="3"/>
        <v>3</v>
      </c>
      <c r="AT160" s="89">
        <f t="shared" si="4"/>
        <v>3</v>
      </c>
      <c r="AU160" s="86">
        <f>IFERROR(__xludf.DUMMYFUNCTION("IF(REGEXMATCH(S160,""&lt;b&gt;Poison&lt;/b&gt;""),1+((1/(7-N160))/3),1)"),1.0)</f>
        <v>1</v>
      </c>
      <c r="AV160" s="86">
        <f>IFERROR(__xludf.DUMMYFUNCTION("IF(REGEXMATCH(S160,""Vengence""),(7 - R160) / 3,0)"),0.0)</f>
        <v>0</v>
      </c>
      <c r="AW160" s="86">
        <f t="shared" si="5"/>
        <v>1.5</v>
      </c>
      <c r="AX160" s="84">
        <f t="shared" si="6"/>
        <v>8.25</v>
      </c>
      <c r="AY160" s="76" t="b">
        <f>IFERROR(__xludf.DUMMYFUNCTION("if(regexmatch(G160,""Mage|War Machine""),true,false)"),TRUE)</f>
        <v>1</v>
      </c>
    </row>
    <row r="161" ht="22.5" hidden="1" customHeight="1">
      <c r="A161" s="6" t="s">
        <v>1152</v>
      </c>
      <c r="B161" s="6" t="s">
        <v>1153</v>
      </c>
      <c r="C161" s="6" t="str">
        <f t="shared" si="1"/>
        <v>Disciples The Zookeeper</v>
      </c>
      <c r="D161" s="6" t="b">
        <v>1</v>
      </c>
      <c r="E161" s="5" t="s">
        <v>202</v>
      </c>
      <c r="F161" s="134" t="s">
        <v>791</v>
      </c>
      <c r="G161" s="5" t="s">
        <v>161</v>
      </c>
      <c r="H161" s="138"/>
      <c r="I161" s="135">
        <v>3.0</v>
      </c>
      <c r="J161" s="135"/>
      <c r="K161" s="60">
        <v>2.0</v>
      </c>
      <c r="L161" s="135">
        <v>1.0</v>
      </c>
      <c r="M161" s="135">
        <v>1.0</v>
      </c>
      <c r="N161" s="135">
        <v>3.0</v>
      </c>
      <c r="O161" s="60">
        <v>5.0</v>
      </c>
      <c r="P161" s="136" t="s">
        <v>194</v>
      </c>
      <c r="Q161" s="135">
        <v>5.0</v>
      </c>
      <c r="R161" s="136" t="s">
        <v>217</v>
      </c>
      <c r="S161" s="144" t="s">
        <v>1154</v>
      </c>
      <c r="T161" s="6">
        <v>5.0</v>
      </c>
      <c r="U161" s="6" t="s">
        <v>1155</v>
      </c>
      <c r="V161" s="76"/>
      <c r="W161" s="76"/>
      <c r="X161" s="76"/>
      <c r="Y161" s="6">
        <v>3.0</v>
      </c>
      <c r="Z161" s="6">
        <v>3.0</v>
      </c>
      <c r="AA161" s="6">
        <v>3.0</v>
      </c>
      <c r="AB161" s="6">
        <v>3.0</v>
      </c>
      <c r="AC161" s="6">
        <v>3.0</v>
      </c>
      <c r="AD161" s="6">
        <v>2.0</v>
      </c>
      <c r="AE161" s="68" t="s">
        <v>167</v>
      </c>
      <c r="AF161" s="90" t="s">
        <v>195</v>
      </c>
      <c r="AG161" s="68" t="s">
        <v>167</v>
      </c>
      <c r="AH161" s="68" t="s">
        <v>167</v>
      </c>
      <c r="AI161" s="68" t="s">
        <v>167</v>
      </c>
      <c r="AJ161" s="69" t="s">
        <v>171</v>
      </c>
      <c r="AK161" s="76" t="str">
        <f t="array" ref="AK161">INDEX(Factions!C:C, MATCH(E161, Factions!B:B, 0))</f>
        <v>#5c9667</v>
      </c>
      <c r="AL161" s="6" t="str">
        <f t="array" ref="AL161">INDEX(Factions!D:D, MATCH(E161, Factions!B:B, 0))</f>
        <v>#005050</v>
      </c>
      <c r="AM161" s="6" t="str">
        <f t="array" ref="AM161">INDEX(Factions!E:E, MATCH(E161, Factions!B:B, 0))</f>
        <v>#000000</v>
      </c>
      <c r="AN161" s="76" t="str">
        <f t="array" ref="AN161">INDEX(Factions!F:F, MATCH(E161, Factions!B:B, 0))</f>
        <v>#ffffff</v>
      </c>
      <c r="AO161" s="76" t="str">
        <f t="array" ref="AO161">concat(INDEX(Factions!G:G, MATCH(E161, Factions!B:B, 0)),".png")</f>
        <v>disciples.png</v>
      </c>
      <c r="AP161" s="84">
        <f>IFERROR(__xludf.DUMMYFUNCTION("MIN(FILTER(M161:M1098, F161:F1098=F161))"),1.0)</f>
        <v>1</v>
      </c>
      <c r="AQ161" s="76">
        <f t="shared" si="2"/>
        <v>5</v>
      </c>
      <c r="AR161" s="86">
        <f>IFERROR(__xludf.DUMMYFUNCTION("IF(and(REGEXMATCH(S161,""Vengence""),not(REGEXMATCH(S161, ""Protective Markings""))),AQ161,AQ161 * 6 / iferror(R161-1,6))"),6.0)</f>
        <v>6</v>
      </c>
      <c r="AS161" s="88">
        <f t="shared" si="3"/>
        <v>4</v>
      </c>
      <c r="AT161" s="89">
        <f t="shared" si="4"/>
        <v>4</v>
      </c>
      <c r="AU161" s="86">
        <f>IFERROR(__xludf.DUMMYFUNCTION("IF(REGEXMATCH(S161,""&lt;b&gt;Poison&lt;/b&gt;""),1+((1/(7-N161))/3),1)"),1.0)</f>
        <v>1</v>
      </c>
      <c r="AV161" s="86">
        <f>IFERROR(__xludf.DUMMYFUNCTION("IF(REGEXMATCH(S161,""Vengence""),(7 - R161) / 3,0)"),0.0)</f>
        <v>0</v>
      </c>
      <c r="AW161" s="86">
        <f t="shared" si="5"/>
        <v>2.666666667</v>
      </c>
      <c r="AX161" s="84">
        <f t="shared" si="6"/>
        <v>10</v>
      </c>
      <c r="AY161" s="76" t="b">
        <f>IFERROR(__xludf.DUMMYFUNCTION("if(regexmatch(G161,""Mage|War Machine""),true,false)"),FALSE)</f>
        <v>0</v>
      </c>
    </row>
    <row r="162" ht="22.5" hidden="1" customHeight="1">
      <c r="A162" s="6"/>
      <c r="B162" s="6"/>
      <c r="C162" s="6" t="str">
        <f t="shared" si="1"/>
        <v> </v>
      </c>
      <c r="D162" s="6"/>
      <c r="E162" s="8"/>
      <c r="F162" s="134"/>
      <c r="G162" s="8"/>
      <c r="H162" s="138"/>
      <c r="I162" s="135"/>
      <c r="J162" s="135"/>
      <c r="K162" s="138"/>
      <c r="L162" s="135"/>
      <c r="M162" s="135"/>
      <c r="N162" s="135"/>
      <c r="O162" s="60"/>
      <c r="P162" s="136"/>
      <c r="Q162" s="135"/>
      <c r="R162" s="136"/>
      <c r="S162" s="144"/>
      <c r="T162" s="76"/>
      <c r="U162" s="76"/>
      <c r="V162" s="76"/>
      <c r="W162" s="76"/>
      <c r="X162" s="76"/>
      <c r="Y162" s="76"/>
      <c r="Z162" s="76"/>
      <c r="AA162" s="76"/>
      <c r="AB162" s="76"/>
      <c r="AC162" s="76"/>
      <c r="AD162" s="76"/>
      <c r="AE162" s="68" t="s">
        <v>167</v>
      </c>
      <c r="AF162" s="68" t="s">
        <v>167</v>
      </c>
      <c r="AG162" s="68" t="s">
        <v>167</v>
      </c>
      <c r="AH162" s="68" t="s">
        <v>167</v>
      </c>
      <c r="AI162" s="68" t="s">
        <v>167</v>
      </c>
      <c r="AJ162" s="68" t="s">
        <v>167</v>
      </c>
      <c r="AK162" s="76" t="str">
        <f t="array" ref="AK162">INDEX(Factions!C:C, MATCH(E162, Factions!B:B, 0))</f>
        <v>#N/A</v>
      </c>
      <c r="AL162" s="6" t="str">
        <f t="array" ref="AL162">INDEX(Factions!D:D, MATCH(E162, Factions!B:B, 0))</f>
        <v>#N/A</v>
      </c>
      <c r="AM162" s="6" t="str">
        <f t="array" ref="AM162">INDEX(Factions!E:E, MATCH(E162, Factions!B:B, 0))</f>
        <v>#N/A</v>
      </c>
      <c r="AN162" s="76" t="str">
        <f t="array" ref="AN162">INDEX(Factions!F:F, MATCH(E162, Factions!B:B, 0))</f>
        <v>#N/A</v>
      </c>
      <c r="AO162" s="76" t="str">
        <f t="array" ref="AO162">concat(INDEX(Factions!G:G, MATCH(E162, Factions!B:B, 0)),".png")</f>
        <v>#N/A</v>
      </c>
      <c r="AP162" s="84">
        <f>IFERROR(__xludf.DUMMYFUNCTION("MIN(FILTER(M162:M1098, F162:F1098=F162))"),0.0)</f>
        <v>0</v>
      </c>
      <c r="AQ162" s="76">
        <f t="shared" si="2"/>
        <v>0</v>
      </c>
      <c r="AR162" s="86">
        <f>IFERROR(__xludf.DUMMYFUNCTION("IF(and(REGEXMATCH(S162,""Vengence""),not(REGEXMATCH(S162, ""Protective Markings""))),AQ162,AQ162 * 6 / iferror(R162-1,6))"),0.0)</f>
        <v>0</v>
      </c>
      <c r="AS162" s="88">
        <f t="shared" si="3"/>
        <v>0</v>
      </c>
      <c r="AT162" s="89">
        <f t="shared" si="4"/>
        <v>0</v>
      </c>
      <c r="AU162" s="86">
        <f>IFERROR(__xludf.DUMMYFUNCTION("IF(REGEXMATCH(S162,""&lt;b&gt;Poison&lt;/b&gt;""),1+((1/(7-N162))/3),1)"),1.0)</f>
        <v>1</v>
      </c>
      <c r="AV162" s="86">
        <f>IFERROR(__xludf.DUMMYFUNCTION("IF(REGEXMATCH(S162,""Vengence""),(7 - R162) / 3,0)"),0.0)</f>
        <v>0</v>
      </c>
      <c r="AW162" s="86">
        <f t="shared" si="5"/>
        <v>0</v>
      </c>
      <c r="AX162" s="84">
        <f t="shared" si="6"/>
        <v>0</v>
      </c>
      <c r="AY162" s="76" t="b">
        <f>IFERROR(__xludf.DUMMYFUNCTION("if(regexmatch(G162,""Mage|War Machine""),true,false)"),FALSE)</f>
        <v>0</v>
      </c>
    </row>
    <row r="163" ht="22.5" hidden="1" customHeight="1">
      <c r="A163" s="6"/>
      <c r="B163" s="6"/>
      <c r="C163" s="6" t="str">
        <f t="shared" si="1"/>
        <v> </v>
      </c>
      <c r="D163" s="6"/>
      <c r="E163" s="8"/>
      <c r="F163" s="134"/>
      <c r="G163" s="8"/>
      <c r="H163" s="138"/>
      <c r="I163" s="135"/>
      <c r="J163" s="135"/>
      <c r="K163" s="138"/>
      <c r="L163" s="135"/>
      <c r="M163" s="135"/>
      <c r="N163" s="135"/>
      <c r="O163" s="60"/>
      <c r="P163" s="136"/>
      <c r="Q163" s="135"/>
      <c r="R163" s="136"/>
      <c r="S163" s="144"/>
      <c r="T163" s="76"/>
      <c r="U163" s="76"/>
      <c r="V163" s="76"/>
      <c r="W163" s="76"/>
      <c r="X163" s="76"/>
      <c r="Y163" s="76"/>
      <c r="Z163" s="76"/>
      <c r="AA163" s="76"/>
      <c r="AB163" s="76"/>
      <c r="AC163" s="76"/>
      <c r="AD163" s="76"/>
      <c r="AE163" s="68" t="s">
        <v>167</v>
      </c>
      <c r="AF163" s="68" t="s">
        <v>167</v>
      </c>
      <c r="AG163" s="68" t="s">
        <v>167</v>
      </c>
      <c r="AH163" s="68" t="s">
        <v>167</v>
      </c>
      <c r="AI163" s="68" t="s">
        <v>167</v>
      </c>
      <c r="AJ163" s="68" t="s">
        <v>167</v>
      </c>
      <c r="AK163" s="76" t="str">
        <f t="array" ref="AK163">INDEX(Factions!C:C, MATCH(E163, Factions!B:B, 0))</f>
        <v>#N/A</v>
      </c>
      <c r="AL163" s="6" t="str">
        <f t="array" ref="AL163">INDEX(Factions!D:D, MATCH(E163, Factions!B:B, 0))</f>
        <v>#N/A</v>
      </c>
      <c r="AM163" s="6" t="str">
        <f t="array" ref="AM163">INDEX(Factions!E:E, MATCH(E163, Factions!B:B, 0))</f>
        <v>#N/A</v>
      </c>
      <c r="AN163" s="76" t="str">
        <f t="array" ref="AN163">INDEX(Factions!F:F, MATCH(E163, Factions!B:B, 0))</f>
        <v>#N/A</v>
      </c>
      <c r="AO163" s="76" t="str">
        <f t="array" ref="AO163">concat(INDEX(Factions!G:G, MATCH(E163, Factions!B:B, 0)),".png")</f>
        <v>#N/A</v>
      </c>
      <c r="AP163" s="84">
        <f>IFERROR(__xludf.DUMMYFUNCTION("MIN(FILTER(M163:M1098, F163:F1098=F163))"),0.0)</f>
        <v>0</v>
      </c>
      <c r="AQ163" s="76">
        <f t="shared" si="2"/>
        <v>0</v>
      </c>
      <c r="AR163" s="86">
        <f>IFERROR(__xludf.DUMMYFUNCTION("IF(and(REGEXMATCH(S163,""Vengence""),not(REGEXMATCH(S163, ""Protective Markings""))),AQ163,AQ163 * 6 / iferror(R163-1,6))"),0.0)</f>
        <v>0</v>
      </c>
      <c r="AS163" s="88">
        <f t="shared" si="3"/>
        <v>0</v>
      </c>
      <c r="AT163" s="89">
        <f t="shared" si="4"/>
        <v>0</v>
      </c>
      <c r="AU163" s="86">
        <f>IFERROR(__xludf.DUMMYFUNCTION("IF(REGEXMATCH(S163,""&lt;b&gt;Poison&lt;/b&gt;""),1+((1/(7-N163))/3),1)"),1.0)</f>
        <v>1</v>
      </c>
      <c r="AV163" s="86">
        <f>IFERROR(__xludf.DUMMYFUNCTION("IF(REGEXMATCH(S163,""Vengence""),(7 - R163) / 3,0)"),0.0)</f>
        <v>0</v>
      </c>
      <c r="AW163" s="86">
        <f t="shared" si="5"/>
        <v>0</v>
      </c>
      <c r="AX163" s="84">
        <f t="shared" si="6"/>
        <v>0</v>
      </c>
      <c r="AY163" s="76" t="b">
        <f>IFERROR(__xludf.DUMMYFUNCTION("if(regexmatch(G163,""Mage|War Machine""),true,false)"),FALSE)</f>
        <v>0</v>
      </c>
    </row>
    <row r="164" ht="22.5" hidden="1" customHeight="1">
      <c r="A164" s="6"/>
      <c r="B164" s="9"/>
      <c r="C164" s="6" t="str">
        <f t="shared" si="1"/>
        <v>Slimes </v>
      </c>
      <c r="D164" s="6"/>
      <c r="E164" s="5" t="s">
        <v>344</v>
      </c>
      <c r="F164" s="134"/>
      <c r="G164" s="8"/>
      <c r="H164" s="138"/>
      <c r="I164" s="60"/>
      <c r="J164" s="137"/>
      <c r="K164" s="138"/>
      <c r="L164" s="137"/>
      <c r="M164" s="137"/>
      <c r="N164" s="137"/>
      <c r="O164" s="138"/>
      <c r="P164" s="207"/>
      <c r="Q164" s="137"/>
      <c r="R164" s="207"/>
      <c r="S164" s="67" t="s">
        <v>1156</v>
      </c>
      <c r="T164" s="76"/>
      <c r="U164" s="76"/>
      <c r="V164" s="76"/>
      <c r="W164" s="76"/>
      <c r="X164" s="76"/>
      <c r="Y164" s="76"/>
      <c r="Z164" s="76"/>
      <c r="AA164" s="76"/>
      <c r="AB164" s="76"/>
      <c r="AC164" s="76"/>
      <c r="AD164" s="76"/>
      <c r="AE164" s="68" t="s">
        <v>167</v>
      </c>
      <c r="AF164" s="68" t="s">
        <v>167</v>
      </c>
      <c r="AG164" s="68" t="s">
        <v>167</v>
      </c>
      <c r="AH164" s="68" t="s">
        <v>167</v>
      </c>
      <c r="AI164" s="68" t="s">
        <v>167</v>
      </c>
      <c r="AJ164" s="68" t="s">
        <v>167</v>
      </c>
      <c r="AK164" s="76" t="str">
        <f t="array" ref="AK164">INDEX(Factions!C:C, MATCH(E164, Factions!B:B, 0))</f>
        <v>#00ffff</v>
      </c>
      <c r="AL164" s="6" t="str">
        <f t="array" ref="AL164">INDEX(Factions!D:D, MATCH(E164, Factions!B:B, 0))</f>
        <v>#ff00ee</v>
      </c>
      <c r="AM164" s="6" t="str">
        <f t="array" ref="AM164">INDEX(Factions!E:E, MATCH(E164, Factions!B:B, 0))</f>
        <v>#000000</v>
      </c>
      <c r="AN164" s="76" t="str">
        <f t="array" ref="AN164">INDEX(Factions!F:F, MATCH(E164, Factions!B:B, 0))</f>
        <v>#ffffff</v>
      </c>
      <c r="AO164" s="76" t="str">
        <f t="array" ref="AO164">concat(INDEX(Factions!G:G, MATCH(E164, Factions!B:B, 0)),".png")</f>
        <v>slimes.png</v>
      </c>
      <c r="AP164" s="76">
        <f>IFERROR(__xludf.DUMMYFUNCTION("MIN(FILTER(M164:M1098, F164:F1098=F164))"),0.0)</f>
        <v>0</v>
      </c>
      <c r="AQ164" s="76">
        <f t="shared" si="2"/>
        <v>0</v>
      </c>
      <c r="AR164" s="86">
        <f>IFERROR(__xludf.DUMMYFUNCTION("IF(and(REGEXMATCH(S164,""Vengence""),not(REGEXMATCH(S164, ""Protective Markings""))),AQ164,AQ164 * 6 / iferror(R164-1,6))"),0.0)</f>
        <v>0</v>
      </c>
      <c r="AS164" s="88">
        <f t="shared" si="3"/>
        <v>0</v>
      </c>
      <c r="AT164" s="89">
        <f t="shared" si="4"/>
        <v>0</v>
      </c>
      <c r="AU164" s="86">
        <f>IFERROR(__xludf.DUMMYFUNCTION("IF(REGEXMATCH(S164,""&lt;b&gt;Poison&lt;/b&gt;""),1+((1/(7-N164))/3),1)"),1.0)</f>
        <v>1</v>
      </c>
      <c r="AV164" s="86">
        <f>IFERROR(__xludf.DUMMYFUNCTION("IF(REGEXMATCH(S164,""Vengence""),(7 - R164) / 3,0)"),0.0)</f>
        <v>0</v>
      </c>
      <c r="AW164" s="86">
        <f t="shared" si="5"/>
        <v>0</v>
      </c>
      <c r="AX164" s="84">
        <f t="shared" si="6"/>
        <v>0</v>
      </c>
      <c r="AY164" s="76" t="b">
        <f>IFERROR(__xludf.DUMMYFUNCTION("if(regexmatch(G164,""Mage|War Machine""),true,false)"),FALSE)</f>
        <v>0</v>
      </c>
    </row>
    <row r="165" ht="22.5" hidden="1" customHeight="1">
      <c r="A165" s="6"/>
      <c r="B165" s="6"/>
      <c r="E165" s="102"/>
      <c r="F165" s="208"/>
      <c r="G165" s="102"/>
      <c r="I165" s="202"/>
      <c r="J165" s="202"/>
      <c r="L165" s="202"/>
      <c r="M165" s="202"/>
      <c r="N165" s="202"/>
      <c r="P165" s="208"/>
      <c r="Q165" s="202"/>
      <c r="R165" s="208"/>
      <c r="T165" s="76"/>
      <c r="U165" s="76"/>
      <c r="V165" s="76"/>
      <c r="W165" s="76"/>
      <c r="X165" s="76"/>
      <c r="Y165" s="76"/>
      <c r="Z165" s="76"/>
      <c r="AA165" s="76"/>
      <c r="AB165" s="76"/>
      <c r="AC165" s="76"/>
      <c r="AD165" s="76"/>
      <c r="AE165" s="209"/>
      <c r="AF165" s="209"/>
      <c r="AG165" s="209"/>
      <c r="AH165" s="209"/>
      <c r="AI165" s="209"/>
      <c r="AJ165" s="209"/>
      <c r="AK165" s="76" t="str">
        <f t="array" ref="AK165">INDEX(Factions!C:C, MATCH(E165, Factions!B:B, 0))</f>
        <v>#N/A</v>
      </c>
      <c r="AL165" s="6" t="str">
        <f t="array" ref="AL165">INDEX(Factions!D:D, MATCH(E165, Factions!B:B, 0))</f>
        <v>#N/A</v>
      </c>
      <c r="AM165" s="6" t="str">
        <f t="array" ref="AM165">INDEX(Factions!E:E, MATCH(E165, Factions!B:B, 0))</f>
        <v>#N/A</v>
      </c>
      <c r="AN165" s="76" t="str">
        <f t="array" ref="AN165">INDEX(Factions!F:F, MATCH(E165, Factions!B:B, 0))</f>
        <v>#N/A</v>
      </c>
      <c r="AO165" s="76" t="str">
        <f t="array" ref="AO165">concat(INDEX(Factions!G:G, MATCH(E165, Factions!B:B, 0)),".png")</f>
        <v>#N/A</v>
      </c>
      <c r="AP165" s="76">
        <f>IFERROR(__xludf.DUMMYFUNCTION("MIN(FILTER(M165:M1098, F165:F1098=F165))"),0.0)</f>
        <v>0</v>
      </c>
      <c r="AQ165" s="76">
        <f t="shared" si="2"/>
        <v>0</v>
      </c>
      <c r="AR165" s="86">
        <f>IFERROR(__xludf.DUMMYFUNCTION("IF(and(REGEXMATCH(S165,""Vengence""),not(REGEXMATCH(S165, ""Protective Markings""))),AQ165,AQ165 * 6 / iferror(R165-1,6))"),0.0)</f>
        <v>0</v>
      </c>
      <c r="AS165" s="143">
        <f t="shared" si="3"/>
        <v>0</v>
      </c>
      <c r="AT165" s="89">
        <f t="shared" si="4"/>
        <v>0</v>
      </c>
      <c r="AU165" s="86">
        <f>IFERROR(__xludf.DUMMYFUNCTION("IF(REGEXMATCH(S165,""&lt;b&gt;Poison&lt;/b&gt;""),1+((1/(7-N165))/3),1)"),1.0)</f>
        <v>1</v>
      </c>
      <c r="AV165" s="86">
        <f>IFERROR(__xludf.DUMMYFUNCTION("IF(REGEXMATCH(S165,""Vengence""),(7 - R165) / 3,0)"),0.0)</f>
        <v>0</v>
      </c>
      <c r="AW165" s="86">
        <f t="shared" si="5"/>
        <v>0</v>
      </c>
      <c r="AX165" s="84">
        <f t="shared" si="6"/>
        <v>0</v>
      </c>
      <c r="AY165" s="76" t="b">
        <f>IFERROR(__xludf.DUMMYFUNCTION("if(regexmatch(G165,""Mage|War Machine""),true,false)"),FALSE)</f>
        <v>0</v>
      </c>
    </row>
    <row r="166" ht="22.5" hidden="1" customHeight="1">
      <c r="A166" s="6"/>
      <c r="B166" s="6"/>
      <c r="E166" s="102"/>
      <c r="F166" s="208"/>
      <c r="G166" s="102"/>
      <c r="I166" s="202"/>
      <c r="J166" s="202"/>
      <c r="L166" s="202"/>
      <c r="M166" s="202"/>
      <c r="N166" s="202"/>
      <c r="P166" s="208"/>
      <c r="Q166" s="202"/>
      <c r="R166" s="208"/>
      <c r="T166" s="76"/>
      <c r="U166" s="76"/>
      <c r="V166" s="76"/>
      <c r="W166" s="76"/>
      <c r="X166" s="76"/>
      <c r="Y166" s="76"/>
      <c r="Z166" s="76"/>
      <c r="AA166" s="76"/>
      <c r="AB166" s="76"/>
      <c r="AC166" s="76"/>
      <c r="AD166" s="76"/>
      <c r="AE166" s="209"/>
      <c r="AF166" s="209"/>
      <c r="AG166" s="209"/>
      <c r="AH166" s="209"/>
      <c r="AI166" s="209"/>
      <c r="AJ166" s="209"/>
      <c r="AK166" s="76" t="str">
        <f t="array" ref="AK166">INDEX(Factions!C:C, MATCH(E166, Factions!B:B, 0))</f>
        <v>#N/A</v>
      </c>
      <c r="AL166" s="6" t="str">
        <f t="array" ref="AL166">INDEX(Factions!D:D, MATCH(E166, Factions!B:B, 0))</f>
        <v>#N/A</v>
      </c>
      <c r="AM166" s="6" t="str">
        <f t="array" ref="AM166">INDEX(Factions!E:E, MATCH(E166, Factions!B:B, 0))</f>
        <v>#N/A</v>
      </c>
      <c r="AN166" s="76" t="str">
        <f t="array" ref="AN166">INDEX(Factions!F:F, MATCH(E166, Factions!B:B, 0))</f>
        <v>#N/A</v>
      </c>
      <c r="AO166" s="76" t="str">
        <f t="array" ref="AO166">concat(INDEX(Factions!G:G, MATCH(E166, Factions!B:B, 0)),".png")</f>
        <v>#N/A</v>
      </c>
      <c r="AP166" s="76">
        <f>IFERROR(__xludf.DUMMYFUNCTION("MIN(FILTER(M166:M1098, F166:F1098=F166))"),0.0)</f>
        <v>0</v>
      </c>
      <c r="AQ166" s="76">
        <f t="shared" si="2"/>
        <v>0</v>
      </c>
      <c r="AR166" s="86">
        <f>IFERROR(__xludf.DUMMYFUNCTION("IF(and(REGEXMATCH(S166,""Vengence""),not(REGEXMATCH(S166, ""Protective Markings""))),AQ166,AQ166 * 6 / iferror(R166-1,6))"),0.0)</f>
        <v>0</v>
      </c>
      <c r="AS166" s="143">
        <f t="shared" si="3"/>
        <v>0</v>
      </c>
      <c r="AT166" s="89">
        <f t="shared" si="4"/>
        <v>0</v>
      </c>
      <c r="AU166" s="86">
        <f>IFERROR(__xludf.DUMMYFUNCTION("IF(REGEXMATCH(S166,""&lt;b&gt;Poison&lt;/b&gt;""),1+((1/(7-N166))/3),1)"),1.0)</f>
        <v>1</v>
      </c>
      <c r="AV166" s="86">
        <f>IFERROR(__xludf.DUMMYFUNCTION("IF(REGEXMATCH(S166,""Vengence""),(7 - R166) / 3,0)"),0.0)</f>
        <v>0</v>
      </c>
      <c r="AW166" s="86">
        <f t="shared" si="5"/>
        <v>0</v>
      </c>
      <c r="AX166" s="84">
        <f t="shared" si="6"/>
        <v>0</v>
      </c>
      <c r="AY166" s="76" t="b">
        <f>IFERROR(__xludf.DUMMYFUNCTION("if(regexmatch(G166,""Mage|War Machine""),true,false)"),FALSE)</f>
        <v>0</v>
      </c>
    </row>
    <row r="167" ht="22.5" hidden="1" customHeight="1">
      <c r="A167" s="6"/>
      <c r="B167" s="6"/>
      <c r="E167" s="102"/>
      <c r="F167" s="208"/>
      <c r="G167" s="102"/>
      <c r="I167" s="202"/>
      <c r="J167" s="202"/>
      <c r="L167" s="202"/>
      <c r="M167" s="202"/>
      <c r="N167" s="202"/>
      <c r="P167" s="208"/>
      <c r="Q167" s="202"/>
      <c r="R167" s="208"/>
      <c r="T167" s="76"/>
      <c r="U167" s="76"/>
      <c r="V167" s="76"/>
      <c r="W167" s="76"/>
      <c r="X167" s="76"/>
      <c r="Y167" s="76"/>
      <c r="Z167" s="76"/>
      <c r="AA167" s="76"/>
      <c r="AB167" s="76"/>
      <c r="AC167" s="76"/>
      <c r="AD167" s="76"/>
      <c r="AE167" s="209"/>
      <c r="AF167" s="209"/>
      <c r="AG167" s="209"/>
      <c r="AH167" s="209"/>
      <c r="AI167" s="209"/>
      <c r="AJ167" s="209"/>
      <c r="AK167" s="76" t="str">
        <f t="array" ref="AK167">INDEX(Factions!C:C, MATCH(E167, Factions!B:B, 0))</f>
        <v>#N/A</v>
      </c>
      <c r="AL167" s="6" t="str">
        <f t="array" ref="AL167">INDEX(Factions!D:D, MATCH(E167, Factions!B:B, 0))</f>
        <v>#N/A</v>
      </c>
      <c r="AM167" s="6" t="str">
        <f t="array" ref="AM167">INDEX(Factions!E:E, MATCH(E167, Factions!B:B, 0))</f>
        <v>#N/A</v>
      </c>
      <c r="AN167" s="76" t="str">
        <f t="array" ref="AN167">INDEX(Factions!F:F, MATCH(E167, Factions!B:B, 0))</f>
        <v>#N/A</v>
      </c>
      <c r="AO167" s="76" t="str">
        <f t="array" ref="AO167">concat(INDEX(Factions!G:G, MATCH(E167, Factions!B:B, 0)),".png")</f>
        <v>#N/A</v>
      </c>
      <c r="AP167" s="76">
        <f>IFERROR(__xludf.DUMMYFUNCTION("MIN(FILTER(M167:M1098, F167:F1098=F167))"),0.0)</f>
        <v>0</v>
      </c>
      <c r="AQ167" s="76">
        <f t="shared" si="2"/>
        <v>0</v>
      </c>
      <c r="AR167" s="86">
        <f>IFERROR(__xludf.DUMMYFUNCTION("IF(and(REGEXMATCH(S167,""Vengence""),not(REGEXMATCH(S167, ""Protective Markings""))),AQ167,AQ167 * 6 / iferror(R167-1,6))"),0.0)</f>
        <v>0</v>
      </c>
      <c r="AS167" s="143">
        <f t="shared" si="3"/>
        <v>0</v>
      </c>
      <c r="AT167" s="89">
        <f t="shared" si="4"/>
        <v>0</v>
      </c>
      <c r="AU167" s="86">
        <f>IFERROR(__xludf.DUMMYFUNCTION("IF(REGEXMATCH(S167,""&lt;b&gt;Poison&lt;/b&gt;""),1+((1/(7-N167))/3),1)"),1.0)</f>
        <v>1</v>
      </c>
      <c r="AV167" s="86">
        <f>IFERROR(__xludf.DUMMYFUNCTION("IF(REGEXMATCH(S167,""Vengence""),(7 - R167) / 3,0)"),0.0)</f>
        <v>0</v>
      </c>
      <c r="AW167" s="86">
        <f t="shared" si="5"/>
        <v>0</v>
      </c>
      <c r="AX167" s="84">
        <f t="shared" si="6"/>
        <v>0</v>
      </c>
      <c r="AY167" s="76" t="b">
        <f>IFERROR(__xludf.DUMMYFUNCTION("if(regexmatch(G167,""Mage|War Machine""),true,false)"),FALSE)</f>
        <v>0</v>
      </c>
    </row>
    <row r="168" ht="22.5" hidden="1" customHeight="1">
      <c r="A168" s="6"/>
      <c r="B168" s="6"/>
      <c r="E168" s="102"/>
      <c r="F168" s="208"/>
      <c r="G168" s="102"/>
      <c r="I168" s="202"/>
      <c r="J168" s="202"/>
      <c r="L168" s="202"/>
      <c r="M168" s="202"/>
      <c r="N168" s="202"/>
      <c r="P168" s="208"/>
      <c r="Q168" s="202"/>
      <c r="R168" s="208"/>
      <c r="T168" s="76"/>
      <c r="U168" s="76"/>
      <c r="V168" s="76"/>
      <c r="W168" s="76"/>
      <c r="X168" s="76"/>
      <c r="Y168" s="76"/>
      <c r="Z168" s="76"/>
      <c r="AA168" s="76"/>
      <c r="AB168" s="76"/>
      <c r="AC168" s="76"/>
      <c r="AD168" s="76"/>
      <c r="AE168" s="209"/>
      <c r="AF168" s="209"/>
      <c r="AG168" s="209"/>
      <c r="AH168" s="209"/>
      <c r="AI168" s="209"/>
      <c r="AJ168" s="209"/>
      <c r="AK168" s="76" t="str">
        <f t="array" ref="AK168">INDEX(Factions!C:C, MATCH(E168, Factions!B:B, 0))</f>
        <v>#N/A</v>
      </c>
      <c r="AL168" s="6" t="str">
        <f t="array" ref="AL168">INDEX(Factions!D:D, MATCH(E168, Factions!B:B, 0))</f>
        <v>#N/A</v>
      </c>
      <c r="AM168" s="6" t="str">
        <f t="array" ref="AM168">INDEX(Factions!E:E, MATCH(E168, Factions!B:B, 0))</f>
        <v>#N/A</v>
      </c>
      <c r="AN168" s="76" t="str">
        <f t="array" ref="AN168">INDEX(Factions!F:F, MATCH(E168, Factions!B:B, 0))</f>
        <v>#N/A</v>
      </c>
      <c r="AO168" s="76" t="str">
        <f t="array" ref="AO168">concat(INDEX(Factions!G:G, MATCH(E168, Factions!B:B, 0)),".png")</f>
        <v>#N/A</v>
      </c>
      <c r="AP168" s="76">
        <f>IFERROR(__xludf.DUMMYFUNCTION("MIN(FILTER(M168:M1098, F168:F1098=F168))"),0.0)</f>
        <v>0</v>
      </c>
      <c r="AQ168" s="76">
        <f t="shared" si="2"/>
        <v>0</v>
      </c>
      <c r="AR168" s="86">
        <f>IFERROR(__xludf.DUMMYFUNCTION("IF(and(REGEXMATCH(S168,""Vengence""),not(REGEXMATCH(S168, ""Protective Markings""))),AQ168,AQ168 * 6 / iferror(R168-1,6))"),0.0)</f>
        <v>0</v>
      </c>
      <c r="AS168" s="143">
        <f t="shared" si="3"/>
        <v>0</v>
      </c>
      <c r="AT168" s="89">
        <f t="shared" si="4"/>
        <v>0</v>
      </c>
      <c r="AU168" s="86">
        <f>IFERROR(__xludf.DUMMYFUNCTION("IF(REGEXMATCH(S168,""&lt;b&gt;Poison&lt;/b&gt;""),1+((1/(7-N168))/3),1)"),1.0)</f>
        <v>1</v>
      </c>
      <c r="AV168" s="86">
        <f>IFERROR(__xludf.DUMMYFUNCTION("IF(REGEXMATCH(S168,""Vengence""),(7 - R168) / 3,0)"),0.0)</f>
        <v>0</v>
      </c>
      <c r="AW168" s="86">
        <f t="shared" si="5"/>
        <v>0</v>
      </c>
      <c r="AX168" s="84">
        <f t="shared" si="6"/>
        <v>0</v>
      </c>
      <c r="AY168" s="76" t="b">
        <f>IFERROR(__xludf.DUMMYFUNCTION("if(regexmatch(G168,""Mage|War Machine""),true,false)"),FALSE)</f>
        <v>0</v>
      </c>
    </row>
    <row r="169" ht="22.5" hidden="1" customHeight="1">
      <c r="A169" s="6"/>
      <c r="B169" s="6"/>
      <c r="E169" s="102"/>
      <c r="F169" s="208"/>
      <c r="G169" s="102"/>
      <c r="I169" s="202"/>
      <c r="J169" s="202"/>
      <c r="L169" s="202"/>
      <c r="M169" s="202"/>
      <c r="N169" s="202"/>
      <c r="P169" s="208"/>
      <c r="Q169" s="202"/>
      <c r="R169" s="208"/>
      <c r="T169" s="76"/>
      <c r="U169" s="76"/>
      <c r="V169" s="76"/>
      <c r="W169" s="76"/>
      <c r="X169" s="76"/>
      <c r="Y169" s="76"/>
      <c r="Z169" s="76"/>
      <c r="AA169" s="76"/>
      <c r="AB169" s="76"/>
      <c r="AC169" s="76"/>
      <c r="AD169" s="76"/>
      <c r="AE169" s="209"/>
      <c r="AF169" s="209"/>
      <c r="AG169" s="209"/>
      <c r="AH169" s="209"/>
      <c r="AI169" s="209"/>
      <c r="AJ169" s="209"/>
      <c r="AK169" s="76" t="str">
        <f t="array" ref="AK169">INDEX(Factions!C:C, MATCH(E169, Factions!B:B, 0))</f>
        <v>#N/A</v>
      </c>
      <c r="AL169" s="6" t="str">
        <f t="array" ref="AL169">INDEX(Factions!D:D, MATCH(E169, Factions!B:B, 0))</f>
        <v>#N/A</v>
      </c>
      <c r="AM169" s="6" t="str">
        <f t="array" ref="AM169">INDEX(Factions!E:E, MATCH(E169, Factions!B:B, 0))</f>
        <v>#N/A</v>
      </c>
      <c r="AN169" s="76" t="str">
        <f t="array" ref="AN169">INDEX(Factions!F:F, MATCH(E169, Factions!B:B, 0))</f>
        <v>#N/A</v>
      </c>
      <c r="AO169" s="76" t="str">
        <f t="array" ref="AO169">concat(INDEX(Factions!G:G, MATCH(E169, Factions!B:B, 0)),".png")</f>
        <v>#N/A</v>
      </c>
      <c r="AP169" s="76">
        <f>IFERROR(__xludf.DUMMYFUNCTION("MIN(FILTER(M169:M1098, F169:F1098=F169))"),0.0)</f>
        <v>0</v>
      </c>
      <c r="AQ169" s="76">
        <f t="shared" si="2"/>
        <v>0</v>
      </c>
      <c r="AR169" s="86">
        <f>IFERROR(__xludf.DUMMYFUNCTION("IF(and(REGEXMATCH(S169,""Vengence""),not(REGEXMATCH(S169, ""Protective Markings""))),AQ169,AQ169 * 6 / iferror(R169-1,6))"),0.0)</f>
        <v>0</v>
      </c>
      <c r="AS169" s="143">
        <f t="shared" si="3"/>
        <v>0</v>
      </c>
      <c r="AT169" s="89">
        <f t="shared" si="4"/>
        <v>0</v>
      </c>
      <c r="AU169" s="86">
        <f>IFERROR(__xludf.DUMMYFUNCTION("IF(REGEXMATCH(S169,""&lt;b&gt;Poison&lt;/b&gt;""),1+((1/(7-N169))/3),1)"),1.0)</f>
        <v>1</v>
      </c>
      <c r="AV169" s="86">
        <f>IFERROR(__xludf.DUMMYFUNCTION("IF(REGEXMATCH(S169,""Vengence""),(7 - R169) / 3,0)"),0.0)</f>
        <v>0</v>
      </c>
      <c r="AW169" s="86">
        <f t="shared" si="5"/>
        <v>0</v>
      </c>
      <c r="AX169" s="84">
        <f t="shared" si="6"/>
        <v>0</v>
      </c>
      <c r="AY169" s="76" t="b">
        <f>IFERROR(__xludf.DUMMYFUNCTION("if(regexmatch(G169,""Mage|War Machine""),true,false)"),FALSE)</f>
        <v>0</v>
      </c>
    </row>
    <row r="170" ht="22.5" hidden="1" customHeight="1">
      <c r="A170" s="6"/>
      <c r="B170" s="6"/>
      <c r="E170" s="102"/>
      <c r="F170" s="208"/>
      <c r="G170" s="102"/>
      <c r="I170" s="202"/>
      <c r="J170" s="202"/>
      <c r="L170" s="202"/>
      <c r="M170" s="202"/>
      <c r="N170" s="202"/>
      <c r="P170" s="208"/>
      <c r="Q170" s="202"/>
      <c r="R170" s="208"/>
      <c r="T170" s="6"/>
      <c r="U170" s="6"/>
      <c r="V170" s="6"/>
      <c r="W170" s="6">
        <v>2.0</v>
      </c>
      <c r="X170" s="76"/>
      <c r="Y170" s="76"/>
      <c r="Z170" s="76"/>
      <c r="AA170" s="76"/>
      <c r="AB170" s="76"/>
      <c r="AC170" s="76"/>
      <c r="AD170" s="76"/>
      <c r="AE170" s="209"/>
      <c r="AF170" s="209"/>
      <c r="AG170" s="209"/>
      <c r="AH170" s="209"/>
      <c r="AI170" s="209"/>
      <c r="AJ170" s="209"/>
      <c r="AK170" s="76" t="str">
        <f t="array" ref="AK170">INDEX(Factions!C:C, MATCH(E170, Factions!B:B, 0))</f>
        <v>#N/A</v>
      </c>
      <c r="AL170" s="6" t="str">
        <f t="array" ref="AL170">INDEX(Factions!D:D, MATCH(E170, Factions!B:B, 0))</f>
        <v>#N/A</v>
      </c>
      <c r="AM170" s="6" t="str">
        <f t="array" ref="AM170">INDEX(Factions!E:E, MATCH(E170, Factions!B:B, 0))</f>
        <v>#N/A</v>
      </c>
      <c r="AN170" s="76" t="str">
        <f t="array" ref="AN170">INDEX(Factions!F:F, MATCH(E170, Factions!B:B, 0))</f>
        <v>#N/A</v>
      </c>
      <c r="AO170" s="76" t="str">
        <f t="array" ref="AO170">concat(INDEX(Factions!G:G, MATCH(E170, Factions!B:B, 0)),".png")</f>
        <v>#N/A</v>
      </c>
      <c r="AP170" s="76">
        <f>IFERROR(__xludf.DUMMYFUNCTION("MIN(FILTER(M170:M1098, F170:F1098=F170))"),0.0)</f>
        <v>0</v>
      </c>
      <c r="AQ170" s="76">
        <f t="shared" si="2"/>
        <v>0</v>
      </c>
      <c r="AR170" s="86">
        <f>IFERROR(__xludf.DUMMYFUNCTION("IF(and(REGEXMATCH(S170,""Vengence""),not(REGEXMATCH(S170, ""Protective Markings""))),AQ170,AQ170 * 6 / iferror(R170-1,6))"),0.0)</f>
        <v>0</v>
      </c>
      <c r="AS170" s="143">
        <f t="shared" si="3"/>
        <v>0</v>
      </c>
      <c r="AT170" s="89">
        <f t="shared" si="4"/>
        <v>0</v>
      </c>
      <c r="AU170" s="86">
        <f>IFERROR(__xludf.DUMMYFUNCTION("IF(REGEXMATCH(S170,""&lt;b&gt;Poison&lt;/b&gt;""),1+((1/(7-N170))/3),1)"),1.0)</f>
        <v>1</v>
      </c>
      <c r="AV170" s="86">
        <f>IFERROR(__xludf.DUMMYFUNCTION("IF(REGEXMATCH(S170,""Vengence""),(7 - R170) / 3,0)"),0.0)</f>
        <v>0</v>
      </c>
      <c r="AW170" s="86">
        <f t="shared" si="5"/>
        <v>0</v>
      </c>
      <c r="AX170" s="84">
        <f t="shared" si="6"/>
        <v>0</v>
      </c>
      <c r="AY170" s="76" t="b">
        <f>IFERROR(__xludf.DUMMYFUNCTION("if(regexmatch(G170,""Mage|War Machine""),true,false)"),FALSE)</f>
        <v>0</v>
      </c>
    </row>
    <row r="171" ht="22.5" hidden="1" customHeight="1">
      <c r="A171" s="6"/>
      <c r="B171" s="6"/>
      <c r="E171" s="102"/>
      <c r="F171" s="208"/>
      <c r="G171" s="102"/>
      <c r="I171" s="202"/>
      <c r="J171" s="202"/>
      <c r="L171" s="202"/>
      <c r="M171" s="202"/>
      <c r="N171" s="202"/>
      <c r="P171" s="208"/>
      <c r="Q171" s="202"/>
      <c r="R171" s="208"/>
      <c r="T171" s="6"/>
      <c r="U171" s="6"/>
      <c r="V171" s="6"/>
      <c r="W171" s="6">
        <v>2.0</v>
      </c>
      <c r="X171" s="76"/>
      <c r="Y171" s="76"/>
      <c r="Z171" s="76"/>
      <c r="AA171" s="76"/>
      <c r="AB171" s="76"/>
      <c r="AC171" s="76"/>
      <c r="AD171" s="76"/>
      <c r="AE171" s="209"/>
      <c r="AF171" s="209"/>
      <c r="AG171" s="209"/>
      <c r="AH171" s="209"/>
      <c r="AI171" s="209"/>
      <c r="AJ171" s="209"/>
      <c r="AK171" s="76" t="str">
        <f t="array" ref="AK171">INDEX(Factions!C:C, MATCH(E171, Factions!B:B, 0))</f>
        <v>#N/A</v>
      </c>
      <c r="AL171" s="6" t="str">
        <f t="array" ref="AL171">INDEX(Factions!D:D, MATCH(E171, Factions!B:B, 0))</f>
        <v>#N/A</v>
      </c>
      <c r="AM171" s="6" t="str">
        <f t="array" ref="AM171">INDEX(Factions!E:E, MATCH(E171, Factions!B:B, 0))</f>
        <v>#N/A</v>
      </c>
      <c r="AN171" s="76" t="str">
        <f t="array" ref="AN171">INDEX(Factions!F:F, MATCH(E171, Factions!B:B, 0))</f>
        <v>#N/A</v>
      </c>
      <c r="AO171" s="76" t="str">
        <f t="array" ref="AO171">concat(INDEX(Factions!G:G, MATCH(E171, Factions!B:B, 0)),".png")</f>
        <v>#N/A</v>
      </c>
      <c r="AP171" s="76">
        <f>IFERROR(__xludf.DUMMYFUNCTION("MIN(FILTER(M171:M1098, F171:F1098=F171))"),0.0)</f>
        <v>0</v>
      </c>
      <c r="AQ171" s="76">
        <f t="shared" si="2"/>
        <v>0</v>
      </c>
      <c r="AR171" s="86">
        <f>IFERROR(__xludf.DUMMYFUNCTION("IF(and(REGEXMATCH(S171,""Vengence""),not(REGEXMATCH(S171, ""Protective Markings""))),AQ171,AQ171 * 6 / iferror(R171-1,6))"),0.0)</f>
        <v>0</v>
      </c>
      <c r="AS171" s="143">
        <f t="shared" si="3"/>
        <v>0</v>
      </c>
      <c r="AT171" s="89">
        <f t="shared" si="4"/>
        <v>0</v>
      </c>
      <c r="AU171" s="86">
        <f>IFERROR(__xludf.DUMMYFUNCTION("IF(REGEXMATCH(S171,""&lt;b&gt;Poison&lt;/b&gt;""),1+((1/(7-N171))/3),1)"),1.0)</f>
        <v>1</v>
      </c>
      <c r="AV171" s="86">
        <f>IFERROR(__xludf.DUMMYFUNCTION("IF(REGEXMATCH(S171,""Vengence""),(7 - R171) / 3,0)"),0.0)</f>
        <v>0</v>
      </c>
      <c r="AW171" s="86">
        <f t="shared" si="5"/>
        <v>0</v>
      </c>
      <c r="AX171" s="84">
        <f t="shared" si="6"/>
        <v>0</v>
      </c>
      <c r="AY171" s="76" t="b">
        <f>IFERROR(__xludf.DUMMYFUNCTION("if(regexmatch(G171,""Mage|War Machine""),true,false)"),FALSE)</f>
        <v>0</v>
      </c>
    </row>
    <row r="172" ht="22.5" hidden="1" customHeight="1">
      <c r="A172" s="6"/>
      <c r="B172" s="6"/>
      <c r="E172" s="102"/>
      <c r="F172" s="208"/>
      <c r="G172" s="102"/>
      <c r="I172" s="202"/>
      <c r="J172" s="202"/>
      <c r="L172" s="202"/>
      <c r="M172" s="202"/>
      <c r="N172" s="202"/>
      <c r="P172" s="208"/>
      <c r="Q172" s="202"/>
      <c r="R172" s="208"/>
      <c r="T172" s="6"/>
      <c r="U172" s="6"/>
      <c r="V172" s="6"/>
      <c r="W172" s="6">
        <v>2.0</v>
      </c>
      <c r="X172" s="76"/>
      <c r="Y172" s="76"/>
      <c r="Z172" s="76"/>
      <c r="AA172" s="76"/>
      <c r="AB172" s="76"/>
      <c r="AC172" s="76"/>
      <c r="AD172" s="76"/>
      <c r="AE172" s="209"/>
      <c r="AF172" s="209"/>
      <c r="AG172" s="209"/>
      <c r="AH172" s="209"/>
      <c r="AI172" s="209"/>
      <c r="AJ172" s="209"/>
      <c r="AK172" s="76" t="str">
        <f t="array" ref="AK172">INDEX(Factions!C:C, MATCH(E172, Factions!B:B, 0))</f>
        <v>#N/A</v>
      </c>
      <c r="AL172" s="6" t="str">
        <f t="array" ref="AL172">INDEX(Factions!D:D, MATCH(E172, Factions!B:B, 0))</f>
        <v>#N/A</v>
      </c>
      <c r="AM172" s="6" t="str">
        <f t="array" ref="AM172">INDEX(Factions!E:E, MATCH(E172, Factions!B:B, 0))</f>
        <v>#N/A</v>
      </c>
      <c r="AN172" s="76" t="str">
        <f t="array" ref="AN172">INDEX(Factions!F:F, MATCH(E172, Factions!B:B, 0))</f>
        <v>#N/A</v>
      </c>
      <c r="AO172" s="76" t="str">
        <f t="array" ref="AO172">concat(INDEX(Factions!G:G, MATCH(E172, Factions!B:B, 0)),".png")</f>
        <v>#N/A</v>
      </c>
      <c r="AP172" s="76">
        <f>IFERROR(__xludf.DUMMYFUNCTION("MIN(FILTER(M172:M1098, F172:F1098=F172))"),0.0)</f>
        <v>0</v>
      </c>
      <c r="AQ172" s="76">
        <f t="shared" si="2"/>
        <v>0</v>
      </c>
      <c r="AR172" s="86">
        <f>IFERROR(__xludf.DUMMYFUNCTION("IF(and(REGEXMATCH(S172,""Vengence""),not(REGEXMATCH(S172, ""Protective Markings""))),AQ172,AQ172 * 6 / iferror(R172-1,6))"),0.0)</f>
        <v>0</v>
      </c>
      <c r="AS172" s="143">
        <f t="shared" si="3"/>
        <v>0</v>
      </c>
      <c r="AT172" s="89">
        <f t="shared" si="4"/>
        <v>0</v>
      </c>
      <c r="AU172" s="86">
        <f>IFERROR(__xludf.DUMMYFUNCTION("IF(REGEXMATCH(S172,""&lt;b&gt;Poison&lt;/b&gt;""),1+((1/(7-N172))/3),1)"),1.0)</f>
        <v>1</v>
      </c>
      <c r="AV172" s="86">
        <f>IFERROR(__xludf.DUMMYFUNCTION("IF(REGEXMATCH(S172,""Vengence""),(7 - R172) / 3,0)"),0.0)</f>
        <v>0</v>
      </c>
      <c r="AW172" s="86">
        <f t="shared" si="5"/>
        <v>0</v>
      </c>
      <c r="AX172" s="84">
        <f t="shared" si="6"/>
        <v>0</v>
      </c>
      <c r="AY172" s="76" t="b">
        <f>IFERROR(__xludf.DUMMYFUNCTION("if(regexmatch(G172,""Mage|War Machine""),true,false)"),FALSE)</f>
        <v>0</v>
      </c>
    </row>
    <row r="173" ht="22.5" hidden="1" customHeight="1">
      <c r="A173" s="6"/>
      <c r="B173" s="6"/>
      <c r="C173" s="6" t="str">
        <f t="shared" ref="C173:C175" si="7">concatenate(E173," ",B173)</f>
        <v> </v>
      </c>
      <c r="D173" s="6"/>
      <c r="E173" s="5"/>
      <c r="F173" s="134"/>
      <c r="G173" s="5"/>
      <c r="H173" s="138"/>
      <c r="I173" s="60"/>
      <c r="J173" s="135"/>
      <c r="K173" s="138"/>
      <c r="L173" s="135"/>
      <c r="M173" s="210"/>
      <c r="N173" s="135"/>
      <c r="O173" s="60"/>
      <c r="P173" s="136"/>
      <c r="Q173" s="135"/>
      <c r="R173" s="136"/>
      <c r="S173" s="144"/>
      <c r="T173" s="76"/>
      <c r="U173" s="76"/>
      <c r="V173" s="76"/>
      <c r="W173" s="76"/>
      <c r="X173" s="76"/>
      <c r="Y173" s="76"/>
      <c r="Z173" s="76"/>
      <c r="AA173" s="76"/>
      <c r="AB173" s="76"/>
      <c r="AC173" s="76"/>
      <c r="AD173" s="76"/>
      <c r="AE173" s="209"/>
      <c r="AF173" s="209"/>
      <c r="AG173" s="209"/>
      <c r="AH173" s="209"/>
      <c r="AI173" s="209"/>
      <c r="AJ173" s="209"/>
      <c r="AK173" s="76" t="str">
        <f t="array" ref="AK173">INDEX(Factions!C:C, MATCH(E173, Factions!B:B, 0))</f>
        <v>#N/A</v>
      </c>
      <c r="AL173" s="6" t="str">
        <f t="array" ref="AL173">INDEX(Factions!D:D, MATCH(E173, Factions!B:B, 0))</f>
        <v>#N/A</v>
      </c>
      <c r="AM173" s="6" t="str">
        <f t="array" ref="AM173">INDEX(Factions!E:E, MATCH(E173, Factions!B:B, 0))</f>
        <v>#N/A</v>
      </c>
      <c r="AN173" s="76" t="str">
        <f t="array" ref="AN173">INDEX(Factions!F:F, MATCH(E173, Factions!B:B, 0))</f>
        <v>#N/A</v>
      </c>
      <c r="AO173" s="76" t="str">
        <f t="array" ref="AO173">concat(INDEX(Factions!G:G, MATCH(E173, Factions!B:B, 0)),".png")</f>
        <v>#N/A</v>
      </c>
      <c r="AP173" s="76">
        <f>IFERROR(__xludf.DUMMYFUNCTION("MIN(FILTER(M173:M1098, F173:F1098=F173))"),0.0)</f>
        <v>0</v>
      </c>
      <c r="AQ173" s="76">
        <f t="shared" si="2"/>
        <v>0</v>
      </c>
      <c r="AR173" s="86">
        <f>IFERROR(__xludf.DUMMYFUNCTION("IF(and(REGEXMATCH(S173,""Vengence""),not(REGEXMATCH(S173, ""Protective Markings""))),AQ173,AQ173 * 6 / iferror(R173-1,6))"),0.0)</f>
        <v>0</v>
      </c>
      <c r="AS173" s="88">
        <f t="shared" si="3"/>
        <v>0</v>
      </c>
      <c r="AT173" s="89">
        <f t="shared" si="4"/>
        <v>0</v>
      </c>
      <c r="AU173" s="86">
        <f>IFERROR(__xludf.DUMMYFUNCTION("IF(REGEXMATCH(S173,""&lt;b&gt;Poison&lt;/b&gt;""),1+((1/(7-N173))/3),1)"),1.0)</f>
        <v>1</v>
      </c>
      <c r="AV173" s="86">
        <f>IFERROR(__xludf.DUMMYFUNCTION("IF(REGEXMATCH(S173,""Vengence""),(7 - R173) / 3,0)"),0.0)</f>
        <v>0</v>
      </c>
      <c r="AW173" s="86">
        <f t="shared" si="5"/>
        <v>0</v>
      </c>
      <c r="AX173" s="84">
        <f t="shared" si="6"/>
        <v>0</v>
      </c>
      <c r="AY173" s="76" t="b">
        <f>IFERROR(__xludf.DUMMYFUNCTION("if(regexmatch(G173,""Mage|War Machine""),true,false)"),FALSE)</f>
        <v>0</v>
      </c>
    </row>
    <row r="174" ht="22.5" hidden="1" customHeight="1">
      <c r="A174" s="6"/>
      <c r="B174" s="6"/>
      <c r="C174" s="6" t="str">
        <f t="shared" si="7"/>
        <v> </v>
      </c>
      <c r="D174" s="6"/>
      <c r="E174" s="5"/>
      <c r="F174" s="134"/>
      <c r="G174" s="5"/>
      <c r="H174" s="138"/>
      <c r="I174" s="60"/>
      <c r="J174" s="135"/>
      <c r="K174" s="138"/>
      <c r="L174" s="135"/>
      <c r="M174" s="210"/>
      <c r="N174" s="135"/>
      <c r="O174" s="60"/>
      <c r="P174" s="136"/>
      <c r="Q174" s="135"/>
      <c r="R174" s="136"/>
      <c r="S174" s="144"/>
      <c r="T174" s="76"/>
      <c r="U174" s="76"/>
      <c r="V174" s="76"/>
      <c r="W174" s="76"/>
      <c r="X174" s="76"/>
      <c r="Y174" s="76"/>
      <c r="Z174" s="76"/>
      <c r="AA174" s="76"/>
      <c r="AB174" s="76"/>
      <c r="AC174" s="76"/>
      <c r="AD174" s="76"/>
      <c r="AE174" s="209"/>
      <c r="AF174" s="209"/>
      <c r="AG174" s="209"/>
      <c r="AH174" s="209"/>
      <c r="AI174" s="209"/>
      <c r="AJ174" s="209"/>
      <c r="AK174" s="76" t="str">
        <f t="array" ref="AK174">INDEX(Factions!C:C, MATCH(E174, Factions!B:B, 0))</f>
        <v>#N/A</v>
      </c>
      <c r="AL174" s="6" t="str">
        <f t="array" ref="AL174">INDEX(Factions!D:D, MATCH(E174, Factions!B:B, 0))</f>
        <v>#N/A</v>
      </c>
      <c r="AM174" s="6" t="str">
        <f t="array" ref="AM174">INDEX(Factions!E:E, MATCH(E174, Factions!B:B, 0))</f>
        <v>#N/A</v>
      </c>
      <c r="AN174" s="76" t="str">
        <f t="array" ref="AN174">INDEX(Factions!F:F, MATCH(E174, Factions!B:B, 0))</f>
        <v>#N/A</v>
      </c>
      <c r="AO174" s="76" t="str">
        <f t="array" ref="AO174">concat(INDEX(Factions!G:G, MATCH(E174, Factions!B:B, 0)),".png")</f>
        <v>#N/A</v>
      </c>
      <c r="AP174" s="76">
        <f>IFERROR(__xludf.DUMMYFUNCTION("MIN(FILTER(M174:M1098, F174:F1098=F174))"),0.0)</f>
        <v>0</v>
      </c>
      <c r="AQ174" s="76">
        <f t="shared" si="2"/>
        <v>0</v>
      </c>
      <c r="AR174" s="86">
        <f>IFERROR(__xludf.DUMMYFUNCTION("IF(and(REGEXMATCH(S174,""Vengence""),not(REGEXMATCH(S174, ""Protective Markings""))),AQ174,AQ174 * 6 / iferror(R174-1,6))"),0.0)</f>
        <v>0</v>
      </c>
      <c r="AS174" s="88">
        <f t="shared" si="3"/>
        <v>0</v>
      </c>
      <c r="AT174" s="89">
        <f t="shared" si="4"/>
        <v>0</v>
      </c>
      <c r="AU174" s="86">
        <f>IFERROR(__xludf.DUMMYFUNCTION("IF(REGEXMATCH(S174,""&lt;b&gt;Poison&lt;/b&gt;""),1+((1/(7-N174))/3),1)"),1.0)</f>
        <v>1</v>
      </c>
      <c r="AV174" s="86">
        <f>IFERROR(__xludf.DUMMYFUNCTION("IF(REGEXMATCH(S174,""Vengence""),(7 - R174) / 3,0)"),0.0)</f>
        <v>0</v>
      </c>
      <c r="AW174" s="86">
        <f t="shared" si="5"/>
        <v>0</v>
      </c>
      <c r="AX174" s="84">
        <f t="shared" si="6"/>
        <v>0</v>
      </c>
      <c r="AY174" s="76" t="b">
        <f>IFERROR(__xludf.DUMMYFUNCTION("if(regexmatch(G174,""Mage|War Machine""),true,false)"),FALSE)</f>
        <v>0</v>
      </c>
    </row>
    <row r="175" ht="22.5" hidden="1" customHeight="1">
      <c r="A175" s="6"/>
      <c r="B175" s="6" t="s">
        <v>1157</v>
      </c>
      <c r="C175" s="6" t="str">
        <f t="shared" si="7"/>
        <v>Castaways Deserters</v>
      </c>
      <c r="D175" s="6" t="b">
        <v>0</v>
      </c>
      <c r="E175" s="5" t="s">
        <v>353</v>
      </c>
      <c r="F175" s="134"/>
      <c r="G175" s="8"/>
      <c r="H175" s="138"/>
      <c r="I175" s="60"/>
      <c r="J175" s="137"/>
      <c r="K175" s="138"/>
      <c r="L175" s="137"/>
      <c r="M175" s="137"/>
      <c r="N175" s="137"/>
      <c r="O175" s="210"/>
      <c r="P175" s="207"/>
      <c r="Q175" s="137"/>
      <c r="R175" s="207"/>
      <c r="S175" s="144"/>
      <c r="T175" s="76"/>
      <c r="U175" s="76"/>
      <c r="V175" s="76"/>
      <c r="W175" s="76"/>
      <c r="X175" s="76"/>
      <c r="Y175" s="76"/>
      <c r="Z175" s="76"/>
      <c r="AA175" s="76"/>
      <c r="AB175" s="76"/>
      <c r="AC175" s="76"/>
      <c r="AD175" s="76"/>
      <c r="AE175" s="209"/>
      <c r="AF175" s="209"/>
      <c r="AG175" s="209"/>
      <c r="AH175" s="209"/>
      <c r="AI175" s="209"/>
      <c r="AJ175" s="209"/>
      <c r="AK175" s="76" t="str">
        <f t="array" ref="AK175">INDEX(Factions!C:C, MATCH(E175, Factions!B:B, 0))</f>
        <v/>
      </c>
      <c r="AL175" s="6" t="str">
        <f t="array" ref="AL175">INDEX(Factions!D:D, MATCH(E175, Factions!B:B, 0))</f>
        <v/>
      </c>
      <c r="AM175" s="6" t="str">
        <f t="array" ref="AM175">INDEX(Factions!E:E, MATCH(E175, Factions!B:B, 0))</f>
        <v>#000000</v>
      </c>
      <c r="AN175" s="76" t="str">
        <f t="array" ref="AN175">INDEX(Factions!F:F, MATCH(E175, Factions!B:B, 0))</f>
        <v>#ffffff</v>
      </c>
      <c r="AO175" s="76" t="str">
        <f t="array" ref="AO175">concat(INDEX(Factions!G:G, MATCH(E175, Factions!B:B, 0)),".png")</f>
        <v>.png</v>
      </c>
      <c r="AP175" s="76">
        <f>IFERROR(__xludf.DUMMYFUNCTION("MIN(FILTER(M175:M1098, F175:F1098=F175))"),0.0)</f>
        <v>0</v>
      </c>
      <c r="AQ175" s="76">
        <f t="shared" si="2"/>
        <v>0</v>
      </c>
      <c r="AR175" s="86">
        <f>IFERROR(__xludf.DUMMYFUNCTION("IF(and(REGEXMATCH(S175,""Vengence""),not(REGEXMATCH(S175, ""Protective Markings""))),AQ175,AQ175 * 6 / iferror(R175-1,6))"),0.0)</f>
        <v>0</v>
      </c>
      <c r="AS175" s="88" t="str">
        <f>if(P175="d6",3.5,if(P175="d3",1.5,if(P175="2*",4,if(P175="3*",6,P175))))</f>
        <v/>
      </c>
      <c r="AT175" s="89">
        <f t="shared" si="4"/>
        <v>0</v>
      </c>
      <c r="AU175" s="86">
        <f>IFERROR(__xludf.DUMMYFUNCTION("IF(REGEXMATCH(S175,""&lt;b&gt;Poison&lt;/b&gt;""),1+((1/(7-N175))/3),1)"),1.0)</f>
        <v>1</v>
      </c>
      <c r="AV175" s="86">
        <f>IFERROR(__xludf.DUMMYFUNCTION("IF(REGEXMATCH(S175,""Vengence""),(7 - R175) / 3,0)"),0.0)</f>
        <v>0</v>
      </c>
      <c r="AW175" s="86">
        <f t="shared" si="5"/>
        <v>0</v>
      </c>
      <c r="AX175" s="84">
        <f t="shared" si="6"/>
        <v>0</v>
      </c>
      <c r="AY175" s="76" t="b">
        <f>IFERROR(__xludf.DUMMYFUNCTION("if(regexmatch(G175,""Mage|War Machine""),true,false)"),FALSE)</f>
        <v>0</v>
      </c>
    </row>
    <row r="176">
      <c r="H176" s="211"/>
      <c r="I176" s="211"/>
      <c r="J176" s="211"/>
      <c r="K176" s="211"/>
      <c r="L176" s="211"/>
      <c r="M176" s="211"/>
      <c r="N176" s="211"/>
      <c r="O176" s="211"/>
      <c r="P176" s="211"/>
      <c r="Q176" s="211"/>
      <c r="R176" s="211"/>
      <c r="S176" s="133"/>
      <c r="AR176" s="212"/>
      <c r="AS176" s="56"/>
      <c r="AT176" s="213"/>
      <c r="AU176" s="212"/>
      <c r="AV176" s="212"/>
      <c r="AW176" s="212"/>
    </row>
    <row r="177">
      <c r="H177" s="211"/>
      <c r="I177" s="211"/>
      <c r="J177" s="211"/>
      <c r="K177" s="211"/>
      <c r="L177" s="211"/>
      <c r="M177" s="211"/>
      <c r="N177" s="211"/>
      <c r="O177" s="211"/>
      <c r="P177" s="211"/>
      <c r="Q177" s="211"/>
      <c r="R177" s="211"/>
      <c r="S177" s="133"/>
      <c r="AR177" s="212"/>
      <c r="AS177" s="56"/>
      <c r="AT177" s="213"/>
      <c r="AU177" s="212"/>
      <c r="AV177" s="212"/>
      <c r="AW177" s="212"/>
    </row>
    <row r="178">
      <c r="H178" s="211"/>
      <c r="I178" s="211"/>
      <c r="J178" s="211"/>
      <c r="K178" s="211"/>
      <c r="L178" s="211"/>
      <c r="M178" s="211"/>
      <c r="N178" s="211"/>
      <c r="O178" s="211"/>
      <c r="P178" s="211"/>
      <c r="Q178" s="211"/>
      <c r="R178" s="211"/>
      <c r="S178" s="133"/>
      <c r="AR178" s="212"/>
      <c r="AS178" s="56"/>
      <c r="AT178" s="213"/>
      <c r="AU178" s="212"/>
      <c r="AV178" s="212"/>
      <c r="AW178" s="212"/>
    </row>
    <row r="179">
      <c r="H179" s="211"/>
      <c r="I179" s="211"/>
      <c r="J179" s="211"/>
      <c r="K179" s="211"/>
      <c r="L179" s="211"/>
      <c r="M179" s="211"/>
      <c r="N179" s="211"/>
      <c r="O179" s="211"/>
      <c r="P179" s="211"/>
      <c r="Q179" s="211"/>
      <c r="R179" s="211"/>
      <c r="S179" s="133"/>
      <c r="AR179" s="212"/>
      <c r="AS179" s="56"/>
      <c r="AT179" s="213"/>
      <c r="AU179" s="212"/>
      <c r="AV179" s="212"/>
      <c r="AW179" s="212"/>
    </row>
    <row r="180">
      <c r="H180" s="211"/>
      <c r="I180" s="211"/>
      <c r="J180" s="211"/>
      <c r="K180" s="211"/>
      <c r="L180" s="211"/>
      <c r="M180" s="211"/>
      <c r="N180" s="211"/>
      <c r="O180" s="211"/>
      <c r="P180" s="211"/>
      <c r="Q180" s="211"/>
      <c r="R180" s="211"/>
      <c r="S180" s="133"/>
      <c r="AR180" s="212"/>
      <c r="AS180" s="56"/>
      <c r="AT180" s="213"/>
      <c r="AU180" s="212"/>
      <c r="AV180" s="212"/>
      <c r="AW180" s="212"/>
    </row>
    <row r="181">
      <c r="H181" s="211"/>
      <c r="I181" s="211"/>
      <c r="J181" s="211"/>
      <c r="K181" s="211"/>
      <c r="L181" s="211"/>
      <c r="M181" s="211"/>
      <c r="N181" s="211"/>
      <c r="O181" s="211"/>
      <c r="P181" s="211"/>
      <c r="Q181" s="211"/>
      <c r="R181" s="211"/>
      <c r="S181" s="133"/>
      <c r="AR181" s="212"/>
      <c r="AS181" s="56"/>
      <c r="AT181" s="213"/>
      <c r="AU181" s="212"/>
      <c r="AV181" s="212"/>
      <c r="AW181" s="212"/>
    </row>
    <row r="182">
      <c r="H182" s="211"/>
      <c r="I182" s="211"/>
      <c r="J182" s="211"/>
      <c r="K182" s="211"/>
      <c r="L182" s="211"/>
      <c r="M182" s="211"/>
      <c r="N182" s="211"/>
      <c r="O182" s="211"/>
      <c r="P182" s="211"/>
      <c r="Q182" s="211"/>
      <c r="R182" s="211"/>
      <c r="S182" s="133"/>
      <c r="AR182" s="212"/>
      <c r="AS182" s="56"/>
      <c r="AT182" s="213"/>
      <c r="AU182" s="212"/>
      <c r="AV182" s="212"/>
      <c r="AW182" s="212"/>
    </row>
    <row r="183">
      <c r="H183" s="211"/>
      <c r="I183" s="211"/>
      <c r="J183" s="211"/>
      <c r="K183" s="211"/>
      <c r="L183" s="211"/>
      <c r="M183" s="211"/>
      <c r="N183" s="211"/>
      <c r="O183" s="211"/>
      <c r="P183" s="211"/>
      <c r="Q183" s="211"/>
      <c r="R183" s="211"/>
      <c r="S183" s="133"/>
      <c r="AR183" s="212"/>
      <c r="AS183" s="56"/>
      <c r="AT183" s="213"/>
      <c r="AU183" s="212"/>
      <c r="AV183" s="212"/>
      <c r="AW183" s="212"/>
    </row>
    <row r="184">
      <c r="H184" s="211"/>
      <c r="I184" s="211"/>
      <c r="J184" s="211"/>
      <c r="K184" s="211"/>
      <c r="L184" s="211"/>
      <c r="M184" s="211"/>
      <c r="N184" s="211"/>
      <c r="O184" s="211"/>
      <c r="P184" s="211"/>
      <c r="Q184" s="211"/>
      <c r="R184" s="211"/>
      <c r="S184" s="133"/>
      <c r="AR184" s="212"/>
      <c r="AS184" s="56"/>
      <c r="AT184" s="213"/>
      <c r="AU184" s="212"/>
      <c r="AV184" s="212"/>
      <c r="AW184" s="212"/>
    </row>
    <row r="185">
      <c r="H185" s="211"/>
      <c r="I185" s="211"/>
      <c r="J185" s="211"/>
      <c r="K185" s="211"/>
      <c r="L185" s="211"/>
      <c r="M185" s="211"/>
      <c r="N185" s="211"/>
      <c r="O185" s="211"/>
      <c r="P185" s="211"/>
      <c r="Q185" s="211"/>
      <c r="R185" s="211"/>
      <c r="S185" s="133"/>
      <c r="AR185" s="212"/>
      <c r="AS185" s="56"/>
      <c r="AT185" s="213"/>
      <c r="AU185" s="212"/>
      <c r="AV185" s="212"/>
      <c r="AW185" s="212"/>
    </row>
    <row r="186">
      <c r="H186" s="211"/>
      <c r="I186" s="211"/>
      <c r="J186" s="211"/>
      <c r="K186" s="211"/>
      <c r="L186" s="211"/>
      <c r="M186" s="211"/>
      <c r="N186" s="211"/>
      <c r="O186" s="211"/>
      <c r="P186" s="211"/>
      <c r="Q186" s="211"/>
      <c r="R186" s="211"/>
      <c r="S186" s="133"/>
      <c r="AR186" s="212"/>
      <c r="AS186" s="56"/>
      <c r="AT186" s="213"/>
      <c r="AU186" s="212"/>
      <c r="AV186" s="212"/>
      <c r="AW186" s="212"/>
    </row>
    <row r="187">
      <c r="H187" s="211"/>
      <c r="I187" s="211"/>
      <c r="J187" s="211"/>
      <c r="K187" s="211"/>
      <c r="L187" s="211"/>
      <c r="M187" s="211"/>
      <c r="N187" s="211"/>
      <c r="O187" s="211"/>
      <c r="P187" s="211"/>
      <c r="Q187" s="211"/>
      <c r="R187" s="211"/>
      <c r="S187" s="133"/>
      <c r="AR187" s="212"/>
      <c r="AS187" s="56"/>
      <c r="AT187" s="213"/>
      <c r="AU187" s="212"/>
      <c r="AV187" s="212"/>
      <c r="AW187" s="212"/>
    </row>
    <row r="188">
      <c r="H188" s="211"/>
      <c r="I188" s="211"/>
      <c r="J188" s="211"/>
      <c r="K188" s="211"/>
      <c r="L188" s="211"/>
      <c r="M188" s="211"/>
      <c r="N188" s="211"/>
      <c r="O188" s="211"/>
      <c r="P188" s="211"/>
      <c r="Q188" s="211"/>
      <c r="R188" s="211"/>
      <c r="S188" s="133"/>
      <c r="AR188" s="212"/>
      <c r="AS188" s="56"/>
      <c r="AT188" s="213"/>
      <c r="AU188" s="212"/>
      <c r="AV188" s="212"/>
      <c r="AW188" s="212"/>
    </row>
    <row r="189">
      <c r="H189" s="211"/>
      <c r="I189" s="211"/>
      <c r="J189" s="211"/>
      <c r="K189" s="211"/>
      <c r="L189" s="211"/>
      <c r="M189" s="211"/>
      <c r="N189" s="211"/>
      <c r="O189" s="211"/>
      <c r="P189" s="211"/>
      <c r="Q189" s="211"/>
      <c r="R189" s="211"/>
      <c r="S189" s="133"/>
      <c r="AR189" s="212"/>
      <c r="AS189" s="56"/>
      <c r="AT189" s="213"/>
      <c r="AU189" s="212"/>
      <c r="AV189" s="212"/>
      <c r="AW189" s="212"/>
    </row>
    <row r="190">
      <c r="H190" s="211"/>
      <c r="I190" s="211"/>
      <c r="J190" s="211"/>
      <c r="K190" s="211"/>
      <c r="L190" s="211"/>
      <c r="M190" s="211"/>
      <c r="N190" s="211"/>
      <c r="O190" s="211"/>
      <c r="P190" s="211"/>
      <c r="Q190" s="211"/>
      <c r="R190" s="211"/>
      <c r="S190" s="133"/>
      <c r="AR190" s="212"/>
      <c r="AS190" s="56"/>
      <c r="AT190" s="213"/>
      <c r="AU190" s="212"/>
      <c r="AV190" s="212"/>
      <c r="AW190" s="212"/>
    </row>
    <row r="191">
      <c r="H191" s="211"/>
      <c r="I191" s="211"/>
      <c r="J191" s="211"/>
      <c r="K191" s="211"/>
      <c r="L191" s="211"/>
      <c r="M191" s="211"/>
      <c r="N191" s="211"/>
      <c r="O191" s="211"/>
      <c r="P191" s="211"/>
      <c r="Q191" s="211"/>
      <c r="R191" s="211"/>
      <c r="S191" s="133"/>
      <c r="AR191" s="212"/>
      <c r="AS191" s="56"/>
      <c r="AT191" s="213"/>
      <c r="AU191" s="212"/>
      <c r="AV191" s="212"/>
      <c r="AW191" s="212"/>
    </row>
    <row r="192">
      <c r="H192" s="211"/>
      <c r="I192" s="211"/>
      <c r="J192" s="211"/>
      <c r="K192" s="211"/>
      <c r="L192" s="211"/>
      <c r="M192" s="211"/>
      <c r="N192" s="211"/>
      <c r="O192" s="211"/>
      <c r="P192" s="211"/>
      <c r="Q192" s="211"/>
      <c r="R192" s="211"/>
      <c r="S192" s="133"/>
      <c r="AR192" s="212"/>
      <c r="AS192" s="56"/>
      <c r="AT192" s="213"/>
      <c r="AU192" s="212"/>
      <c r="AV192" s="212"/>
      <c r="AW192" s="212"/>
    </row>
    <row r="193">
      <c r="H193" s="211"/>
      <c r="I193" s="211"/>
      <c r="J193" s="211"/>
      <c r="K193" s="211"/>
      <c r="L193" s="211"/>
      <c r="M193" s="211"/>
      <c r="N193" s="211"/>
      <c r="O193" s="211"/>
      <c r="P193" s="211"/>
      <c r="Q193" s="211"/>
      <c r="R193" s="211"/>
      <c r="S193" s="133"/>
      <c r="AR193" s="212"/>
      <c r="AS193" s="56"/>
      <c r="AT193" s="213"/>
      <c r="AU193" s="212"/>
      <c r="AV193" s="212"/>
      <c r="AW193" s="212"/>
    </row>
    <row r="194">
      <c r="H194" s="211"/>
      <c r="I194" s="211"/>
      <c r="J194" s="211"/>
      <c r="K194" s="211"/>
      <c r="L194" s="211"/>
      <c r="M194" s="211"/>
      <c r="N194" s="211"/>
      <c r="O194" s="211"/>
      <c r="P194" s="211"/>
      <c r="Q194" s="211"/>
      <c r="R194" s="211"/>
      <c r="S194" s="133"/>
      <c r="AR194" s="212"/>
      <c r="AS194" s="56"/>
      <c r="AT194" s="213"/>
      <c r="AU194" s="212"/>
      <c r="AV194" s="212"/>
      <c r="AW194" s="212"/>
    </row>
    <row r="195">
      <c r="H195" s="211"/>
      <c r="I195" s="211"/>
      <c r="J195" s="211"/>
      <c r="K195" s="211"/>
      <c r="L195" s="211"/>
      <c r="M195" s="211"/>
      <c r="N195" s="211"/>
      <c r="O195" s="211"/>
      <c r="P195" s="211"/>
      <c r="Q195" s="211"/>
      <c r="R195" s="211"/>
      <c r="S195" s="133"/>
      <c r="AR195" s="212"/>
      <c r="AS195" s="56"/>
      <c r="AT195" s="213"/>
      <c r="AU195" s="212"/>
      <c r="AV195" s="212"/>
      <c r="AW195" s="212"/>
    </row>
    <row r="196">
      <c r="H196" s="211"/>
      <c r="I196" s="211"/>
      <c r="J196" s="211"/>
      <c r="K196" s="211"/>
      <c r="L196" s="211"/>
      <c r="M196" s="211"/>
      <c r="N196" s="211"/>
      <c r="O196" s="211"/>
      <c r="P196" s="211"/>
      <c r="Q196" s="211"/>
      <c r="R196" s="211"/>
      <c r="S196" s="133"/>
      <c r="AR196" s="212"/>
      <c r="AS196" s="56"/>
      <c r="AT196" s="213"/>
      <c r="AU196" s="212"/>
      <c r="AV196" s="212"/>
      <c r="AW196" s="212"/>
    </row>
    <row r="197">
      <c r="H197" s="211"/>
      <c r="I197" s="211"/>
      <c r="J197" s="211"/>
      <c r="K197" s="211"/>
      <c r="L197" s="211"/>
      <c r="M197" s="211"/>
      <c r="N197" s="211"/>
      <c r="O197" s="211"/>
      <c r="P197" s="211"/>
      <c r="Q197" s="211"/>
      <c r="R197" s="211"/>
      <c r="S197" s="133"/>
      <c r="AR197" s="212"/>
      <c r="AS197" s="56"/>
      <c r="AT197" s="213"/>
      <c r="AU197" s="212"/>
      <c r="AV197" s="212"/>
      <c r="AW197" s="212"/>
    </row>
    <row r="198">
      <c r="H198" s="211"/>
      <c r="I198" s="211"/>
      <c r="J198" s="211"/>
      <c r="K198" s="211"/>
      <c r="L198" s="211"/>
      <c r="M198" s="211"/>
      <c r="N198" s="211"/>
      <c r="O198" s="211"/>
      <c r="P198" s="211"/>
      <c r="Q198" s="211"/>
      <c r="R198" s="211"/>
      <c r="S198" s="133"/>
      <c r="AR198" s="212"/>
      <c r="AS198" s="56"/>
      <c r="AT198" s="213"/>
      <c r="AU198" s="212"/>
      <c r="AV198" s="212"/>
      <c r="AW198" s="212"/>
    </row>
    <row r="199">
      <c r="H199" s="211"/>
      <c r="I199" s="211"/>
      <c r="J199" s="211"/>
      <c r="K199" s="211"/>
      <c r="L199" s="211"/>
      <c r="M199" s="211"/>
      <c r="N199" s="211"/>
      <c r="O199" s="211"/>
      <c r="P199" s="211"/>
      <c r="Q199" s="211"/>
      <c r="R199" s="211"/>
      <c r="S199" s="133"/>
      <c r="AR199" s="212"/>
      <c r="AS199" s="56"/>
      <c r="AT199" s="213"/>
      <c r="AU199" s="212"/>
      <c r="AV199" s="212"/>
      <c r="AW199" s="212"/>
    </row>
    <row r="200">
      <c r="H200" s="211"/>
      <c r="I200" s="211"/>
      <c r="J200" s="211"/>
      <c r="K200" s="211"/>
      <c r="L200" s="211"/>
      <c r="M200" s="211"/>
      <c r="N200" s="211"/>
      <c r="O200" s="211"/>
      <c r="P200" s="211"/>
      <c r="Q200" s="211"/>
      <c r="R200" s="211"/>
      <c r="S200" s="133"/>
      <c r="AR200" s="212"/>
      <c r="AS200" s="56"/>
      <c r="AT200" s="213"/>
      <c r="AU200" s="212"/>
      <c r="AV200" s="212"/>
      <c r="AW200" s="212"/>
    </row>
    <row r="201">
      <c r="H201" s="211"/>
      <c r="I201" s="211"/>
      <c r="J201" s="211"/>
      <c r="K201" s="211"/>
      <c r="L201" s="211"/>
      <c r="M201" s="211"/>
      <c r="N201" s="211"/>
      <c r="O201" s="211"/>
      <c r="P201" s="211"/>
      <c r="Q201" s="211"/>
      <c r="R201" s="211"/>
      <c r="S201" s="133"/>
      <c r="AR201" s="212"/>
      <c r="AS201" s="56"/>
      <c r="AT201" s="213"/>
      <c r="AU201" s="212"/>
      <c r="AV201" s="212"/>
      <c r="AW201" s="212"/>
    </row>
    <row r="202">
      <c r="H202" s="211"/>
      <c r="I202" s="211"/>
      <c r="J202" s="211"/>
      <c r="K202" s="211"/>
      <c r="L202" s="211"/>
      <c r="M202" s="211"/>
      <c r="N202" s="211"/>
      <c r="O202" s="211"/>
      <c r="P202" s="211"/>
      <c r="Q202" s="211"/>
      <c r="R202" s="211"/>
      <c r="S202" s="133"/>
      <c r="AR202" s="212"/>
      <c r="AS202" s="56"/>
      <c r="AT202" s="213"/>
      <c r="AU202" s="212"/>
      <c r="AV202" s="212"/>
      <c r="AW202" s="212"/>
    </row>
    <row r="203">
      <c r="H203" s="211"/>
      <c r="I203" s="211"/>
      <c r="J203" s="211"/>
      <c r="K203" s="211"/>
      <c r="L203" s="211"/>
      <c r="M203" s="211"/>
      <c r="N203" s="211"/>
      <c r="O203" s="211"/>
      <c r="P203" s="211"/>
      <c r="Q203" s="211"/>
      <c r="R203" s="211"/>
      <c r="S203" s="133"/>
      <c r="AR203" s="212"/>
      <c r="AS203" s="56"/>
      <c r="AT203" s="213"/>
      <c r="AU203" s="212"/>
      <c r="AV203" s="212"/>
      <c r="AW203" s="212"/>
    </row>
    <row r="204">
      <c r="H204" s="211"/>
      <c r="I204" s="211"/>
      <c r="J204" s="211"/>
      <c r="K204" s="211"/>
      <c r="L204" s="211"/>
      <c r="M204" s="211"/>
      <c r="N204" s="211"/>
      <c r="O204" s="211"/>
      <c r="P204" s="211"/>
      <c r="Q204" s="211"/>
      <c r="R204" s="211"/>
      <c r="S204" s="133"/>
      <c r="AR204" s="212"/>
      <c r="AS204" s="56"/>
      <c r="AT204" s="213"/>
      <c r="AU204" s="212"/>
      <c r="AV204" s="212"/>
      <c r="AW204" s="212"/>
    </row>
    <row r="205">
      <c r="H205" s="211"/>
      <c r="I205" s="211"/>
      <c r="J205" s="211"/>
      <c r="K205" s="211"/>
      <c r="L205" s="211"/>
      <c r="M205" s="211"/>
      <c r="N205" s="211"/>
      <c r="O205" s="211"/>
      <c r="P205" s="211"/>
      <c r="Q205" s="211"/>
      <c r="R205" s="211"/>
      <c r="S205" s="133"/>
      <c r="AR205" s="212"/>
      <c r="AS205" s="56"/>
      <c r="AT205" s="213"/>
      <c r="AU205" s="212"/>
      <c r="AV205" s="212"/>
      <c r="AW205" s="212"/>
    </row>
    <row r="206">
      <c r="H206" s="211"/>
      <c r="I206" s="211"/>
      <c r="J206" s="211"/>
      <c r="K206" s="211"/>
      <c r="L206" s="211"/>
      <c r="M206" s="211"/>
      <c r="N206" s="211"/>
      <c r="O206" s="211"/>
      <c r="P206" s="211"/>
      <c r="Q206" s="211"/>
      <c r="R206" s="211"/>
      <c r="S206" s="133"/>
      <c r="AR206" s="212"/>
      <c r="AS206" s="56"/>
      <c r="AT206" s="213"/>
      <c r="AU206" s="212"/>
      <c r="AV206" s="212"/>
      <c r="AW206" s="212"/>
    </row>
    <row r="207">
      <c r="H207" s="211"/>
      <c r="I207" s="211"/>
      <c r="J207" s="211"/>
      <c r="K207" s="211"/>
      <c r="L207" s="211"/>
      <c r="M207" s="211"/>
      <c r="N207" s="211"/>
      <c r="O207" s="211"/>
      <c r="P207" s="211"/>
      <c r="Q207" s="211"/>
      <c r="R207" s="211"/>
      <c r="S207" s="133"/>
      <c r="AR207" s="212"/>
      <c r="AS207" s="56"/>
      <c r="AT207" s="213"/>
      <c r="AU207" s="212"/>
      <c r="AV207" s="212"/>
      <c r="AW207" s="212"/>
    </row>
    <row r="208">
      <c r="H208" s="211"/>
      <c r="I208" s="211"/>
      <c r="J208" s="211"/>
      <c r="K208" s="211"/>
      <c r="L208" s="211"/>
      <c r="M208" s="211"/>
      <c r="N208" s="211"/>
      <c r="O208" s="211"/>
      <c r="P208" s="211"/>
      <c r="Q208" s="211"/>
      <c r="R208" s="211"/>
      <c r="S208" s="133"/>
      <c r="AR208" s="212"/>
      <c r="AS208" s="56"/>
      <c r="AT208" s="213"/>
      <c r="AU208" s="212"/>
      <c r="AV208" s="212"/>
      <c r="AW208" s="212"/>
    </row>
    <row r="209">
      <c r="H209" s="211"/>
      <c r="I209" s="211"/>
      <c r="J209" s="211"/>
      <c r="K209" s="211"/>
      <c r="L209" s="211"/>
      <c r="M209" s="211"/>
      <c r="N209" s="211"/>
      <c r="O209" s="211"/>
      <c r="P209" s="211"/>
      <c r="Q209" s="211"/>
      <c r="R209" s="211"/>
      <c r="S209" s="133"/>
      <c r="AR209" s="212"/>
      <c r="AS209" s="56"/>
      <c r="AT209" s="213"/>
      <c r="AU209" s="212"/>
      <c r="AV209" s="212"/>
      <c r="AW209" s="212"/>
    </row>
    <row r="210">
      <c r="H210" s="211"/>
      <c r="I210" s="211"/>
      <c r="J210" s="211"/>
      <c r="K210" s="211"/>
      <c r="L210" s="211"/>
      <c r="M210" s="211"/>
      <c r="N210" s="211"/>
      <c r="O210" s="211"/>
      <c r="P210" s="211"/>
      <c r="Q210" s="211"/>
      <c r="R210" s="211"/>
      <c r="S210" s="133"/>
      <c r="AR210" s="212"/>
      <c r="AS210" s="56"/>
      <c r="AT210" s="213"/>
      <c r="AU210" s="212"/>
      <c r="AV210" s="212"/>
      <c r="AW210" s="212"/>
    </row>
    <row r="211">
      <c r="H211" s="211"/>
      <c r="I211" s="211"/>
      <c r="J211" s="211"/>
      <c r="K211" s="211"/>
      <c r="L211" s="211"/>
      <c r="M211" s="211"/>
      <c r="N211" s="211"/>
      <c r="O211" s="211"/>
      <c r="P211" s="211"/>
      <c r="Q211" s="211"/>
      <c r="R211" s="211"/>
      <c r="S211" s="133"/>
      <c r="AR211" s="212"/>
      <c r="AS211" s="56"/>
      <c r="AT211" s="213"/>
      <c r="AU211" s="212"/>
      <c r="AV211" s="212"/>
      <c r="AW211" s="212"/>
    </row>
    <row r="212">
      <c r="H212" s="211"/>
      <c r="I212" s="211"/>
      <c r="J212" s="211"/>
      <c r="K212" s="211"/>
      <c r="L212" s="211"/>
      <c r="M212" s="211"/>
      <c r="N212" s="211"/>
      <c r="O212" s="211"/>
      <c r="P212" s="211"/>
      <c r="Q212" s="211"/>
      <c r="R212" s="211"/>
      <c r="S212" s="133"/>
      <c r="AR212" s="212"/>
      <c r="AS212" s="56"/>
      <c r="AT212" s="213"/>
      <c r="AU212" s="212"/>
      <c r="AV212" s="212"/>
      <c r="AW212" s="212"/>
    </row>
    <row r="213">
      <c r="H213" s="211"/>
      <c r="I213" s="211"/>
      <c r="J213" s="211"/>
      <c r="K213" s="211"/>
      <c r="L213" s="211"/>
      <c r="M213" s="211"/>
      <c r="N213" s="211"/>
      <c r="O213" s="211"/>
      <c r="P213" s="211"/>
      <c r="Q213" s="211"/>
      <c r="R213" s="211"/>
      <c r="S213" s="133"/>
      <c r="AR213" s="212"/>
      <c r="AS213" s="56"/>
      <c r="AT213" s="213"/>
      <c r="AU213" s="212"/>
      <c r="AV213" s="212"/>
      <c r="AW213" s="212"/>
    </row>
    <row r="214">
      <c r="H214" s="211"/>
      <c r="I214" s="211"/>
      <c r="J214" s="211"/>
      <c r="K214" s="211"/>
      <c r="L214" s="211"/>
      <c r="M214" s="211"/>
      <c r="N214" s="211"/>
      <c r="O214" s="211"/>
      <c r="P214" s="211"/>
      <c r="Q214" s="211"/>
      <c r="R214" s="211"/>
      <c r="S214" s="133"/>
      <c r="AR214" s="212"/>
      <c r="AS214" s="56"/>
      <c r="AT214" s="213"/>
      <c r="AU214" s="212"/>
      <c r="AV214" s="212"/>
      <c r="AW214" s="212"/>
    </row>
    <row r="215">
      <c r="H215" s="211"/>
      <c r="I215" s="211"/>
      <c r="J215" s="211"/>
      <c r="K215" s="211"/>
      <c r="L215" s="211"/>
      <c r="M215" s="211"/>
      <c r="N215" s="211"/>
      <c r="O215" s="211"/>
      <c r="P215" s="211"/>
      <c r="Q215" s="211"/>
      <c r="R215" s="211"/>
      <c r="S215" s="133"/>
      <c r="AR215" s="212"/>
      <c r="AS215" s="56"/>
      <c r="AT215" s="213"/>
      <c r="AU215" s="212"/>
      <c r="AV215" s="212"/>
      <c r="AW215" s="212"/>
    </row>
    <row r="216">
      <c r="H216" s="211"/>
      <c r="I216" s="211"/>
      <c r="J216" s="211"/>
      <c r="K216" s="211"/>
      <c r="L216" s="211"/>
      <c r="M216" s="211"/>
      <c r="N216" s="211"/>
      <c r="O216" s="211"/>
      <c r="P216" s="211"/>
      <c r="Q216" s="211"/>
      <c r="R216" s="211"/>
      <c r="S216" s="133"/>
      <c r="AR216" s="212"/>
      <c r="AS216" s="56"/>
      <c r="AT216" s="213"/>
      <c r="AU216" s="212"/>
      <c r="AV216" s="212"/>
      <c r="AW216" s="212"/>
    </row>
    <row r="217">
      <c r="H217" s="211"/>
      <c r="I217" s="211"/>
      <c r="J217" s="211"/>
      <c r="K217" s="211"/>
      <c r="L217" s="211"/>
      <c r="M217" s="211"/>
      <c r="N217" s="211"/>
      <c r="O217" s="211"/>
      <c r="P217" s="211"/>
      <c r="Q217" s="211"/>
      <c r="R217" s="211"/>
      <c r="S217" s="133"/>
      <c r="AR217" s="212"/>
      <c r="AS217" s="56"/>
      <c r="AT217" s="213"/>
      <c r="AU217" s="212"/>
      <c r="AV217" s="212"/>
      <c r="AW217" s="212"/>
    </row>
    <row r="218">
      <c r="H218" s="211"/>
      <c r="I218" s="211"/>
      <c r="J218" s="211"/>
      <c r="K218" s="211"/>
      <c r="L218" s="211"/>
      <c r="M218" s="211"/>
      <c r="N218" s="211"/>
      <c r="O218" s="211"/>
      <c r="P218" s="211"/>
      <c r="Q218" s="211"/>
      <c r="R218" s="211"/>
      <c r="S218" s="133"/>
      <c r="AR218" s="212"/>
      <c r="AS218" s="56"/>
      <c r="AT218" s="213"/>
      <c r="AU218" s="212"/>
      <c r="AV218" s="212"/>
      <c r="AW218" s="212"/>
    </row>
    <row r="219">
      <c r="H219" s="211"/>
      <c r="I219" s="211"/>
      <c r="J219" s="211"/>
      <c r="K219" s="211"/>
      <c r="L219" s="211"/>
      <c r="M219" s="211"/>
      <c r="N219" s="211"/>
      <c r="O219" s="211"/>
      <c r="P219" s="211"/>
      <c r="Q219" s="211"/>
      <c r="R219" s="211"/>
      <c r="S219" s="133"/>
      <c r="AR219" s="212"/>
      <c r="AS219" s="56"/>
      <c r="AT219" s="213"/>
      <c r="AU219" s="212"/>
      <c r="AV219" s="212"/>
      <c r="AW219" s="212"/>
    </row>
    <row r="220">
      <c r="H220" s="211"/>
      <c r="I220" s="211"/>
      <c r="J220" s="211"/>
      <c r="K220" s="211"/>
      <c r="L220" s="211"/>
      <c r="M220" s="211"/>
      <c r="N220" s="211"/>
      <c r="O220" s="211"/>
      <c r="P220" s="211"/>
      <c r="Q220" s="211"/>
      <c r="R220" s="211"/>
      <c r="S220" s="133"/>
      <c r="AR220" s="212"/>
      <c r="AS220" s="56"/>
      <c r="AT220" s="213"/>
      <c r="AU220" s="212"/>
      <c r="AV220" s="212"/>
      <c r="AW220" s="212"/>
    </row>
    <row r="221">
      <c r="H221" s="211"/>
      <c r="I221" s="211"/>
      <c r="J221" s="211"/>
      <c r="K221" s="211"/>
      <c r="L221" s="211"/>
      <c r="M221" s="211"/>
      <c r="N221" s="211"/>
      <c r="O221" s="211"/>
      <c r="P221" s="211"/>
      <c r="Q221" s="211"/>
      <c r="R221" s="211"/>
      <c r="S221" s="133"/>
      <c r="AR221" s="212"/>
      <c r="AS221" s="56"/>
      <c r="AT221" s="213"/>
      <c r="AU221" s="212"/>
      <c r="AV221" s="212"/>
      <c r="AW221" s="212"/>
    </row>
    <row r="222">
      <c r="H222" s="211"/>
      <c r="I222" s="211"/>
      <c r="J222" s="211"/>
      <c r="K222" s="211"/>
      <c r="L222" s="211"/>
      <c r="M222" s="211"/>
      <c r="N222" s="211"/>
      <c r="O222" s="211"/>
      <c r="P222" s="211"/>
      <c r="Q222" s="211"/>
      <c r="R222" s="211"/>
      <c r="S222" s="133"/>
      <c r="AR222" s="212"/>
      <c r="AS222" s="56"/>
      <c r="AT222" s="213"/>
      <c r="AU222" s="212"/>
      <c r="AV222" s="212"/>
      <c r="AW222" s="212"/>
    </row>
    <row r="223">
      <c r="H223" s="211"/>
      <c r="I223" s="211"/>
      <c r="J223" s="211"/>
      <c r="K223" s="211"/>
      <c r="L223" s="211"/>
      <c r="M223" s="211"/>
      <c r="N223" s="211"/>
      <c r="O223" s="211"/>
      <c r="P223" s="211"/>
      <c r="Q223" s="211"/>
      <c r="R223" s="211"/>
      <c r="S223" s="133"/>
      <c r="AR223" s="212"/>
      <c r="AS223" s="56"/>
      <c r="AT223" s="213"/>
      <c r="AU223" s="212"/>
      <c r="AV223" s="212"/>
      <c r="AW223" s="212"/>
    </row>
    <row r="224">
      <c r="H224" s="211"/>
      <c r="I224" s="211"/>
      <c r="J224" s="211"/>
      <c r="K224" s="211"/>
      <c r="L224" s="211"/>
      <c r="M224" s="211"/>
      <c r="N224" s="211"/>
      <c r="O224" s="211"/>
      <c r="P224" s="211"/>
      <c r="Q224" s="211"/>
      <c r="R224" s="211"/>
      <c r="S224" s="133"/>
      <c r="AR224" s="212"/>
      <c r="AS224" s="56"/>
      <c r="AT224" s="213"/>
      <c r="AU224" s="212"/>
      <c r="AV224" s="212"/>
      <c r="AW224" s="212"/>
    </row>
    <row r="225">
      <c r="H225" s="211"/>
      <c r="I225" s="211"/>
      <c r="J225" s="211"/>
      <c r="K225" s="211"/>
      <c r="L225" s="211"/>
      <c r="M225" s="211"/>
      <c r="N225" s="211"/>
      <c r="O225" s="211"/>
      <c r="P225" s="211"/>
      <c r="Q225" s="211"/>
      <c r="R225" s="211"/>
      <c r="S225" s="133"/>
      <c r="AR225" s="212"/>
      <c r="AS225" s="56"/>
      <c r="AT225" s="213"/>
      <c r="AU225" s="212"/>
      <c r="AV225" s="212"/>
      <c r="AW225" s="212"/>
    </row>
    <row r="226">
      <c r="H226" s="211"/>
      <c r="I226" s="211"/>
      <c r="J226" s="211"/>
      <c r="K226" s="211"/>
      <c r="L226" s="211"/>
      <c r="M226" s="211"/>
      <c r="N226" s="211"/>
      <c r="O226" s="211"/>
      <c r="P226" s="211"/>
      <c r="Q226" s="211"/>
      <c r="R226" s="211"/>
      <c r="S226" s="133"/>
      <c r="AR226" s="212"/>
      <c r="AS226" s="56"/>
      <c r="AT226" s="213"/>
      <c r="AU226" s="212"/>
      <c r="AV226" s="212"/>
      <c r="AW226" s="212"/>
    </row>
    <row r="227">
      <c r="H227" s="211"/>
      <c r="I227" s="211"/>
      <c r="J227" s="211"/>
      <c r="K227" s="211"/>
      <c r="L227" s="211"/>
      <c r="M227" s="211"/>
      <c r="N227" s="211"/>
      <c r="O227" s="211"/>
      <c r="P227" s="211"/>
      <c r="Q227" s="211"/>
      <c r="R227" s="211"/>
      <c r="S227" s="133"/>
      <c r="AR227" s="212"/>
      <c r="AS227" s="56"/>
      <c r="AT227" s="213"/>
      <c r="AU227" s="212"/>
      <c r="AV227" s="212"/>
      <c r="AW227" s="212"/>
    </row>
    <row r="228">
      <c r="H228" s="211"/>
      <c r="I228" s="211"/>
      <c r="J228" s="211"/>
      <c r="K228" s="211"/>
      <c r="L228" s="211"/>
      <c r="M228" s="211"/>
      <c r="N228" s="211"/>
      <c r="O228" s="211"/>
      <c r="P228" s="211"/>
      <c r="Q228" s="211"/>
      <c r="R228" s="211"/>
      <c r="S228" s="133"/>
      <c r="AR228" s="212"/>
      <c r="AS228" s="56"/>
      <c r="AT228" s="213"/>
      <c r="AU228" s="212"/>
      <c r="AV228" s="212"/>
      <c r="AW228" s="212"/>
    </row>
    <row r="229">
      <c r="H229" s="211"/>
      <c r="I229" s="211"/>
      <c r="J229" s="211"/>
      <c r="K229" s="211"/>
      <c r="L229" s="211"/>
      <c r="M229" s="211"/>
      <c r="N229" s="211"/>
      <c r="O229" s="211"/>
      <c r="P229" s="211"/>
      <c r="Q229" s="211"/>
      <c r="R229" s="211"/>
      <c r="S229" s="133"/>
      <c r="AR229" s="212"/>
      <c r="AS229" s="56"/>
      <c r="AT229" s="213"/>
      <c r="AU229" s="212"/>
      <c r="AV229" s="212"/>
      <c r="AW229" s="212"/>
    </row>
    <row r="230">
      <c r="H230" s="211"/>
      <c r="I230" s="211"/>
      <c r="J230" s="211"/>
      <c r="K230" s="211"/>
      <c r="L230" s="211"/>
      <c r="M230" s="211"/>
      <c r="N230" s="211"/>
      <c r="O230" s="211"/>
      <c r="P230" s="211"/>
      <c r="Q230" s="211"/>
      <c r="R230" s="211"/>
      <c r="S230" s="133"/>
      <c r="AR230" s="212"/>
      <c r="AS230" s="56"/>
      <c r="AT230" s="213"/>
      <c r="AU230" s="212"/>
      <c r="AV230" s="212"/>
      <c r="AW230" s="212"/>
    </row>
    <row r="231">
      <c r="H231" s="211"/>
      <c r="I231" s="211"/>
      <c r="J231" s="211"/>
      <c r="K231" s="211"/>
      <c r="L231" s="211"/>
      <c r="M231" s="211"/>
      <c r="N231" s="211"/>
      <c r="O231" s="211"/>
      <c r="P231" s="211"/>
      <c r="Q231" s="211"/>
      <c r="R231" s="211"/>
      <c r="S231" s="133"/>
      <c r="AR231" s="212"/>
      <c r="AS231" s="56"/>
      <c r="AT231" s="213"/>
      <c r="AU231" s="212"/>
      <c r="AV231" s="212"/>
      <c r="AW231" s="212"/>
    </row>
    <row r="232">
      <c r="H232" s="211"/>
      <c r="I232" s="211"/>
      <c r="J232" s="211"/>
      <c r="K232" s="211"/>
      <c r="L232" s="211"/>
      <c r="M232" s="211"/>
      <c r="N232" s="211"/>
      <c r="O232" s="211"/>
      <c r="P232" s="211"/>
      <c r="Q232" s="211"/>
      <c r="R232" s="211"/>
      <c r="S232" s="133"/>
      <c r="AR232" s="212"/>
      <c r="AS232" s="56"/>
      <c r="AT232" s="213"/>
      <c r="AU232" s="212"/>
      <c r="AV232" s="212"/>
      <c r="AW232" s="212"/>
    </row>
    <row r="233">
      <c r="H233" s="211"/>
      <c r="I233" s="211"/>
      <c r="J233" s="211"/>
      <c r="K233" s="211"/>
      <c r="L233" s="211"/>
      <c r="M233" s="211"/>
      <c r="N233" s="211"/>
      <c r="O233" s="211"/>
      <c r="P233" s="211"/>
      <c r="Q233" s="211"/>
      <c r="R233" s="211"/>
      <c r="S233" s="133"/>
      <c r="AR233" s="212"/>
      <c r="AS233" s="56"/>
      <c r="AT233" s="213"/>
      <c r="AU233" s="212"/>
      <c r="AV233" s="212"/>
      <c r="AW233" s="212"/>
    </row>
    <row r="234">
      <c r="H234" s="211"/>
      <c r="I234" s="211"/>
      <c r="J234" s="211"/>
      <c r="K234" s="211"/>
      <c r="L234" s="211"/>
      <c r="M234" s="211"/>
      <c r="N234" s="211"/>
      <c r="O234" s="211"/>
      <c r="P234" s="211"/>
      <c r="Q234" s="211"/>
      <c r="R234" s="211"/>
      <c r="S234" s="133"/>
      <c r="AR234" s="212"/>
      <c r="AS234" s="56"/>
      <c r="AT234" s="213"/>
      <c r="AU234" s="212"/>
      <c r="AV234" s="212"/>
      <c r="AW234" s="212"/>
    </row>
    <row r="235">
      <c r="H235" s="211"/>
      <c r="I235" s="211"/>
      <c r="J235" s="211"/>
      <c r="K235" s="211"/>
      <c r="L235" s="211"/>
      <c r="M235" s="211"/>
      <c r="N235" s="211"/>
      <c r="O235" s="211"/>
      <c r="P235" s="211"/>
      <c r="Q235" s="211"/>
      <c r="R235" s="211"/>
      <c r="S235" s="133"/>
      <c r="AR235" s="212"/>
      <c r="AS235" s="56"/>
      <c r="AT235" s="213"/>
      <c r="AU235" s="212"/>
      <c r="AV235" s="212"/>
      <c r="AW235" s="212"/>
    </row>
    <row r="236">
      <c r="H236" s="211"/>
      <c r="I236" s="211"/>
      <c r="J236" s="211"/>
      <c r="K236" s="211"/>
      <c r="L236" s="211"/>
      <c r="M236" s="211"/>
      <c r="N236" s="211"/>
      <c r="O236" s="211"/>
      <c r="P236" s="211"/>
      <c r="Q236" s="211"/>
      <c r="R236" s="211"/>
      <c r="S236" s="133"/>
      <c r="AR236" s="212"/>
      <c r="AS236" s="56"/>
      <c r="AT236" s="213"/>
      <c r="AU236" s="212"/>
      <c r="AV236" s="212"/>
      <c r="AW236" s="212"/>
    </row>
    <row r="237">
      <c r="H237" s="211"/>
      <c r="I237" s="211"/>
      <c r="J237" s="211"/>
      <c r="K237" s="211"/>
      <c r="L237" s="211"/>
      <c r="M237" s="211"/>
      <c r="N237" s="211"/>
      <c r="O237" s="211"/>
      <c r="P237" s="211"/>
      <c r="Q237" s="211"/>
      <c r="R237" s="211"/>
      <c r="S237" s="133"/>
      <c r="AR237" s="212"/>
      <c r="AS237" s="56"/>
      <c r="AT237" s="213"/>
      <c r="AU237" s="212"/>
      <c r="AV237" s="212"/>
      <c r="AW237" s="212"/>
    </row>
    <row r="238">
      <c r="H238" s="211"/>
      <c r="I238" s="211"/>
      <c r="J238" s="211"/>
      <c r="K238" s="211"/>
      <c r="L238" s="211"/>
      <c r="M238" s="211"/>
      <c r="N238" s="211"/>
      <c r="O238" s="211"/>
      <c r="P238" s="211"/>
      <c r="Q238" s="211"/>
      <c r="R238" s="211"/>
      <c r="S238" s="133"/>
      <c r="AR238" s="212"/>
      <c r="AS238" s="56"/>
      <c r="AT238" s="213"/>
      <c r="AU238" s="212"/>
      <c r="AV238" s="212"/>
      <c r="AW238" s="212"/>
    </row>
    <row r="239">
      <c r="H239" s="211"/>
      <c r="I239" s="211"/>
      <c r="J239" s="211"/>
      <c r="K239" s="211"/>
      <c r="L239" s="211"/>
      <c r="M239" s="211"/>
      <c r="N239" s="211"/>
      <c r="O239" s="211"/>
      <c r="P239" s="211"/>
      <c r="Q239" s="211"/>
      <c r="R239" s="211"/>
      <c r="S239" s="133"/>
      <c r="AR239" s="212"/>
      <c r="AS239" s="56"/>
      <c r="AT239" s="213"/>
      <c r="AU239" s="212"/>
      <c r="AV239" s="212"/>
      <c r="AW239" s="212"/>
    </row>
    <row r="240">
      <c r="H240" s="211"/>
      <c r="I240" s="211"/>
      <c r="J240" s="211"/>
      <c r="K240" s="211"/>
      <c r="L240" s="211"/>
      <c r="M240" s="211"/>
      <c r="N240" s="211"/>
      <c r="O240" s="211"/>
      <c r="P240" s="211"/>
      <c r="Q240" s="211"/>
      <c r="R240" s="211"/>
      <c r="S240" s="133"/>
      <c r="AR240" s="212"/>
      <c r="AS240" s="56"/>
      <c r="AT240" s="213"/>
      <c r="AU240" s="212"/>
      <c r="AV240" s="212"/>
      <c r="AW240" s="212"/>
    </row>
    <row r="241">
      <c r="H241" s="211"/>
      <c r="I241" s="211"/>
      <c r="J241" s="211"/>
      <c r="K241" s="211"/>
      <c r="L241" s="211"/>
      <c r="M241" s="211"/>
      <c r="N241" s="211"/>
      <c r="O241" s="211"/>
      <c r="P241" s="211"/>
      <c r="Q241" s="211"/>
      <c r="R241" s="211"/>
      <c r="S241" s="133"/>
      <c r="AR241" s="212"/>
      <c r="AS241" s="56"/>
      <c r="AT241" s="213"/>
      <c r="AU241" s="212"/>
      <c r="AV241" s="212"/>
      <c r="AW241" s="212"/>
    </row>
    <row r="242">
      <c r="H242" s="211"/>
      <c r="I242" s="211"/>
      <c r="J242" s="211"/>
      <c r="K242" s="211"/>
      <c r="L242" s="211"/>
      <c r="M242" s="211"/>
      <c r="N242" s="211"/>
      <c r="O242" s="211"/>
      <c r="P242" s="211"/>
      <c r="Q242" s="211"/>
      <c r="R242" s="211"/>
      <c r="S242" s="133"/>
      <c r="AR242" s="212"/>
      <c r="AS242" s="56"/>
      <c r="AT242" s="213"/>
      <c r="AU242" s="212"/>
      <c r="AV242" s="212"/>
      <c r="AW242" s="212"/>
    </row>
    <row r="243">
      <c r="H243" s="211"/>
      <c r="I243" s="211"/>
      <c r="J243" s="211"/>
      <c r="K243" s="211"/>
      <c r="L243" s="211"/>
      <c r="M243" s="211"/>
      <c r="N243" s="211"/>
      <c r="O243" s="211"/>
      <c r="P243" s="211"/>
      <c r="Q243" s="211"/>
      <c r="R243" s="211"/>
      <c r="S243" s="133"/>
      <c r="AR243" s="212"/>
      <c r="AS243" s="56"/>
      <c r="AT243" s="213"/>
      <c r="AU243" s="212"/>
      <c r="AV243" s="212"/>
      <c r="AW243" s="212"/>
    </row>
    <row r="244">
      <c r="H244" s="211"/>
      <c r="I244" s="211"/>
      <c r="J244" s="211"/>
      <c r="K244" s="211"/>
      <c r="L244" s="211"/>
      <c r="M244" s="211"/>
      <c r="N244" s="211"/>
      <c r="O244" s="211"/>
      <c r="P244" s="211"/>
      <c r="Q244" s="211"/>
      <c r="R244" s="211"/>
      <c r="S244" s="133"/>
      <c r="AR244" s="212"/>
      <c r="AS244" s="56"/>
      <c r="AT244" s="213"/>
      <c r="AU244" s="212"/>
      <c r="AV244" s="212"/>
      <c r="AW244" s="212"/>
    </row>
    <row r="245">
      <c r="H245" s="211"/>
      <c r="I245" s="211"/>
      <c r="J245" s="211"/>
      <c r="K245" s="211"/>
      <c r="L245" s="211"/>
      <c r="M245" s="211"/>
      <c r="N245" s="211"/>
      <c r="O245" s="211"/>
      <c r="P245" s="211"/>
      <c r="Q245" s="211"/>
      <c r="R245" s="211"/>
      <c r="S245" s="133"/>
      <c r="AR245" s="212"/>
      <c r="AS245" s="56"/>
      <c r="AT245" s="213"/>
      <c r="AU245" s="212"/>
      <c r="AV245" s="212"/>
      <c r="AW245" s="212"/>
    </row>
    <row r="246">
      <c r="H246" s="211"/>
      <c r="I246" s="211"/>
      <c r="J246" s="211"/>
      <c r="K246" s="211"/>
      <c r="L246" s="211"/>
      <c r="M246" s="211"/>
      <c r="N246" s="211"/>
      <c r="O246" s="211"/>
      <c r="P246" s="211"/>
      <c r="Q246" s="211"/>
      <c r="R246" s="211"/>
      <c r="S246" s="133"/>
      <c r="AR246" s="212"/>
      <c r="AS246" s="56"/>
      <c r="AT246" s="213"/>
      <c r="AU246" s="212"/>
      <c r="AV246" s="212"/>
      <c r="AW246" s="212"/>
    </row>
    <row r="247">
      <c r="H247" s="211"/>
      <c r="I247" s="211"/>
      <c r="J247" s="211"/>
      <c r="K247" s="211"/>
      <c r="L247" s="211"/>
      <c r="M247" s="211"/>
      <c r="N247" s="211"/>
      <c r="O247" s="211"/>
      <c r="P247" s="211"/>
      <c r="Q247" s="211"/>
      <c r="R247" s="211"/>
      <c r="S247" s="133"/>
      <c r="AR247" s="212"/>
      <c r="AS247" s="56"/>
      <c r="AT247" s="213"/>
      <c r="AU247" s="212"/>
      <c r="AV247" s="212"/>
      <c r="AW247" s="212"/>
    </row>
    <row r="248">
      <c r="H248" s="211"/>
      <c r="I248" s="211"/>
      <c r="J248" s="211"/>
      <c r="K248" s="211"/>
      <c r="L248" s="211"/>
      <c r="M248" s="211"/>
      <c r="N248" s="211"/>
      <c r="O248" s="211"/>
      <c r="P248" s="211"/>
      <c r="Q248" s="211"/>
      <c r="R248" s="211"/>
      <c r="S248" s="133"/>
      <c r="AR248" s="212"/>
      <c r="AS248" s="56"/>
      <c r="AT248" s="213"/>
      <c r="AU248" s="212"/>
      <c r="AV248" s="212"/>
      <c r="AW248" s="212"/>
    </row>
    <row r="249">
      <c r="H249" s="211"/>
      <c r="I249" s="211"/>
      <c r="J249" s="211"/>
      <c r="K249" s="211"/>
      <c r="L249" s="211"/>
      <c r="M249" s="211"/>
      <c r="N249" s="211"/>
      <c r="O249" s="211"/>
      <c r="P249" s="211"/>
      <c r="Q249" s="211"/>
      <c r="R249" s="211"/>
      <c r="S249" s="133"/>
      <c r="AR249" s="212"/>
      <c r="AS249" s="56"/>
      <c r="AT249" s="213"/>
      <c r="AU249" s="212"/>
      <c r="AV249" s="212"/>
      <c r="AW249" s="212"/>
    </row>
    <row r="250">
      <c r="H250" s="211"/>
      <c r="I250" s="211"/>
      <c r="J250" s="211"/>
      <c r="K250" s="211"/>
      <c r="L250" s="211"/>
      <c r="M250" s="211"/>
      <c r="N250" s="211"/>
      <c r="O250" s="211"/>
      <c r="P250" s="211"/>
      <c r="Q250" s="211"/>
      <c r="R250" s="211"/>
      <c r="S250" s="133"/>
      <c r="AR250" s="212"/>
      <c r="AS250" s="56"/>
      <c r="AT250" s="213"/>
      <c r="AU250" s="212"/>
      <c r="AV250" s="212"/>
      <c r="AW250" s="212"/>
    </row>
    <row r="251">
      <c r="H251" s="211"/>
      <c r="I251" s="211"/>
      <c r="J251" s="211"/>
      <c r="K251" s="211"/>
      <c r="L251" s="211"/>
      <c r="M251" s="211"/>
      <c r="N251" s="211"/>
      <c r="O251" s="211"/>
      <c r="P251" s="211"/>
      <c r="Q251" s="211"/>
      <c r="R251" s="211"/>
      <c r="S251" s="133"/>
      <c r="AR251" s="212"/>
      <c r="AS251" s="56"/>
      <c r="AT251" s="213"/>
      <c r="AU251" s="212"/>
      <c r="AV251" s="212"/>
      <c r="AW251" s="212"/>
    </row>
    <row r="252">
      <c r="H252" s="211"/>
      <c r="I252" s="211"/>
      <c r="J252" s="211"/>
      <c r="K252" s="211"/>
      <c r="L252" s="211"/>
      <c r="M252" s="211"/>
      <c r="N252" s="211"/>
      <c r="O252" s="211"/>
      <c r="P252" s="211"/>
      <c r="Q252" s="211"/>
      <c r="R252" s="211"/>
      <c r="S252" s="133"/>
      <c r="AR252" s="212"/>
      <c r="AS252" s="56"/>
      <c r="AT252" s="213"/>
      <c r="AU252" s="212"/>
      <c r="AV252" s="212"/>
      <c r="AW252" s="212"/>
    </row>
    <row r="253">
      <c r="H253" s="211"/>
      <c r="I253" s="211"/>
      <c r="J253" s="211"/>
      <c r="K253" s="211"/>
      <c r="L253" s="211"/>
      <c r="M253" s="211"/>
      <c r="N253" s="211"/>
      <c r="O253" s="211"/>
      <c r="P253" s="211"/>
      <c r="Q253" s="211"/>
      <c r="R253" s="211"/>
      <c r="S253" s="133"/>
      <c r="AR253" s="212"/>
      <c r="AS253" s="56"/>
      <c r="AT253" s="213"/>
      <c r="AU253" s="212"/>
      <c r="AV253" s="212"/>
      <c r="AW253" s="212"/>
    </row>
    <row r="254">
      <c r="H254" s="211"/>
      <c r="I254" s="211"/>
      <c r="J254" s="211"/>
      <c r="K254" s="211"/>
      <c r="L254" s="211"/>
      <c r="M254" s="211"/>
      <c r="N254" s="211"/>
      <c r="O254" s="211"/>
      <c r="P254" s="211"/>
      <c r="Q254" s="211"/>
      <c r="R254" s="211"/>
      <c r="S254" s="133"/>
      <c r="AR254" s="212"/>
      <c r="AS254" s="56"/>
      <c r="AT254" s="213"/>
      <c r="AU254" s="212"/>
      <c r="AV254" s="212"/>
      <c r="AW254" s="212"/>
    </row>
    <row r="255">
      <c r="H255" s="211"/>
      <c r="I255" s="211"/>
      <c r="J255" s="211"/>
      <c r="K255" s="211"/>
      <c r="L255" s="211"/>
      <c r="M255" s="211"/>
      <c r="N255" s="211"/>
      <c r="O255" s="211"/>
      <c r="P255" s="211"/>
      <c r="Q255" s="211"/>
      <c r="R255" s="211"/>
      <c r="S255" s="133"/>
      <c r="AR255" s="212"/>
      <c r="AS255" s="56"/>
      <c r="AT255" s="213"/>
      <c r="AU255" s="212"/>
      <c r="AV255" s="212"/>
      <c r="AW255" s="212"/>
    </row>
    <row r="256">
      <c r="H256" s="211"/>
      <c r="I256" s="211"/>
      <c r="J256" s="211"/>
      <c r="K256" s="211"/>
      <c r="L256" s="211"/>
      <c r="M256" s="211"/>
      <c r="N256" s="211"/>
      <c r="O256" s="211"/>
      <c r="P256" s="211"/>
      <c r="Q256" s="211"/>
      <c r="R256" s="211"/>
      <c r="S256" s="133"/>
      <c r="AR256" s="212"/>
      <c r="AS256" s="56"/>
      <c r="AT256" s="213"/>
      <c r="AU256" s="212"/>
      <c r="AV256" s="212"/>
      <c r="AW256" s="212"/>
    </row>
    <row r="257">
      <c r="H257" s="211"/>
      <c r="I257" s="211"/>
      <c r="J257" s="211"/>
      <c r="K257" s="211"/>
      <c r="L257" s="211"/>
      <c r="M257" s="211"/>
      <c r="N257" s="211"/>
      <c r="O257" s="211"/>
      <c r="P257" s="211"/>
      <c r="Q257" s="211"/>
      <c r="R257" s="211"/>
      <c r="S257" s="133"/>
      <c r="AR257" s="212"/>
      <c r="AS257" s="56"/>
      <c r="AT257" s="213"/>
      <c r="AU257" s="212"/>
      <c r="AV257" s="212"/>
      <c r="AW257" s="212"/>
    </row>
    <row r="258">
      <c r="H258" s="211"/>
      <c r="I258" s="211"/>
      <c r="J258" s="211"/>
      <c r="K258" s="211"/>
      <c r="L258" s="211"/>
      <c r="M258" s="211"/>
      <c r="N258" s="211"/>
      <c r="O258" s="211"/>
      <c r="P258" s="211"/>
      <c r="Q258" s="211"/>
      <c r="R258" s="211"/>
      <c r="S258" s="133"/>
      <c r="AR258" s="212"/>
      <c r="AS258" s="56"/>
      <c r="AT258" s="213"/>
      <c r="AU258" s="212"/>
      <c r="AV258" s="212"/>
      <c r="AW258" s="212"/>
    </row>
    <row r="259">
      <c r="H259" s="211"/>
      <c r="I259" s="211"/>
      <c r="J259" s="211"/>
      <c r="K259" s="211"/>
      <c r="L259" s="211"/>
      <c r="M259" s="211"/>
      <c r="N259" s="211"/>
      <c r="O259" s="211"/>
      <c r="P259" s="211"/>
      <c r="Q259" s="211"/>
      <c r="R259" s="211"/>
      <c r="S259" s="133"/>
      <c r="AR259" s="212"/>
      <c r="AS259" s="56"/>
      <c r="AT259" s="213"/>
      <c r="AU259" s="212"/>
      <c r="AV259" s="212"/>
      <c r="AW259" s="212"/>
    </row>
    <row r="260">
      <c r="H260" s="211"/>
      <c r="I260" s="211"/>
      <c r="J260" s="211"/>
      <c r="K260" s="211"/>
      <c r="L260" s="211"/>
      <c r="M260" s="211"/>
      <c r="N260" s="211"/>
      <c r="O260" s="211"/>
      <c r="P260" s="211"/>
      <c r="Q260" s="211"/>
      <c r="R260" s="211"/>
      <c r="S260" s="133"/>
      <c r="AR260" s="212"/>
      <c r="AS260" s="56"/>
      <c r="AT260" s="213"/>
      <c r="AU260" s="212"/>
      <c r="AV260" s="212"/>
      <c r="AW260" s="212"/>
    </row>
    <row r="261">
      <c r="H261" s="211"/>
      <c r="I261" s="211"/>
      <c r="J261" s="211"/>
      <c r="K261" s="211"/>
      <c r="L261" s="211"/>
      <c r="M261" s="211"/>
      <c r="N261" s="211"/>
      <c r="O261" s="211"/>
      <c r="P261" s="211"/>
      <c r="Q261" s="211"/>
      <c r="R261" s="211"/>
      <c r="S261" s="133"/>
      <c r="AR261" s="212"/>
      <c r="AS261" s="56"/>
      <c r="AT261" s="213"/>
      <c r="AU261" s="212"/>
      <c r="AV261" s="212"/>
      <c r="AW261" s="212"/>
    </row>
    <row r="262">
      <c r="H262" s="211"/>
      <c r="I262" s="211"/>
      <c r="J262" s="211"/>
      <c r="K262" s="211"/>
      <c r="L262" s="211"/>
      <c r="M262" s="211"/>
      <c r="N262" s="211"/>
      <c r="O262" s="211"/>
      <c r="P262" s="211"/>
      <c r="Q262" s="211"/>
      <c r="R262" s="211"/>
      <c r="S262" s="133"/>
      <c r="AR262" s="212"/>
      <c r="AS262" s="56"/>
      <c r="AT262" s="213"/>
      <c r="AU262" s="212"/>
      <c r="AV262" s="212"/>
      <c r="AW262" s="212"/>
    </row>
    <row r="263">
      <c r="H263" s="211"/>
      <c r="I263" s="211"/>
      <c r="J263" s="211"/>
      <c r="K263" s="211"/>
      <c r="L263" s="211"/>
      <c r="M263" s="211"/>
      <c r="N263" s="211"/>
      <c r="O263" s="211"/>
      <c r="P263" s="211"/>
      <c r="Q263" s="211"/>
      <c r="R263" s="211"/>
      <c r="S263" s="133"/>
      <c r="AR263" s="212"/>
      <c r="AS263" s="56"/>
      <c r="AT263" s="213"/>
      <c r="AU263" s="212"/>
      <c r="AV263" s="212"/>
      <c r="AW263" s="212"/>
    </row>
    <row r="264">
      <c r="H264" s="211"/>
      <c r="I264" s="211"/>
      <c r="J264" s="211"/>
      <c r="K264" s="211"/>
      <c r="L264" s="211"/>
      <c r="M264" s="211"/>
      <c r="N264" s="211"/>
      <c r="O264" s="211"/>
      <c r="P264" s="211"/>
      <c r="Q264" s="211"/>
      <c r="R264" s="211"/>
      <c r="S264" s="133"/>
      <c r="AR264" s="212"/>
      <c r="AS264" s="56"/>
      <c r="AT264" s="213"/>
      <c r="AU264" s="212"/>
      <c r="AV264" s="212"/>
      <c r="AW264" s="212"/>
    </row>
    <row r="265">
      <c r="H265" s="211"/>
      <c r="I265" s="211"/>
      <c r="J265" s="211"/>
      <c r="K265" s="211"/>
      <c r="L265" s="211"/>
      <c r="M265" s="211"/>
      <c r="N265" s="211"/>
      <c r="O265" s="211"/>
      <c r="P265" s="211"/>
      <c r="Q265" s="211"/>
      <c r="R265" s="211"/>
      <c r="S265" s="133"/>
      <c r="AR265" s="212"/>
      <c r="AS265" s="56"/>
      <c r="AT265" s="213"/>
      <c r="AU265" s="212"/>
      <c r="AV265" s="212"/>
      <c r="AW265" s="212"/>
    </row>
    <row r="266">
      <c r="H266" s="211"/>
      <c r="I266" s="211"/>
      <c r="J266" s="211"/>
      <c r="K266" s="211"/>
      <c r="L266" s="211"/>
      <c r="M266" s="211"/>
      <c r="N266" s="211"/>
      <c r="O266" s="211"/>
      <c r="P266" s="211"/>
      <c r="Q266" s="211"/>
      <c r="R266" s="211"/>
      <c r="S266" s="133"/>
      <c r="AR266" s="212"/>
      <c r="AS266" s="56"/>
      <c r="AT266" s="213"/>
      <c r="AU266" s="212"/>
      <c r="AV266" s="212"/>
      <c r="AW266" s="212"/>
    </row>
    <row r="267">
      <c r="H267" s="211"/>
      <c r="I267" s="211"/>
      <c r="J267" s="211"/>
      <c r="K267" s="211"/>
      <c r="L267" s="211"/>
      <c r="M267" s="211"/>
      <c r="N267" s="211"/>
      <c r="O267" s="211"/>
      <c r="P267" s="211"/>
      <c r="Q267" s="211"/>
      <c r="R267" s="211"/>
      <c r="S267" s="133"/>
      <c r="AR267" s="212"/>
      <c r="AS267" s="56"/>
      <c r="AT267" s="213"/>
      <c r="AU267" s="212"/>
      <c r="AV267" s="212"/>
      <c r="AW267" s="212"/>
    </row>
    <row r="268">
      <c r="H268" s="211"/>
      <c r="I268" s="211"/>
      <c r="J268" s="211"/>
      <c r="K268" s="211"/>
      <c r="L268" s="211"/>
      <c r="M268" s="211"/>
      <c r="N268" s="211"/>
      <c r="O268" s="211"/>
      <c r="P268" s="211"/>
      <c r="Q268" s="211"/>
      <c r="R268" s="211"/>
      <c r="S268" s="133"/>
      <c r="AR268" s="212"/>
      <c r="AS268" s="56"/>
      <c r="AT268" s="213"/>
      <c r="AU268" s="212"/>
      <c r="AV268" s="212"/>
      <c r="AW268" s="212"/>
    </row>
    <row r="269">
      <c r="H269" s="211"/>
      <c r="I269" s="211"/>
      <c r="J269" s="211"/>
      <c r="K269" s="211"/>
      <c r="L269" s="211"/>
      <c r="M269" s="211"/>
      <c r="N269" s="211"/>
      <c r="O269" s="211"/>
      <c r="P269" s="211"/>
      <c r="Q269" s="211"/>
      <c r="R269" s="211"/>
      <c r="S269" s="133"/>
      <c r="AR269" s="212"/>
      <c r="AS269" s="56"/>
      <c r="AT269" s="213"/>
      <c r="AU269" s="212"/>
      <c r="AV269" s="212"/>
      <c r="AW269" s="212"/>
    </row>
    <row r="270">
      <c r="H270" s="211"/>
      <c r="I270" s="211"/>
      <c r="J270" s="211"/>
      <c r="K270" s="211"/>
      <c r="L270" s="211"/>
      <c r="M270" s="211"/>
      <c r="N270" s="211"/>
      <c r="O270" s="211"/>
      <c r="P270" s="211"/>
      <c r="Q270" s="211"/>
      <c r="R270" s="211"/>
      <c r="S270" s="133"/>
      <c r="AR270" s="212"/>
      <c r="AS270" s="56"/>
      <c r="AT270" s="213"/>
      <c r="AU270" s="212"/>
      <c r="AV270" s="212"/>
      <c r="AW270" s="212"/>
    </row>
    <row r="271">
      <c r="H271" s="211"/>
      <c r="I271" s="211"/>
      <c r="J271" s="211"/>
      <c r="K271" s="211"/>
      <c r="L271" s="211"/>
      <c r="M271" s="211"/>
      <c r="N271" s="211"/>
      <c r="O271" s="211"/>
      <c r="P271" s="211"/>
      <c r="Q271" s="211"/>
      <c r="R271" s="211"/>
      <c r="S271" s="133"/>
      <c r="AR271" s="212"/>
      <c r="AS271" s="56"/>
      <c r="AT271" s="213"/>
      <c r="AU271" s="212"/>
      <c r="AV271" s="212"/>
      <c r="AW271" s="212"/>
    </row>
    <row r="272">
      <c r="H272" s="211"/>
      <c r="I272" s="211"/>
      <c r="J272" s="211"/>
      <c r="K272" s="211"/>
      <c r="L272" s="211"/>
      <c r="M272" s="211"/>
      <c r="N272" s="211"/>
      <c r="O272" s="211"/>
      <c r="P272" s="211"/>
      <c r="Q272" s="211"/>
      <c r="R272" s="211"/>
      <c r="S272" s="133"/>
      <c r="AR272" s="212"/>
      <c r="AS272" s="56"/>
      <c r="AT272" s="213"/>
      <c r="AU272" s="212"/>
      <c r="AV272" s="212"/>
      <c r="AW272" s="212"/>
    </row>
    <row r="273">
      <c r="H273" s="211"/>
      <c r="I273" s="211"/>
      <c r="J273" s="211"/>
      <c r="K273" s="211"/>
      <c r="L273" s="211"/>
      <c r="M273" s="211"/>
      <c r="N273" s="211"/>
      <c r="O273" s="211"/>
      <c r="P273" s="211"/>
      <c r="Q273" s="211"/>
      <c r="R273" s="211"/>
      <c r="S273" s="133"/>
      <c r="AR273" s="212"/>
      <c r="AS273" s="56"/>
      <c r="AT273" s="213"/>
      <c r="AU273" s="212"/>
      <c r="AV273" s="212"/>
      <c r="AW273" s="212"/>
    </row>
    <row r="274">
      <c r="H274" s="211"/>
      <c r="I274" s="211"/>
      <c r="J274" s="211"/>
      <c r="K274" s="211"/>
      <c r="L274" s="211"/>
      <c r="M274" s="211"/>
      <c r="N274" s="211"/>
      <c r="O274" s="211"/>
      <c r="P274" s="211"/>
      <c r="Q274" s="211"/>
      <c r="R274" s="211"/>
      <c r="S274" s="133"/>
      <c r="AR274" s="212"/>
      <c r="AS274" s="56"/>
      <c r="AT274" s="213"/>
      <c r="AU274" s="212"/>
      <c r="AV274" s="212"/>
      <c r="AW274" s="212"/>
    </row>
    <row r="275">
      <c r="H275" s="211"/>
      <c r="I275" s="211"/>
      <c r="J275" s="211"/>
      <c r="K275" s="211"/>
      <c r="L275" s="211"/>
      <c r="M275" s="211"/>
      <c r="N275" s="211"/>
      <c r="O275" s="211"/>
      <c r="P275" s="211"/>
      <c r="Q275" s="211"/>
      <c r="R275" s="211"/>
      <c r="S275" s="133"/>
      <c r="AR275" s="212"/>
      <c r="AS275" s="56"/>
      <c r="AT275" s="213"/>
      <c r="AU275" s="212"/>
      <c r="AV275" s="212"/>
      <c r="AW275" s="212"/>
    </row>
    <row r="276">
      <c r="H276" s="211"/>
      <c r="I276" s="211"/>
      <c r="J276" s="211"/>
      <c r="K276" s="211"/>
      <c r="L276" s="211"/>
      <c r="M276" s="211"/>
      <c r="N276" s="211"/>
      <c r="O276" s="211"/>
      <c r="P276" s="211"/>
      <c r="Q276" s="211"/>
      <c r="R276" s="211"/>
      <c r="S276" s="133"/>
      <c r="AR276" s="212"/>
      <c r="AS276" s="56"/>
      <c r="AT276" s="213"/>
      <c r="AU276" s="212"/>
      <c r="AV276" s="212"/>
      <c r="AW276" s="212"/>
    </row>
    <row r="277">
      <c r="H277" s="211"/>
      <c r="I277" s="211"/>
      <c r="J277" s="211"/>
      <c r="K277" s="211"/>
      <c r="L277" s="211"/>
      <c r="M277" s="211"/>
      <c r="N277" s="211"/>
      <c r="O277" s="211"/>
      <c r="P277" s="211"/>
      <c r="Q277" s="211"/>
      <c r="R277" s="211"/>
      <c r="S277" s="133"/>
      <c r="AR277" s="212"/>
      <c r="AS277" s="56"/>
      <c r="AT277" s="213"/>
      <c r="AU277" s="212"/>
      <c r="AV277" s="212"/>
      <c r="AW277" s="212"/>
    </row>
    <row r="278">
      <c r="H278" s="211"/>
      <c r="I278" s="211"/>
      <c r="J278" s="211"/>
      <c r="K278" s="211"/>
      <c r="L278" s="211"/>
      <c r="M278" s="211"/>
      <c r="N278" s="211"/>
      <c r="O278" s="211"/>
      <c r="P278" s="211"/>
      <c r="Q278" s="211"/>
      <c r="R278" s="211"/>
      <c r="S278" s="133"/>
      <c r="AR278" s="212"/>
      <c r="AS278" s="56"/>
      <c r="AT278" s="213"/>
      <c r="AU278" s="212"/>
      <c r="AV278" s="212"/>
      <c r="AW278" s="212"/>
    </row>
    <row r="279">
      <c r="H279" s="211"/>
      <c r="I279" s="211"/>
      <c r="J279" s="211"/>
      <c r="K279" s="211"/>
      <c r="L279" s="211"/>
      <c r="M279" s="211"/>
      <c r="N279" s="211"/>
      <c r="O279" s="211"/>
      <c r="P279" s="211"/>
      <c r="Q279" s="211"/>
      <c r="R279" s="211"/>
      <c r="S279" s="133"/>
      <c r="AR279" s="212"/>
      <c r="AS279" s="56"/>
      <c r="AT279" s="213"/>
      <c r="AU279" s="212"/>
      <c r="AV279" s="212"/>
      <c r="AW279" s="212"/>
    </row>
    <row r="280">
      <c r="H280" s="211"/>
      <c r="I280" s="211"/>
      <c r="J280" s="211"/>
      <c r="K280" s="211"/>
      <c r="L280" s="211"/>
      <c r="M280" s="211"/>
      <c r="N280" s="211"/>
      <c r="O280" s="211"/>
      <c r="P280" s="211"/>
      <c r="Q280" s="211"/>
      <c r="R280" s="211"/>
      <c r="S280" s="133"/>
      <c r="AR280" s="212"/>
      <c r="AS280" s="56"/>
      <c r="AT280" s="213"/>
      <c r="AU280" s="212"/>
      <c r="AV280" s="212"/>
      <c r="AW280" s="212"/>
    </row>
    <row r="281">
      <c r="H281" s="211"/>
      <c r="I281" s="211"/>
      <c r="J281" s="211"/>
      <c r="K281" s="211"/>
      <c r="L281" s="211"/>
      <c r="M281" s="211"/>
      <c r="N281" s="211"/>
      <c r="O281" s="211"/>
      <c r="P281" s="211"/>
      <c r="Q281" s="211"/>
      <c r="R281" s="211"/>
      <c r="S281" s="133"/>
      <c r="AR281" s="212"/>
      <c r="AS281" s="56"/>
      <c r="AT281" s="213"/>
      <c r="AU281" s="212"/>
      <c r="AV281" s="212"/>
      <c r="AW281" s="212"/>
    </row>
    <row r="282">
      <c r="H282" s="211"/>
      <c r="I282" s="211"/>
      <c r="J282" s="211"/>
      <c r="K282" s="211"/>
      <c r="L282" s="211"/>
      <c r="M282" s="211"/>
      <c r="N282" s="211"/>
      <c r="O282" s="211"/>
      <c r="P282" s="211"/>
      <c r="Q282" s="211"/>
      <c r="R282" s="211"/>
      <c r="S282" s="133"/>
      <c r="AR282" s="212"/>
      <c r="AS282" s="56"/>
      <c r="AT282" s="213"/>
      <c r="AU282" s="212"/>
      <c r="AV282" s="212"/>
      <c r="AW282" s="212"/>
    </row>
    <row r="283">
      <c r="H283" s="211"/>
      <c r="I283" s="211"/>
      <c r="J283" s="211"/>
      <c r="K283" s="211"/>
      <c r="L283" s="211"/>
      <c r="M283" s="211"/>
      <c r="N283" s="211"/>
      <c r="O283" s="211"/>
      <c r="P283" s="211"/>
      <c r="Q283" s="211"/>
      <c r="R283" s="211"/>
      <c r="S283" s="133"/>
      <c r="AR283" s="212"/>
      <c r="AS283" s="56"/>
      <c r="AT283" s="213"/>
      <c r="AU283" s="212"/>
      <c r="AV283" s="212"/>
      <c r="AW283" s="212"/>
    </row>
    <row r="284">
      <c r="H284" s="211"/>
      <c r="I284" s="211"/>
      <c r="J284" s="211"/>
      <c r="K284" s="211"/>
      <c r="L284" s="211"/>
      <c r="M284" s="211"/>
      <c r="N284" s="211"/>
      <c r="O284" s="211"/>
      <c r="P284" s="211"/>
      <c r="Q284" s="211"/>
      <c r="R284" s="211"/>
      <c r="S284" s="133"/>
      <c r="AR284" s="212"/>
      <c r="AS284" s="56"/>
      <c r="AT284" s="213"/>
      <c r="AU284" s="212"/>
      <c r="AV284" s="212"/>
      <c r="AW284" s="212"/>
    </row>
    <row r="285">
      <c r="H285" s="211"/>
      <c r="I285" s="211"/>
      <c r="J285" s="211"/>
      <c r="K285" s="211"/>
      <c r="L285" s="211"/>
      <c r="M285" s="211"/>
      <c r="N285" s="211"/>
      <c r="O285" s="211"/>
      <c r="P285" s="211"/>
      <c r="Q285" s="211"/>
      <c r="R285" s="211"/>
      <c r="S285" s="133"/>
      <c r="AR285" s="212"/>
      <c r="AS285" s="56"/>
      <c r="AT285" s="213"/>
      <c r="AU285" s="212"/>
      <c r="AV285" s="212"/>
      <c r="AW285" s="212"/>
    </row>
    <row r="286">
      <c r="H286" s="211"/>
      <c r="I286" s="211"/>
      <c r="J286" s="211"/>
      <c r="K286" s="211"/>
      <c r="L286" s="211"/>
      <c r="M286" s="211"/>
      <c r="N286" s="211"/>
      <c r="O286" s="211"/>
      <c r="P286" s="211"/>
      <c r="Q286" s="211"/>
      <c r="R286" s="211"/>
      <c r="S286" s="133"/>
      <c r="AR286" s="212"/>
      <c r="AS286" s="56"/>
      <c r="AT286" s="213"/>
      <c r="AU286" s="212"/>
      <c r="AV286" s="212"/>
      <c r="AW286" s="212"/>
    </row>
    <row r="287">
      <c r="H287" s="211"/>
      <c r="I287" s="211"/>
      <c r="J287" s="211"/>
      <c r="K287" s="211"/>
      <c r="L287" s="211"/>
      <c r="M287" s="211"/>
      <c r="N287" s="211"/>
      <c r="O287" s="211"/>
      <c r="P287" s="211"/>
      <c r="Q287" s="211"/>
      <c r="R287" s="211"/>
      <c r="S287" s="133"/>
      <c r="AR287" s="212"/>
      <c r="AS287" s="56"/>
      <c r="AT287" s="213"/>
      <c r="AU287" s="212"/>
      <c r="AV287" s="212"/>
      <c r="AW287" s="212"/>
    </row>
    <row r="288">
      <c r="H288" s="211"/>
      <c r="I288" s="211"/>
      <c r="J288" s="211"/>
      <c r="K288" s="211"/>
      <c r="L288" s="211"/>
      <c r="M288" s="211"/>
      <c r="N288" s="211"/>
      <c r="O288" s="211"/>
      <c r="P288" s="211"/>
      <c r="Q288" s="211"/>
      <c r="R288" s="211"/>
      <c r="S288" s="133"/>
      <c r="AR288" s="212"/>
      <c r="AS288" s="56"/>
      <c r="AT288" s="213"/>
      <c r="AU288" s="212"/>
      <c r="AV288" s="212"/>
      <c r="AW288" s="212"/>
    </row>
    <row r="289">
      <c r="H289" s="211"/>
      <c r="I289" s="211"/>
      <c r="J289" s="211"/>
      <c r="K289" s="211"/>
      <c r="L289" s="211"/>
      <c r="M289" s="211"/>
      <c r="N289" s="211"/>
      <c r="O289" s="211"/>
      <c r="P289" s="211"/>
      <c r="Q289" s="211"/>
      <c r="R289" s="211"/>
      <c r="S289" s="133"/>
      <c r="AR289" s="212"/>
      <c r="AS289" s="56"/>
      <c r="AT289" s="213"/>
      <c r="AU289" s="212"/>
      <c r="AV289" s="212"/>
      <c r="AW289" s="212"/>
    </row>
    <row r="290">
      <c r="H290" s="211"/>
      <c r="I290" s="211"/>
      <c r="J290" s="211"/>
      <c r="K290" s="211"/>
      <c r="L290" s="211"/>
      <c r="M290" s="211"/>
      <c r="N290" s="211"/>
      <c r="O290" s="211"/>
      <c r="P290" s="211"/>
      <c r="Q290" s="211"/>
      <c r="R290" s="211"/>
      <c r="S290" s="133"/>
      <c r="AR290" s="212"/>
      <c r="AS290" s="56"/>
      <c r="AT290" s="213"/>
      <c r="AU290" s="212"/>
      <c r="AV290" s="212"/>
      <c r="AW290" s="212"/>
    </row>
    <row r="291">
      <c r="H291" s="211"/>
      <c r="I291" s="211"/>
      <c r="J291" s="211"/>
      <c r="K291" s="211"/>
      <c r="L291" s="211"/>
      <c r="M291" s="211"/>
      <c r="N291" s="211"/>
      <c r="O291" s="211"/>
      <c r="P291" s="211"/>
      <c r="Q291" s="211"/>
      <c r="R291" s="211"/>
      <c r="S291" s="133"/>
      <c r="AR291" s="212"/>
      <c r="AS291" s="56"/>
      <c r="AT291" s="213"/>
      <c r="AU291" s="212"/>
      <c r="AV291" s="212"/>
      <c r="AW291" s="212"/>
    </row>
    <row r="292">
      <c r="H292" s="211"/>
      <c r="I292" s="211"/>
      <c r="J292" s="211"/>
      <c r="K292" s="211"/>
      <c r="L292" s="211"/>
      <c r="M292" s="211"/>
      <c r="N292" s="211"/>
      <c r="O292" s="211"/>
      <c r="P292" s="211"/>
      <c r="Q292" s="211"/>
      <c r="R292" s="211"/>
      <c r="S292" s="133"/>
      <c r="AR292" s="212"/>
      <c r="AS292" s="56"/>
      <c r="AT292" s="213"/>
      <c r="AU292" s="212"/>
      <c r="AV292" s="212"/>
      <c r="AW292" s="212"/>
    </row>
    <row r="293">
      <c r="H293" s="211"/>
      <c r="I293" s="211"/>
      <c r="J293" s="211"/>
      <c r="K293" s="211"/>
      <c r="L293" s="211"/>
      <c r="M293" s="211"/>
      <c r="N293" s="211"/>
      <c r="O293" s="211"/>
      <c r="P293" s="211"/>
      <c r="Q293" s="211"/>
      <c r="R293" s="211"/>
      <c r="S293" s="133"/>
      <c r="AR293" s="212"/>
      <c r="AS293" s="56"/>
      <c r="AT293" s="213"/>
      <c r="AU293" s="212"/>
      <c r="AV293" s="212"/>
      <c r="AW293" s="212"/>
    </row>
    <row r="294">
      <c r="H294" s="211"/>
      <c r="I294" s="211"/>
      <c r="J294" s="211"/>
      <c r="K294" s="211"/>
      <c r="L294" s="211"/>
      <c r="M294" s="211"/>
      <c r="N294" s="211"/>
      <c r="O294" s="211"/>
      <c r="P294" s="211"/>
      <c r="Q294" s="211"/>
      <c r="R294" s="211"/>
      <c r="S294" s="133"/>
      <c r="AR294" s="212"/>
      <c r="AS294" s="56"/>
      <c r="AT294" s="213"/>
      <c r="AU294" s="212"/>
      <c r="AV294" s="212"/>
      <c r="AW294" s="212"/>
    </row>
    <row r="295">
      <c r="H295" s="211"/>
      <c r="I295" s="211"/>
      <c r="J295" s="211"/>
      <c r="K295" s="211"/>
      <c r="L295" s="211"/>
      <c r="M295" s="211"/>
      <c r="N295" s="211"/>
      <c r="O295" s="211"/>
      <c r="P295" s="211"/>
      <c r="Q295" s="211"/>
      <c r="R295" s="211"/>
      <c r="S295" s="133"/>
      <c r="AR295" s="212"/>
      <c r="AS295" s="56"/>
      <c r="AT295" s="213"/>
      <c r="AU295" s="212"/>
      <c r="AV295" s="212"/>
      <c r="AW295" s="212"/>
    </row>
    <row r="296">
      <c r="H296" s="211"/>
      <c r="I296" s="211"/>
      <c r="J296" s="211"/>
      <c r="K296" s="211"/>
      <c r="L296" s="211"/>
      <c r="M296" s="211"/>
      <c r="N296" s="211"/>
      <c r="O296" s="211"/>
      <c r="P296" s="211"/>
      <c r="Q296" s="211"/>
      <c r="R296" s="211"/>
      <c r="S296" s="133"/>
      <c r="AR296" s="212"/>
      <c r="AS296" s="56"/>
      <c r="AT296" s="213"/>
      <c r="AU296" s="212"/>
      <c r="AV296" s="212"/>
      <c r="AW296" s="212"/>
    </row>
    <row r="297">
      <c r="H297" s="211"/>
      <c r="I297" s="211"/>
      <c r="J297" s="211"/>
      <c r="K297" s="211"/>
      <c r="L297" s="211"/>
      <c r="M297" s="211"/>
      <c r="N297" s="211"/>
      <c r="O297" s="211"/>
      <c r="P297" s="211"/>
      <c r="Q297" s="211"/>
      <c r="R297" s="211"/>
      <c r="S297" s="133"/>
      <c r="AR297" s="212"/>
      <c r="AS297" s="56"/>
      <c r="AT297" s="213"/>
      <c r="AU297" s="212"/>
      <c r="AV297" s="212"/>
      <c r="AW297" s="212"/>
    </row>
    <row r="298">
      <c r="H298" s="211"/>
      <c r="I298" s="211"/>
      <c r="J298" s="211"/>
      <c r="K298" s="211"/>
      <c r="L298" s="211"/>
      <c r="M298" s="211"/>
      <c r="N298" s="211"/>
      <c r="O298" s="211"/>
      <c r="P298" s="211"/>
      <c r="Q298" s="211"/>
      <c r="R298" s="211"/>
      <c r="S298" s="133"/>
      <c r="AR298" s="212"/>
      <c r="AS298" s="56"/>
      <c r="AT298" s="213"/>
      <c r="AU298" s="212"/>
      <c r="AV298" s="212"/>
      <c r="AW298" s="212"/>
    </row>
    <row r="299">
      <c r="H299" s="211"/>
      <c r="I299" s="211"/>
      <c r="J299" s="211"/>
      <c r="K299" s="211"/>
      <c r="L299" s="211"/>
      <c r="M299" s="211"/>
      <c r="N299" s="211"/>
      <c r="O299" s="211"/>
      <c r="P299" s="211"/>
      <c r="Q299" s="211"/>
      <c r="R299" s="211"/>
      <c r="S299" s="133"/>
      <c r="AR299" s="212"/>
      <c r="AS299" s="56"/>
      <c r="AT299" s="213"/>
      <c r="AU299" s="212"/>
      <c r="AV299" s="212"/>
      <c r="AW299" s="212"/>
    </row>
    <row r="300">
      <c r="H300" s="211"/>
      <c r="I300" s="211"/>
      <c r="J300" s="211"/>
      <c r="K300" s="211"/>
      <c r="L300" s="211"/>
      <c r="M300" s="211"/>
      <c r="N300" s="211"/>
      <c r="O300" s="211"/>
      <c r="P300" s="211"/>
      <c r="Q300" s="211"/>
      <c r="R300" s="211"/>
      <c r="S300" s="133"/>
      <c r="AR300" s="212"/>
      <c r="AS300" s="56"/>
      <c r="AT300" s="213"/>
      <c r="AU300" s="212"/>
      <c r="AV300" s="212"/>
      <c r="AW300" s="212"/>
    </row>
    <row r="301">
      <c r="H301" s="211"/>
      <c r="I301" s="211"/>
      <c r="J301" s="211"/>
      <c r="K301" s="211"/>
      <c r="L301" s="211"/>
      <c r="M301" s="211"/>
      <c r="N301" s="211"/>
      <c r="O301" s="211"/>
      <c r="P301" s="211"/>
      <c r="Q301" s="211"/>
      <c r="R301" s="211"/>
      <c r="S301" s="133"/>
      <c r="AR301" s="212"/>
      <c r="AS301" s="56"/>
      <c r="AT301" s="213"/>
      <c r="AU301" s="212"/>
      <c r="AV301" s="212"/>
      <c r="AW301" s="212"/>
    </row>
    <row r="302">
      <c r="H302" s="211"/>
      <c r="I302" s="211"/>
      <c r="J302" s="211"/>
      <c r="K302" s="211"/>
      <c r="L302" s="211"/>
      <c r="M302" s="211"/>
      <c r="N302" s="211"/>
      <c r="O302" s="211"/>
      <c r="P302" s="211"/>
      <c r="Q302" s="211"/>
      <c r="R302" s="211"/>
      <c r="S302" s="133"/>
      <c r="AR302" s="212"/>
      <c r="AS302" s="56"/>
      <c r="AT302" s="213"/>
      <c r="AU302" s="212"/>
      <c r="AV302" s="212"/>
      <c r="AW302" s="212"/>
    </row>
    <row r="303">
      <c r="H303" s="211"/>
      <c r="I303" s="211"/>
      <c r="J303" s="211"/>
      <c r="K303" s="211"/>
      <c r="L303" s="211"/>
      <c r="M303" s="211"/>
      <c r="N303" s="211"/>
      <c r="O303" s="211"/>
      <c r="P303" s="211"/>
      <c r="Q303" s="211"/>
      <c r="R303" s="211"/>
      <c r="S303" s="133"/>
      <c r="AR303" s="212"/>
      <c r="AS303" s="56"/>
      <c r="AT303" s="213"/>
      <c r="AU303" s="212"/>
      <c r="AV303" s="212"/>
      <c r="AW303" s="212"/>
    </row>
    <row r="304">
      <c r="H304" s="211"/>
      <c r="I304" s="211"/>
      <c r="J304" s="211"/>
      <c r="K304" s="211"/>
      <c r="L304" s="211"/>
      <c r="M304" s="211"/>
      <c r="N304" s="211"/>
      <c r="O304" s="211"/>
      <c r="P304" s="211"/>
      <c r="Q304" s="211"/>
      <c r="R304" s="211"/>
      <c r="S304" s="133"/>
      <c r="AR304" s="212"/>
      <c r="AS304" s="56"/>
      <c r="AT304" s="213"/>
      <c r="AU304" s="212"/>
      <c r="AV304" s="212"/>
      <c r="AW304" s="212"/>
    </row>
    <row r="305">
      <c r="H305" s="211"/>
      <c r="I305" s="211"/>
      <c r="J305" s="211"/>
      <c r="K305" s="211"/>
      <c r="L305" s="211"/>
      <c r="M305" s="211"/>
      <c r="N305" s="211"/>
      <c r="O305" s="211"/>
      <c r="P305" s="211"/>
      <c r="Q305" s="211"/>
      <c r="R305" s="211"/>
      <c r="S305" s="133"/>
      <c r="AR305" s="212"/>
      <c r="AS305" s="56"/>
      <c r="AT305" s="213"/>
      <c r="AU305" s="212"/>
      <c r="AV305" s="212"/>
      <c r="AW305" s="212"/>
    </row>
    <row r="306">
      <c r="H306" s="211"/>
      <c r="I306" s="211"/>
      <c r="J306" s="211"/>
      <c r="K306" s="211"/>
      <c r="L306" s="211"/>
      <c r="M306" s="211"/>
      <c r="N306" s="211"/>
      <c r="O306" s="211"/>
      <c r="P306" s="211"/>
      <c r="Q306" s="211"/>
      <c r="R306" s="211"/>
      <c r="S306" s="133"/>
      <c r="AR306" s="212"/>
      <c r="AS306" s="56"/>
      <c r="AT306" s="213"/>
      <c r="AU306" s="212"/>
      <c r="AV306" s="212"/>
      <c r="AW306" s="212"/>
    </row>
    <row r="307">
      <c r="H307" s="211"/>
      <c r="I307" s="211"/>
      <c r="J307" s="211"/>
      <c r="K307" s="211"/>
      <c r="L307" s="211"/>
      <c r="M307" s="211"/>
      <c r="N307" s="211"/>
      <c r="O307" s="211"/>
      <c r="P307" s="211"/>
      <c r="Q307" s="211"/>
      <c r="R307" s="211"/>
      <c r="S307" s="133"/>
      <c r="AR307" s="212"/>
      <c r="AS307" s="56"/>
      <c r="AT307" s="213"/>
      <c r="AU307" s="212"/>
      <c r="AV307" s="212"/>
      <c r="AW307" s="212"/>
    </row>
    <row r="308">
      <c r="H308" s="211"/>
      <c r="I308" s="211"/>
      <c r="J308" s="211"/>
      <c r="K308" s="211"/>
      <c r="L308" s="211"/>
      <c r="M308" s="211"/>
      <c r="N308" s="211"/>
      <c r="O308" s="211"/>
      <c r="P308" s="211"/>
      <c r="Q308" s="211"/>
      <c r="R308" s="211"/>
      <c r="S308" s="133"/>
      <c r="AR308" s="212"/>
      <c r="AS308" s="56"/>
      <c r="AT308" s="213"/>
      <c r="AU308" s="212"/>
      <c r="AV308" s="212"/>
      <c r="AW308" s="212"/>
    </row>
    <row r="309">
      <c r="H309" s="211"/>
      <c r="I309" s="211"/>
      <c r="J309" s="211"/>
      <c r="K309" s="211"/>
      <c r="L309" s="211"/>
      <c r="M309" s="211"/>
      <c r="N309" s="211"/>
      <c r="O309" s="211"/>
      <c r="P309" s="211"/>
      <c r="Q309" s="211"/>
      <c r="R309" s="211"/>
      <c r="S309" s="133"/>
      <c r="AR309" s="212"/>
      <c r="AS309" s="56"/>
      <c r="AT309" s="213"/>
      <c r="AU309" s="212"/>
      <c r="AV309" s="212"/>
      <c r="AW309" s="212"/>
    </row>
    <row r="310">
      <c r="H310" s="211"/>
      <c r="I310" s="211"/>
      <c r="J310" s="211"/>
      <c r="K310" s="211"/>
      <c r="L310" s="211"/>
      <c r="M310" s="211"/>
      <c r="N310" s="211"/>
      <c r="O310" s="211"/>
      <c r="P310" s="211"/>
      <c r="Q310" s="211"/>
      <c r="R310" s="211"/>
      <c r="S310" s="133"/>
      <c r="AR310" s="212"/>
      <c r="AS310" s="56"/>
      <c r="AT310" s="213"/>
      <c r="AU310" s="212"/>
      <c r="AV310" s="212"/>
      <c r="AW310" s="212"/>
    </row>
    <row r="311">
      <c r="H311" s="211"/>
      <c r="I311" s="211"/>
      <c r="J311" s="211"/>
      <c r="K311" s="211"/>
      <c r="L311" s="211"/>
      <c r="M311" s="211"/>
      <c r="N311" s="211"/>
      <c r="O311" s="211"/>
      <c r="P311" s="211"/>
      <c r="Q311" s="211"/>
      <c r="R311" s="211"/>
      <c r="S311" s="133"/>
      <c r="AR311" s="212"/>
      <c r="AS311" s="56"/>
      <c r="AT311" s="213"/>
      <c r="AU311" s="212"/>
      <c r="AV311" s="212"/>
      <c r="AW311" s="212"/>
    </row>
    <row r="312">
      <c r="H312" s="211"/>
      <c r="I312" s="211"/>
      <c r="J312" s="211"/>
      <c r="K312" s="211"/>
      <c r="L312" s="211"/>
      <c r="M312" s="211"/>
      <c r="N312" s="211"/>
      <c r="O312" s="211"/>
      <c r="P312" s="211"/>
      <c r="Q312" s="211"/>
      <c r="R312" s="211"/>
      <c r="S312" s="133"/>
      <c r="AR312" s="212"/>
      <c r="AS312" s="56"/>
      <c r="AT312" s="213"/>
      <c r="AU312" s="212"/>
      <c r="AV312" s="212"/>
      <c r="AW312" s="212"/>
    </row>
    <row r="313">
      <c r="H313" s="211"/>
      <c r="I313" s="211"/>
      <c r="J313" s="211"/>
      <c r="K313" s="211"/>
      <c r="L313" s="211"/>
      <c r="M313" s="211"/>
      <c r="N313" s="211"/>
      <c r="O313" s="211"/>
      <c r="P313" s="211"/>
      <c r="Q313" s="211"/>
      <c r="R313" s="211"/>
      <c r="S313" s="133"/>
      <c r="AR313" s="212"/>
      <c r="AS313" s="56"/>
      <c r="AT313" s="213"/>
      <c r="AU313" s="212"/>
      <c r="AV313" s="212"/>
      <c r="AW313" s="212"/>
    </row>
    <row r="314">
      <c r="H314" s="211"/>
      <c r="I314" s="211"/>
      <c r="J314" s="211"/>
      <c r="K314" s="211"/>
      <c r="L314" s="211"/>
      <c r="M314" s="211"/>
      <c r="N314" s="211"/>
      <c r="O314" s="211"/>
      <c r="P314" s="211"/>
      <c r="Q314" s="211"/>
      <c r="R314" s="211"/>
      <c r="S314" s="133"/>
      <c r="AR314" s="212"/>
      <c r="AS314" s="56"/>
      <c r="AT314" s="213"/>
      <c r="AU314" s="212"/>
      <c r="AV314" s="212"/>
      <c r="AW314" s="212"/>
    </row>
    <row r="315">
      <c r="H315" s="211"/>
      <c r="I315" s="211"/>
      <c r="J315" s="211"/>
      <c r="K315" s="211"/>
      <c r="L315" s="211"/>
      <c r="M315" s="211"/>
      <c r="N315" s="211"/>
      <c r="O315" s="211"/>
      <c r="P315" s="211"/>
      <c r="Q315" s="211"/>
      <c r="R315" s="211"/>
      <c r="S315" s="133"/>
      <c r="AR315" s="212"/>
      <c r="AS315" s="56"/>
      <c r="AT315" s="213"/>
      <c r="AU315" s="212"/>
      <c r="AV315" s="212"/>
      <c r="AW315" s="212"/>
    </row>
    <row r="316">
      <c r="H316" s="211"/>
      <c r="I316" s="211"/>
      <c r="J316" s="211"/>
      <c r="K316" s="211"/>
      <c r="L316" s="211"/>
      <c r="M316" s="211"/>
      <c r="N316" s="211"/>
      <c r="O316" s="211"/>
      <c r="P316" s="211"/>
      <c r="Q316" s="211"/>
      <c r="R316" s="211"/>
      <c r="S316" s="133"/>
      <c r="AR316" s="212"/>
      <c r="AS316" s="56"/>
      <c r="AT316" s="213"/>
      <c r="AU316" s="212"/>
      <c r="AV316" s="212"/>
      <c r="AW316" s="212"/>
    </row>
    <row r="317">
      <c r="H317" s="211"/>
      <c r="I317" s="211"/>
      <c r="J317" s="211"/>
      <c r="K317" s="211"/>
      <c r="L317" s="211"/>
      <c r="M317" s="211"/>
      <c r="N317" s="211"/>
      <c r="O317" s="211"/>
      <c r="P317" s="211"/>
      <c r="Q317" s="211"/>
      <c r="R317" s="211"/>
      <c r="S317" s="133"/>
      <c r="AR317" s="212"/>
      <c r="AS317" s="56"/>
      <c r="AT317" s="213"/>
      <c r="AU317" s="212"/>
      <c r="AV317" s="212"/>
      <c r="AW317" s="212"/>
    </row>
    <row r="318">
      <c r="H318" s="211"/>
      <c r="I318" s="211"/>
      <c r="J318" s="211"/>
      <c r="K318" s="211"/>
      <c r="L318" s="211"/>
      <c r="M318" s="211"/>
      <c r="N318" s="211"/>
      <c r="O318" s="211"/>
      <c r="P318" s="211"/>
      <c r="Q318" s="211"/>
      <c r="R318" s="211"/>
      <c r="S318" s="133"/>
      <c r="AR318" s="212"/>
      <c r="AS318" s="56"/>
      <c r="AT318" s="213"/>
      <c r="AU318" s="212"/>
      <c r="AV318" s="212"/>
      <c r="AW318" s="212"/>
    </row>
    <row r="319">
      <c r="H319" s="211"/>
      <c r="I319" s="211"/>
      <c r="J319" s="211"/>
      <c r="K319" s="211"/>
      <c r="L319" s="211"/>
      <c r="M319" s="211"/>
      <c r="N319" s="211"/>
      <c r="O319" s="211"/>
      <c r="P319" s="211"/>
      <c r="Q319" s="211"/>
      <c r="R319" s="211"/>
      <c r="S319" s="133"/>
      <c r="AR319" s="212"/>
      <c r="AS319" s="56"/>
      <c r="AT319" s="213"/>
      <c r="AU319" s="212"/>
      <c r="AV319" s="212"/>
      <c r="AW319" s="212"/>
    </row>
    <row r="320">
      <c r="H320" s="211"/>
      <c r="I320" s="211"/>
      <c r="J320" s="211"/>
      <c r="K320" s="211"/>
      <c r="L320" s="211"/>
      <c r="M320" s="211"/>
      <c r="N320" s="211"/>
      <c r="O320" s="211"/>
      <c r="P320" s="211"/>
      <c r="Q320" s="211"/>
      <c r="R320" s="211"/>
      <c r="S320" s="133"/>
      <c r="AR320" s="212"/>
      <c r="AS320" s="56"/>
      <c r="AT320" s="213"/>
      <c r="AU320" s="212"/>
      <c r="AV320" s="212"/>
      <c r="AW320" s="212"/>
    </row>
    <row r="321">
      <c r="H321" s="211"/>
      <c r="I321" s="211"/>
      <c r="J321" s="211"/>
      <c r="K321" s="211"/>
      <c r="L321" s="211"/>
      <c r="M321" s="211"/>
      <c r="N321" s="211"/>
      <c r="O321" s="211"/>
      <c r="P321" s="211"/>
      <c r="Q321" s="211"/>
      <c r="R321" s="211"/>
      <c r="S321" s="133"/>
      <c r="AR321" s="212"/>
      <c r="AS321" s="56"/>
      <c r="AT321" s="213"/>
      <c r="AU321" s="212"/>
      <c r="AV321" s="212"/>
      <c r="AW321" s="212"/>
    </row>
    <row r="322">
      <c r="H322" s="211"/>
      <c r="I322" s="211"/>
      <c r="J322" s="211"/>
      <c r="K322" s="211"/>
      <c r="L322" s="211"/>
      <c r="M322" s="211"/>
      <c r="N322" s="211"/>
      <c r="O322" s="211"/>
      <c r="P322" s="211"/>
      <c r="Q322" s="211"/>
      <c r="R322" s="211"/>
      <c r="S322" s="133"/>
      <c r="AR322" s="212"/>
      <c r="AS322" s="56"/>
      <c r="AT322" s="213"/>
      <c r="AU322" s="212"/>
      <c r="AV322" s="212"/>
      <c r="AW322" s="212"/>
    </row>
    <row r="323">
      <c r="H323" s="211"/>
      <c r="I323" s="211"/>
      <c r="J323" s="211"/>
      <c r="K323" s="211"/>
      <c r="L323" s="211"/>
      <c r="M323" s="211"/>
      <c r="N323" s="211"/>
      <c r="O323" s="211"/>
      <c r="P323" s="211"/>
      <c r="Q323" s="211"/>
      <c r="R323" s="211"/>
      <c r="S323" s="133"/>
      <c r="AR323" s="212"/>
      <c r="AS323" s="56"/>
      <c r="AT323" s="213"/>
      <c r="AU323" s="212"/>
      <c r="AV323" s="212"/>
      <c r="AW323" s="212"/>
    </row>
    <row r="324">
      <c r="H324" s="211"/>
      <c r="I324" s="211"/>
      <c r="J324" s="211"/>
      <c r="K324" s="211"/>
      <c r="L324" s="211"/>
      <c r="M324" s="211"/>
      <c r="N324" s="211"/>
      <c r="O324" s="211"/>
      <c r="P324" s="211"/>
      <c r="Q324" s="211"/>
      <c r="R324" s="211"/>
      <c r="S324" s="133"/>
      <c r="AR324" s="212"/>
      <c r="AS324" s="56"/>
      <c r="AT324" s="213"/>
      <c r="AU324" s="212"/>
      <c r="AV324" s="212"/>
      <c r="AW324" s="212"/>
    </row>
    <row r="325">
      <c r="H325" s="211"/>
      <c r="I325" s="211"/>
      <c r="J325" s="211"/>
      <c r="K325" s="211"/>
      <c r="L325" s="211"/>
      <c r="M325" s="211"/>
      <c r="N325" s="211"/>
      <c r="O325" s="211"/>
      <c r="P325" s="211"/>
      <c r="Q325" s="211"/>
      <c r="R325" s="211"/>
      <c r="S325" s="133"/>
      <c r="AR325" s="212"/>
      <c r="AS325" s="56"/>
      <c r="AT325" s="213"/>
      <c r="AU325" s="212"/>
      <c r="AV325" s="212"/>
      <c r="AW325" s="212"/>
    </row>
    <row r="326">
      <c r="H326" s="211"/>
      <c r="I326" s="211"/>
      <c r="J326" s="211"/>
      <c r="K326" s="211"/>
      <c r="L326" s="211"/>
      <c r="M326" s="211"/>
      <c r="N326" s="211"/>
      <c r="O326" s="211"/>
      <c r="P326" s="211"/>
      <c r="Q326" s="211"/>
      <c r="R326" s="211"/>
      <c r="S326" s="133"/>
      <c r="AR326" s="212"/>
      <c r="AS326" s="56"/>
      <c r="AT326" s="213"/>
      <c r="AU326" s="212"/>
      <c r="AV326" s="212"/>
      <c r="AW326" s="212"/>
    </row>
    <row r="327">
      <c r="H327" s="211"/>
      <c r="I327" s="211"/>
      <c r="J327" s="211"/>
      <c r="K327" s="211"/>
      <c r="L327" s="211"/>
      <c r="M327" s="211"/>
      <c r="N327" s="211"/>
      <c r="O327" s="211"/>
      <c r="P327" s="211"/>
      <c r="Q327" s="211"/>
      <c r="R327" s="211"/>
      <c r="S327" s="133"/>
      <c r="AR327" s="212"/>
      <c r="AS327" s="56"/>
      <c r="AT327" s="213"/>
      <c r="AU327" s="212"/>
      <c r="AV327" s="212"/>
      <c r="AW327" s="212"/>
    </row>
    <row r="328">
      <c r="H328" s="211"/>
      <c r="I328" s="211"/>
      <c r="J328" s="211"/>
      <c r="K328" s="211"/>
      <c r="L328" s="211"/>
      <c r="M328" s="211"/>
      <c r="N328" s="211"/>
      <c r="O328" s="211"/>
      <c r="P328" s="211"/>
      <c r="Q328" s="211"/>
      <c r="R328" s="211"/>
      <c r="S328" s="133"/>
      <c r="AR328" s="212"/>
      <c r="AS328" s="56"/>
      <c r="AT328" s="213"/>
      <c r="AU328" s="212"/>
      <c r="AV328" s="212"/>
      <c r="AW328" s="212"/>
    </row>
    <row r="329">
      <c r="H329" s="211"/>
      <c r="I329" s="211"/>
      <c r="J329" s="211"/>
      <c r="K329" s="211"/>
      <c r="L329" s="211"/>
      <c r="M329" s="211"/>
      <c r="N329" s="211"/>
      <c r="O329" s="211"/>
      <c r="P329" s="211"/>
      <c r="Q329" s="211"/>
      <c r="R329" s="211"/>
      <c r="S329" s="133"/>
      <c r="AR329" s="212"/>
      <c r="AS329" s="56"/>
      <c r="AT329" s="213"/>
      <c r="AU329" s="212"/>
      <c r="AV329" s="212"/>
      <c r="AW329" s="212"/>
    </row>
    <row r="330">
      <c r="H330" s="211"/>
      <c r="I330" s="211"/>
      <c r="J330" s="211"/>
      <c r="K330" s="211"/>
      <c r="L330" s="211"/>
      <c r="M330" s="211"/>
      <c r="N330" s="211"/>
      <c r="O330" s="211"/>
      <c r="P330" s="211"/>
      <c r="Q330" s="211"/>
      <c r="R330" s="211"/>
      <c r="S330" s="133"/>
      <c r="AR330" s="212"/>
      <c r="AS330" s="56"/>
      <c r="AT330" s="213"/>
      <c r="AU330" s="212"/>
      <c r="AV330" s="212"/>
      <c r="AW330" s="212"/>
    </row>
    <row r="331">
      <c r="H331" s="211"/>
      <c r="I331" s="211"/>
      <c r="J331" s="211"/>
      <c r="K331" s="211"/>
      <c r="L331" s="211"/>
      <c r="M331" s="211"/>
      <c r="N331" s="211"/>
      <c r="O331" s="211"/>
      <c r="P331" s="211"/>
      <c r="Q331" s="211"/>
      <c r="R331" s="211"/>
      <c r="S331" s="133"/>
      <c r="AR331" s="212"/>
      <c r="AS331" s="56"/>
      <c r="AT331" s="213"/>
      <c r="AU331" s="212"/>
      <c r="AV331" s="212"/>
      <c r="AW331" s="212"/>
    </row>
    <row r="332">
      <c r="H332" s="211"/>
      <c r="I332" s="211"/>
      <c r="J332" s="211"/>
      <c r="K332" s="211"/>
      <c r="L332" s="211"/>
      <c r="M332" s="211"/>
      <c r="N332" s="211"/>
      <c r="O332" s="211"/>
      <c r="P332" s="211"/>
      <c r="Q332" s="211"/>
      <c r="R332" s="211"/>
      <c r="S332" s="133"/>
      <c r="AR332" s="212"/>
      <c r="AS332" s="56"/>
      <c r="AT332" s="213"/>
      <c r="AU332" s="212"/>
      <c r="AV332" s="212"/>
      <c r="AW332" s="212"/>
    </row>
    <row r="333">
      <c r="H333" s="211"/>
      <c r="I333" s="211"/>
      <c r="J333" s="211"/>
      <c r="K333" s="211"/>
      <c r="L333" s="211"/>
      <c r="M333" s="211"/>
      <c r="N333" s="211"/>
      <c r="O333" s="211"/>
      <c r="P333" s="211"/>
      <c r="Q333" s="211"/>
      <c r="R333" s="211"/>
      <c r="S333" s="133"/>
      <c r="AR333" s="212"/>
      <c r="AS333" s="56"/>
      <c r="AT333" s="213"/>
      <c r="AU333" s="212"/>
      <c r="AV333" s="212"/>
      <c r="AW333" s="212"/>
    </row>
    <row r="334">
      <c r="H334" s="211"/>
      <c r="I334" s="211"/>
      <c r="J334" s="211"/>
      <c r="K334" s="211"/>
      <c r="L334" s="211"/>
      <c r="M334" s="211"/>
      <c r="N334" s="211"/>
      <c r="O334" s="211"/>
      <c r="P334" s="211"/>
      <c r="Q334" s="211"/>
      <c r="R334" s="211"/>
      <c r="S334" s="133"/>
      <c r="AR334" s="212"/>
      <c r="AS334" s="56"/>
      <c r="AT334" s="213"/>
      <c r="AU334" s="212"/>
      <c r="AV334" s="212"/>
      <c r="AW334" s="212"/>
    </row>
    <row r="335">
      <c r="H335" s="211"/>
      <c r="I335" s="211"/>
      <c r="J335" s="211"/>
      <c r="K335" s="211"/>
      <c r="L335" s="211"/>
      <c r="M335" s="211"/>
      <c r="N335" s="211"/>
      <c r="O335" s="211"/>
      <c r="P335" s="211"/>
      <c r="Q335" s="211"/>
      <c r="R335" s="211"/>
      <c r="S335" s="133"/>
      <c r="AR335" s="212"/>
      <c r="AS335" s="56"/>
      <c r="AT335" s="213"/>
      <c r="AU335" s="212"/>
      <c r="AV335" s="212"/>
      <c r="AW335" s="212"/>
    </row>
    <row r="336">
      <c r="H336" s="211"/>
      <c r="I336" s="211"/>
      <c r="J336" s="211"/>
      <c r="K336" s="211"/>
      <c r="L336" s="211"/>
      <c r="M336" s="211"/>
      <c r="N336" s="211"/>
      <c r="O336" s="211"/>
      <c r="P336" s="211"/>
      <c r="Q336" s="211"/>
      <c r="R336" s="211"/>
      <c r="S336" s="133"/>
      <c r="AR336" s="212"/>
      <c r="AS336" s="56"/>
      <c r="AT336" s="213"/>
      <c r="AU336" s="212"/>
      <c r="AV336" s="212"/>
      <c r="AW336" s="212"/>
    </row>
    <row r="337">
      <c r="H337" s="211"/>
      <c r="I337" s="211"/>
      <c r="J337" s="211"/>
      <c r="K337" s="211"/>
      <c r="L337" s="211"/>
      <c r="M337" s="211"/>
      <c r="N337" s="211"/>
      <c r="O337" s="211"/>
      <c r="P337" s="211"/>
      <c r="Q337" s="211"/>
      <c r="R337" s="211"/>
      <c r="S337" s="133"/>
      <c r="AR337" s="212"/>
      <c r="AS337" s="56"/>
      <c r="AT337" s="213"/>
      <c r="AU337" s="212"/>
      <c r="AV337" s="212"/>
      <c r="AW337" s="212"/>
    </row>
    <row r="338">
      <c r="H338" s="211"/>
      <c r="I338" s="211"/>
      <c r="J338" s="211"/>
      <c r="K338" s="211"/>
      <c r="L338" s="211"/>
      <c r="M338" s="211"/>
      <c r="N338" s="211"/>
      <c r="O338" s="211"/>
      <c r="P338" s="211"/>
      <c r="Q338" s="211"/>
      <c r="R338" s="211"/>
      <c r="S338" s="133"/>
      <c r="AR338" s="212"/>
      <c r="AS338" s="56"/>
      <c r="AT338" s="213"/>
      <c r="AU338" s="212"/>
      <c r="AV338" s="212"/>
      <c r="AW338" s="212"/>
    </row>
    <row r="339">
      <c r="H339" s="211"/>
      <c r="I339" s="211"/>
      <c r="J339" s="211"/>
      <c r="K339" s="211"/>
      <c r="L339" s="211"/>
      <c r="M339" s="211"/>
      <c r="N339" s="211"/>
      <c r="O339" s="211"/>
      <c r="P339" s="211"/>
      <c r="Q339" s="211"/>
      <c r="R339" s="211"/>
      <c r="S339" s="133"/>
      <c r="AR339" s="212"/>
      <c r="AS339" s="56"/>
      <c r="AT339" s="213"/>
      <c r="AU339" s="212"/>
      <c r="AV339" s="212"/>
      <c r="AW339" s="212"/>
    </row>
    <row r="340">
      <c r="H340" s="211"/>
      <c r="I340" s="211"/>
      <c r="J340" s="211"/>
      <c r="K340" s="211"/>
      <c r="L340" s="211"/>
      <c r="M340" s="211"/>
      <c r="N340" s="211"/>
      <c r="O340" s="211"/>
      <c r="P340" s="211"/>
      <c r="Q340" s="211"/>
      <c r="R340" s="211"/>
      <c r="S340" s="133"/>
      <c r="AR340" s="212"/>
      <c r="AS340" s="56"/>
      <c r="AT340" s="213"/>
      <c r="AU340" s="212"/>
      <c r="AV340" s="212"/>
      <c r="AW340" s="212"/>
    </row>
    <row r="341">
      <c r="H341" s="211"/>
      <c r="I341" s="211"/>
      <c r="J341" s="211"/>
      <c r="K341" s="211"/>
      <c r="L341" s="211"/>
      <c r="M341" s="211"/>
      <c r="N341" s="211"/>
      <c r="O341" s="211"/>
      <c r="P341" s="211"/>
      <c r="Q341" s="211"/>
      <c r="R341" s="211"/>
      <c r="S341" s="133"/>
      <c r="AR341" s="212"/>
      <c r="AS341" s="56"/>
      <c r="AT341" s="213"/>
      <c r="AU341" s="212"/>
      <c r="AV341" s="212"/>
      <c r="AW341" s="212"/>
    </row>
    <row r="342">
      <c r="H342" s="211"/>
      <c r="I342" s="211"/>
      <c r="J342" s="211"/>
      <c r="K342" s="211"/>
      <c r="L342" s="211"/>
      <c r="M342" s="211"/>
      <c r="N342" s="211"/>
      <c r="O342" s="211"/>
      <c r="P342" s="211"/>
      <c r="Q342" s="211"/>
      <c r="R342" s="211"/>
      <c r="S342" s="133"/>
      <c r="AR342" s="212"/>
      <c r="AS342" s="56"/>
      <c r="AT342" s="213"/>
      <c r="AU342" s="212"/>
      <c r="AV342" s="212"/>
      <c r="AW342" s="212"/>
    </row>
    <row r="343">
      <c r="H343" s="211"/>
      <c r="I343" s="211"/>
      <c r="J343" s="211"/>
      <c r="K343" s="211"/>
      <c r="L343" s="211"/>
      <c r="M343" s="211"/>
      <c r="N343" s="211"/>
      <c r="O343" s="211"/>
      <c r="P343" s="211"/>
      <c r="Q343" s="211"/>
      <c r="R343" s="211"/>
      <c r="S343" s="133"/>
      <c r="AR343" s="212"/>
      <c r="AS343" s="56"/>
      <c r="AT343" s="213"/>
      <c r="AU343" s="212"/>
      <c r="AV343" s="212"/>
      <c r="AW343" s="212"/>
    </row>
    <row r="344">
      <c r="H344" s="211"/>
      <c r="I344" s="211"/>
      <c r="J344" s="211"/>
      <c r="K344" s="211"/>
      <c r="L344" s="211"/>
      <c r="M344" s="211"/>
      <c r="N344" s="211"/>
      <c r="O344" s="211"/>
      <c r="P344" s="211"/>
      <c r="Q344" s="211"/>
      <c r="R344" s="211"/>
      <c r="S344" s="133"/>
      <c r="AR344" s="212"/>
      <c r="AS344" s="56"/>
      <c r="AT344" s="213"/>
      <c r="AU344" s="212"/>
      <c r="AV344" s="212"/>
      <c r="AW344" s="212"/>
    </row>
    <row r="345">
      <c r="H345" s="211"/>
      <c r="I345" s="211"/>
      <c r="J345" s="211"/>
      <c r="K345" s="211"/>
      <c r="L345" s="211"/>
      <c r="M345" s="211"/>
      <c r="N345" s="211"/>
      <c r="O345" s="211"/>
      <c r="P345" s="211"/>
      <c r="Q345" s="211"/>
      <c r="R345" s="211"/>
      <c r="S345" s="133"/>
      <c r="AR345" s="212"/>
      <c r="AS345" s="56"/>
      <c r="AT345" s="213"/>
      <c r="AU345" s="212"/>
      <c r="AV345" s="212"/>
      <c r="AW345" s="212"/>
    </row>
    <row r="346">
      <c r="H346" s="211"/>
      <c r="I346" s="211"/>
      <c r="J346" s="211"/>
      <c r="K346" s="211"/>
      <c r="L346" s="211"/>
      <c r="M346" s="211"/>
      <c r="N346" s="211"/>
      <c r="O346" s="211"/>
      <c r="P346" s="211"/>
      <c r="Q346" s="211"/>
      <c r="R346" s="211"/>
      <c r="S346" s="133"/>
      <c r="AR346" s="212"/>
      <c r="AS346" s="56"/>
      <c r="AT346" s="213"/>
      <c r="AU346" s="212"/>
      <c r="AV346" s="212"/>
      <c r="AW346" s="212"/>
    </row>
    <row r="347">
      <c r="H347" s="211"/>
      <c r="I347" s="211"/>
      <c r="J347" s="211"/>
      <c r="K347" s="211"/>
      <c r="L347" s="211"/>
      <c r="M347" s="211"/>
      <c r="N347" s="211"/>
      <c r="O347" s="211"/>
      <c r="P347" s="211"/>
      <c r="Q347" s="211"/>
      <c r="R347" s="211"/>
      <c r="S347" s="133"/>
      <c r="AR347" s="212"/>
      <c r="AS347" s="56"/>
      <c r="AT347" s="213"/>
      <c r="AU347" s="212"/>
      <c r="AV347" s="212"/>
      <c r="AW347" s="212"/>
    </row>
    <row r="348">
      <c r="H348" s="211"/>
      <c r="I348" s="211"/>
      <c r="J348" s="211"/>
      <c r="K348" s="211"/>
      <c r="L348" s="211"/>
      <c r="M348" s="211"/>
      <c r="N348" s="211"/>
      <c r="O348" s="211"/>
      <c r="P348" s="211"/>
      <c r="Q348" s="211"/>
      <c r="R348" s="211"/>
      <c r="S348" s="133"/>
      <c r="AR348" s="212"/>
      <c r="AS348" s="56"/>
      <c r="AT348" s="213"/>
      <c r="AU348" s="212"/>
      <c r="AV348" s="212"/>
      <c r="AW348" s="212"/>
    </row>
    <row r="349">
      <c r="H349" s="211"/>
      <c r="I349" s="211"/>
      <c r="J349" s="211"/>
      <c r="K349" s="211"/>
      <c r="L349" s="211"/>
      <c r="M349" s="211"/>
      <c r="N349" s="211"/>
      <c r="O349" s="211"/>
      <c r="P349" s="211"/>
      <c r="Q349" s="211"/>
      <c r="R349" s="211"/>
      <c r="S349" s="133"/>
      <c r="AR349" s="212"/>
      <c r="AS349" s="56"/>
      <c r="AT349" s="213"/>
      <c r="AU349" s="212"/>
      <c r="AV349" s="212"/>
      <c r="AW349" s="212"/>
    </row>
    <row r="350">
      <c r="H350" s="211"/>
      <c r="I350" s="211"/>
      <c r="J350" s="211"/>
      <c r="K350" s="211"/>
      <c r="L350" s="211"/>
      <c r="M350" s="211"/>
      <c r="N350" s="211"/>
      <c r="O350" s="211"/>
      <c r="P350" s="211"/>
      <c r="Q350" s="211"/>
      <c r="R350" s="211"/>
      <c r="S350" s="133"/>
      <c r="AR350" s="212"/>
      <c r="AS350" s="56"/>
      <c r="AT350" s="213"/>
      <c r="AU350" s="212"/>
      <c r="AV350" s="212"/>
      <c r="AW350" s="212"/>
    </row>
    <row r="351">
      <c r="H351" s="211"/>
      <c r="I351" s="211"/>
      <c r="J351" s="211"/>
      <c r="K351" s="211"/>
      <c r="L351" s="211"/>
      <c r="M351" s="211"/>
      <c r="N351" s="211"/>
      <c r="O351" s="211"/>
      <c r="P351" s="211"/>
      <c r="Q351" s="211"/>
      <c r="R351" s="211"/>
      <c r="S351" s="133"/>
      <c r="AR351" s="212"/>
      <c r="AS351" s="56"/>
      <c r="AT351" s="213"/>
      <c r="AU351" s="212"/>
      <c r="AV351" s="212"/>
      <c r="AW351" s="212"/>
    </row>
    <row r="352">
      <c r="H352" s="211"/>
      <c r="I352" s="211"/>
      <c r="J352" s="211"/>
      <c r="K352" s="211"/>
      <c r="L352" s="211"/>
      <c r="M352" s="211"/>
      <c r="N352" s="211"/>
      <c r="O352" s="211"/>
      <c r="P352" s="211"/>
      <c r="Q352" s="211"/>
      <c r="R352" s="211"/>
      <c r="S352" s="133"/>
      <c r="AR352" s="212"/>
      <c r="AS352" s="56"/>
      <c r="AT352" s="213"/>
      <c r="AU352" s="212"/>
      <c r="AV352" s="212"/>
      <c r="AW352" s="212"/>
    </row>
    <row r="353">
      <c r="H353" s="211"/>
      <c r="I353" s="211"/>
      <c r="J353" s="211"/>
      <c r="K353" s="211"/>
      <c r="L353" s="211"/>
      <c r="M353" s="211"/>
      <c r="N353" s="211"/>
      <c r="O353" s="211"/>
      <c r="P353" s="211"/>
      <c r="Q353" s="211"/>
      <c r="R353" s="211"/>
      <c r="S353" s="133"/>
      <c r="AR353" s="212"/>
      <c r="AS353" s="56"/>
      <c r="AT353" s="213"/>
      <c r="AU353" s="212"/>
      <c r="AV353" s="212"/>
      <c r="AW353" s="212"/>
    </row>
    <row r="354">
      <c r="H354" s="211"/>
      <c r="I354" s="211"/>
      <c r="J354" s="211"/>
      <c r="K354" s="211"/>
      <c r="L354" s="211"/>
      <c r="M354" s="211"/>
      <c r="N354" s="211"/>
      <c r="O354" s="211"/>
      <c r="P354" s="211"/>
      <c r="Q354" s="211"/>
      <c r="R354" s="211"/>
      <c r="S354" s="133"/>
      <c r="AR354" s="212"/>
      <c r="AS354" s="56"/>
      <c r="AT354" s="213"/>
      <c r="AU354" s="212"/>
      <c r="AV354" s="212"/>
      <c r="AW354" s="212"/>
    </row>
    <row r="355">
      <c r="H355" s="211"/>
      <c r="I355" s="211"/>
      <c r="J355" s="211"/>
      <c r="K355" s="211"/>
      <c r="L355" s="211"/>
      <c r="M355" s="211"/>
      <c r="N355" s="211"/>
      <c r="O355" s="211"/>
      <c r="P355" s="211"/>
      <c r="Q355" s="211"/>
      <c r="R355" s="211"/>
      <c r="S355" s="133"/>
      <c r="AR355" s="212"/>
      <c r="AS355" s="56"/>
      <c r="AT355" s="213"/>
      <c r="AU355" s="212"/>
      <c r="AV355" s="212"/>
      <c r="AW355" s="212"/>
    </row>
    <row r="356">
      <c r="H356" s="211"/>
      <c r="I356" s="211"/>
      <c r="J356" s="211"/>
      <c r="K356" s="211"/>
      <c r="L356" s="211"/>
      <c r="M356" s="211"/>
      <c r="N356" s="211"/>
      <c r="O356" s="211"/>
      <c r="P356" s="211"/>
      <c r="Q356" s="211"/>
      <c r="R356" s="211"/>
      <c r="S356" s="133"/>
      <c r="AR356" s="212"/>
      <c r="AS356" s="56"/>
      <c r="AT356" s="213"/>
      <c r="AU356" s="212"/>
      <c r="AV356" s="212"/>
      <c r="AW356" s="212"/>
    </row>
    <row r="357">
      <c r="H357" s="211"/>
      <c r="I357" s="211"/>
      <c r="J357" s="211"/>
      <c r="K357" s="211"/>
      <c r="L357" s="211"/>
      <c r="M357" s="211"/>
      <c r="N357" s="211"/>
      <c r="O357" s="211"/>
      <c r="P357" s="211"/>
      <c r="Q357" s="211"/>
      <c r="R357" s="211"/>
      <c r="S357" s="133"/>
      <c r="AR357" s="212"/>
      <c r="AS357" s="56"/>
      <c r="AT357" s="213"/>
      <c r="AU357" s="212"/>
      <c r="AV357" s="212"/>
      <c r="AW357" s="212"/>
    </row>
    <row r="358">
      <c r="H358" s="211"/>
      <c r="I358" s="211"/>
      <c r="J358" s="211"/>
      <c r="K358" s="211"/>
      <c r="L358" s="211"/>
      <c r="M358" s="211"/>
      <c r="N358" s="211"/>
      <c r="O358" s="211"/>
      <c r="P358" s="211"/>
      <c r="Q358" s="211"/>
      <c r="R358" s="211"/>
      <c r="S358" s="133"/>
      <c r="AR358" s="212"/>
      <c r="AS358" s="56"/>
      <c r="AT358" s="213"/>
      <c r="AU358" s="212"/>
      <c r="AV358" s="212"/>
      <c r="AW358" s="212"/>
    </row>
    <row r="359">
      <c r="H359" s="211"/>
      <c r="I359" s="211"/>
      <c r="J359" s="211"/>
      <c r="K359" s="211"/>
      <c r="L359" s="211"/>
      <c r="M359" s="211"/>
      <c r="N359" s="211"/>
      <c r="O359" s="211"/>
      <c r="P359" s="211"/>
      <c r="Q359" s="211"/>
      <c r="R359" s="211"/>
      <c r="S359" s="133"/>
      <c r="AR359" s="212"/>
      <c r="AS359" s="56"/>
      <c r="AT359" s="213"/>
      <c r="AU359" s="212"/>
      <c r="AV359" s="212"/>
      <c r="AW359" s="212"/>
    </row>
    <row r="360">
      <c r="H360" s="211"/>
      <c r="I360" s="211"/>
      <c r="J360" s="211"/>
      <c r="K360" s="211"/>
      <c r="L360" s="211"/>
      <c r="M360" s="211"/>
      <c r="N360" s="211"/>
      <c r="O360" s="211"/>
      <c r="P360" s="211"/>
      <c r="Q360" s="211"/>
      <c r="R360" s="211"/>
      <c r="S360" s="133"/>
      <c r="AR360" s="212"/>
      <c r="AS360" s="56"/>
      <c r="AT360" s="213"/>
      <c r="AU360" s="212"/>
      <c r="AV360" s="212"/>
      <c r="AW360" s="212"/>
    </row>
    <row r="361">
      <c r="H361" s="211"/>
      <c r="I361" s="211"/>
      <c r="J361" s="211"/>
      <c r="K361" s="211"/>
      <c r="L361" s="211"/>
      <c r="M361" s="211"/>
      <c r="N361" s="211"/>
      <c r="O361" s="211"/>
      <c r="P361" s="211"/>
      <c r="Q361" s="211"/>
      <c r="R361" s="211"/>
      <c r="S361" s="133"/>
      <c r="AR361" s="212"/>
      <c r="AS361" s="56"/>
      <c r="AT361" s="213"/>
      <c r="AU361" s="212"/>
      <c r="AV361" s="212"/>
      <c r="AW361" s="212"/>
    </row>
    <row r="362">
      <c r="H362" s="211"/>
      <c r="I362" s="211"/>
      <c r="J362" s="211"/>
      <c r="K362" s="211"/>
      <c r="L362" s="211"/>
      <c r="M362" s="211"/>
      <c r="N362" s="211"/>
      <c r="O362" s="211"/>
      <c r="P362" s="211"/>
      <c r="Q362" s="211"/>
      <c r="R362" s="211"/>
      <c r="S362" s="133"/>
      <c r="AR362" s="212"/>
      <c r="AS362" s="56"/>
      <c r="AT362" s="213"/>
      <c r="AU362" s="212"/>
      <c r="AV362" s="212"/>
      <c r="AW362" s="212"/>
    </row>
    <row r="363">
      <c r="H363" s="211"/>
      <c r="I363" s="211"/>
      <c r="J363" s="211"/>
      <c r="K363" s="211"/>
      <c r="L363" s="211"/>
      <c r="M363" s="211"/>
      <c r="N363" s="211"/>
      <c r="O363" s="211"/>
      <c r="P363" s="211"/>
      <c r="Q363" s="211"/>
      <c r="R363" s="211"/>
      <c r="S363" s="133"/>
      <c r="AR363" s="212"/>
      <c r="AS363" s="56"/>
      <c r="AT363" s="213"/>
      <c r="AU363" s="212"/>
      <c r="AV363" s="212"/>
      <c r="AW363" s="212"/>
    </row>
    <row r="364">
      <c r="H364" s="211"/>
      <c r="I364" s="211"/>
      <c r="J364" s="211"/>
      <c r="K364" s="211"/>
      <c r="L364" s="211"/>
      <c r="M364" s="211"/>
      <c r="N364" s="211"/>
      <c r="O364" s="211"/>
      <c r="P364" s="211"/>
      <c r="Q364" s="211"/>
      <c r="R364" s="211"/>
      <c r="S364" s="133"/>
      <c r="AR364" s="212"/>
      <c r="AS364" s="56"/>
      <c r="AT364" s="213"/>
      <c r="AU364" s="212"/>
      <c r="AV364" s="212"/>
      <c r="AW364" s="212"/>
    </row>
    <row r="365">
      <c r="H365" s="211"/>
      <c r="I365" s="211"/>
      <c r="J365" s="211"/>
      <c r="K365" s="211"/>
      <c r="L365" s="211"/>
      <c r="M365" s="211"/>
      <c r="N365" s="211"/>
      <c r="O365" s="211"/>
      <c r="P365" s="211"/>
      <c r="Q365" s="211"/>
      <c r="R365" s="211"/>
      <c r="S365" s="133"/>
      <c r="AR365" s="212"/>
      <c r="AS365" s="56"/>
      <c r="AT365" s="213"/>
      <c r="AU365" s="212"/>
      <c r="AV365" s="212"/>
      <c r="AW365" s="212"/>
    </row>
    <row r="366">
      <c r="H366" s="211"/>
      <c r="I366" s="211"/>
      <c r="J366" s="211"/>
      <c r="K366" s="211"/>
      <c r="L366" s="211"/>
      <c r="M366" s="211"/>
      <c r="N366" s="211"/>
      <c r="O366" s="211"/>
      <c r="P366" s="211"/>
      <c r="Q366" s="211"/>
      <c r="R366" s="211"/>
      <c r="S366" s="133"/>
      <c r="AR366" s="212"/>
      <c r="AS366" s="56"/>
      <c r="AT366" s="213"/>
      <c r="AU366" s="212"/>
      <c r="AV366" s="212"/>
      <c r="AW366" s="212"/>
    </row>
    <row r="367">
      <c r="H367" s="211"/>
      <c r="I367" s="211"/>
      <c r="J367" s="211"/>
      <c r="K367" s="211"/>
      <c r="L367" s="211"/>
      <c r="M367" s="211"/>
      <c r="N367" s="211"/>
      <c r="O367" s="211"/>
      <c r="P367" s="211"/>
      <c r="Q367" s="211"/>
      <c r="R367" s="211"/>
      <c r="S367" s="133"/>
      <c r="AR367" s="212"/>
      <c r="AS367" s="56"/>
      <c r="AT367" s="213"/>
      <c r="AU367" s="212"/>
      <c r="AV367" s="212"/>
      <c r="AW367" s="212"/>
    </row>
    <row r="368">
      <c r="H368" s="211"/>
      <c r="I368" s="211"/>
      <c r="J368" s="211"/>
      <c r="K368" s="211"/>
      <c r="L368" s="211"/>
      <c r="M368" s="211"/>
      <c r="N368" s="211"/>
      <c r="O368" s="211"/>
      <c r="P368" s="211"/>
      <c r="Q368" s="211"/>
      <c r="R368" s="211"/>
      <c r="S368" s="133"/>
      <c r="AR368" s="212"/>
      <c r="AS368" s="56"/>
      <c r="AT368" s="213"/>
      <c r="AU368" s="212"/>
      <c r="AV368" s="212"/>
      <c r="AW368" s="212"/>
    </row>
    <row r="369">
      <c r="H369" s="211"/>
      <c r="I369" s="211"/>
      <c r="J369" s="211"/>
      <c r="K369" s="211"/>
      <c r="L369" s="211"/>
      <c r="M369" s="211"/>
      <c r="N369" s="211"/>
      <c r="O369" s="211"/>
      <c r="P369" s="211"/>
      <c r="Q369" s="211"/>
      <c r="R369" s="211"/>
      <c r="S369" s="133"/>
      <c r="AR369" s="212"/>
      <c r="AS369" s="56"/>
      <c r="AT369" s="213"/>
      <c r="AU369" s="212"/>
      <c r="AV369" s="212"/>
      <c r="AW369" s="212"/>
    </row>
    <row r="370">
      <c r="H370" s="211"/>
      <c r="I370" s="211"/>
      <c r="J370" s="211"/>
      <c r="K370" s="211"/>
      <c r="L370" s="211"/>
      <c r="M370" s="211"/>
      <c r="N370" s="211"/>
      <c r="O370" s="211"/>
      <c r="P370" s="211"/>
      <c r="Q370" s="211"/>
      <c r="R370" s="211"/>
      <c r="S370" s="133"/>
      <c r="AR370" s="212"/>
      <c r="AS370" s="56"/>
      <c r="AT370" s="213"/>
      <c r="AU370" s="212"/>
      <c r="AV370" s="212"/>
      <c r="AW370" s="212"/>
    </row>
    <row r="371">
      <c r="H371" s="211"/>
      <c r="I371" s="211"/>
      <c r="J371" s="211"/>
      <c r="K371" s="211"/>
      <c r="L371" s="211"/>
      <c r="M371" s="211"/>
      <c r="N371" s="211"/>
      <c r="O371" s="211"/>
      <c r="P371" s="211"/>
      <c r="Q371" s="211"/>
      <c r="R371" s="211"/>
      <c r="S371" s="133"/>
      <c r="AR371" s="212"/>
      <c r="AS371" s="56"/>
      <c r="AT371" s="213"/>
      <c r="AU371" s="212"/>
      <c r="AV371" s="212"/>
      <c r="AW371" s="212"/>
    </row>
    <row r="372">
      <c r="H372" s="211"/>
      <c r="I372" s="211"/>
      <c r="J372" s="211"/>
      <c r="K372" s="211"/>
      <c r="L372" s="211"/>
      <c r="M372" s="211"/>
      <c r="N372" s="211"/>
      <c r="O372" s="211"/>
      <c r="P372" s="211"/>
      <c r="Q372" s="211"/>
      <c r="R372" s="211"/>
      <c r="S372" s="133"/>
      <c r="AR372" s="212"/>
      <c r="AS372" s="56"/>
      <c r="AT372" s="213"/>
      <c r="AU372" s="212"/>
      <c r="AV372" s="212"/>
      <c r="AW372" s="212"/>
    </row>
    <row r="373">
      <c r="H373" s="211"/>
      <c r="I373" s="211"/>
      <c r="J373" s="211"/>
      <c r="K373" s="211"/>
      <c r="L373" s="211"/>
      <c r="M373" s="211"/>
      <c r="N373" s="211"/>
      <c r="O373" s="211"/>
      <c r="P373" s="211"/>
      <c r="Q373" s="211"/>
      <c r="R373" s="211"/>
      <c r="S373" s="133"/>
      <c r="AR373" s="212"/>
      <c r="AS373" s="56"/>
      <c r="AT373" s="213"/>
      <c r="AU373" s="212"/>
      <c r="AV373" s="212"/>
      <c r="AW373" s="212"/>
    </row>
    <row r="374">
      <c r="H374" s="211"/>
      <c r="I374" s="211"/>
      <c r="J374" s="211"/>
      <c r="K374" s="211"/>
      <c r="L374" s="211"/>
      <c r="M374" s="211"/>
      <c r="N374" s="211"/>
      <c r="O374" s="211"/>
      <c r="P374" s="211"/>
      <c r="Q374" s="211"/>
      <c r="R374" s="211"/>
      <c r="S374" s="133"/>
      <c r="AR374" s="212"/>
      <c r="AS374" s="56"/>
      <c r="AT374" s="213"/>
      <c r="AU374" s="212"/>
      <c r="AV374" s="212"/>
      <c r="AW374" s="212"/>
    </row>
    <row r="375">
      <c r="H375" s="211"/>
      <c r="I375" s="211"/>
      <c r="J375" s="211"/>
      <c r="K375" s="211"/>
      <c r="L375" s="211"/>
      <c r="M375" s="211"/>
      <c r="N375" s="211"/>
      <c r="O375" s="211"/>
      <c r="P375" s="211"/>
      <c r="Q375" s="211"/>
      <c r="R375" s="211"/>
      <c r="S375" s="133"/>
      <c r="AR375" s="212"/>
      <c r="AS375" s="56"/>
      <c r="AT375" s="213"/>
      <c r="AU375" s="212"/>
      <c r="AV375" s="212"/>
      <c r="AW375" s="212"/>
    </row>
    <row r="376">
      <c r="H376" s="211"/>
      <c r="I376" s="211"/>
      <c r="J376" s="211"/>
      <c r="K376" s="211"/>
      <c r="L376" s="211"/>
      <c r="M376" s="211"/>
      <c r="N376" s="211"/>
      <c r="O376" s="211"/>
      <c r="P376" s="211"/>
      <c r="Q376" s="211"/>
      <c r="R376" s="211"/>
      <c r="S376" s="133"/>
      <c r="AR376" s="212"/>
      <c r="AS376" s="56"/>
      <c r="AT376" s="213"/>
      <c r="AU376" s="212"/>
      <c r="AV376" s="212"/>
      <c r="AW376" s="212"/>
    </row>
    <row r="377">
      <c r="H377" s="211"/>
      <c r="I377" s="211"/>
      <c r="J377" s="211"/>
      <c r="K377" s="211"/>
      <c r="L377" s="211"/>
      <c r="M377" s="211"/>
      <c r="N377" s="211"/>
      <c r="O377" s="211"/>
      <c r="P377" s="211"/>
      <c r="Q377" s="211"/>
      <c r="R377" s="211"/>
      <c r="S377" s="133"/>
      <c r="AR377" s="212"/>
      <c r="AS377" s="56"/>
      <c r="AT377" s="213"/>
      <c r="AU377" s="212"/>
      <c r="AV377" s="212"/>
      <c r="AW377" s="212"/>
    </row>
    <row r="378">
      <c r="H378" s="211"/>
      <c r="I378" s="211"/>
      <c r="J378" s="211"/>
      <c r="K378" s="211"/>
      <c r="L378" s="211"/>
      <c r="M378" s="211"/>
      <c r="N378" s="211"/>
      <c r="O378" s="211"/>
      <c r="P378" s="211"/>
      <c r="Q378" s="211"/>
      <c r="R378" s="211"/>
      <c r="S378" s="133"/>
      <c r="AR378" s="212"/>
      <c r="AS378" s="56"/>
      <c r="AT378" s="213"/>
      <c r="AU378" s="212"/>
      <c r="AV378" s="212"/>
      <c r="AW378" s="212"/>
    </row>
    <row r="379">
      <c r="H379" s="211"/>
      <c r="I379" s="211"/>
      <c r="J379" s="211"/>
      <c r="K379" s="211"/>
      <c r="L379" s="211"/>
      <c r="M379" s="211"/>
      <c r="N379" s="211"/>
      <c r="O379" s="211"/>
      <c r="P379" s="211"/>
      <c r="Q379" s="211"/>
      <c r="R379" s="211"/>
      <c r="S379" s="133"/>
      <c r="AR379" s="212"/>
      <c r="AS379" s="56"/>
      <c r="AT379" s="213"/>
      <c r="AU379" s="212"/>
      <c r="AV379" s="212"/>
      <c r="AW379" s="212"/>
    </row>
    <row r="380">
      <c r="H380" s="211"/>
      <c r="I380" s="211"/>
      <c r="J380" s="211"/>
      <c r="K380" s="211"/>
      <c r="L380" s="211"/>
      <c r="M380" s="211"/>
      <c r="N380" s="211"/>
      <c r="O380" s="211"/>
      <c r="P380" s="211"/>
      <c r="Q380" s="211"/>
      <c r="R380" s="211"/>
      <c r="S380" s="133"/>
      <c r="AR380" s="212"/>
      <c r="AS380" s="56"/>
      <c r="AT380" s="213"/>
      <c r="AU380" s="212"/>
      <c r="AV380" s="212"/>
      <c r="AW380" s="212"/>
    </row>
    <row r="381">
      <c r="H381" s="211"/>
      <c r="I381" s="211"/>
      <c r="J381" s="211"/>
      <c r="K381" s="211"/>
      <c r="L381" s="211"/>
      <c r="M381" s="211"/>
      <c r="N381" s="211"/>
      <c r="O381" s="211"/>
      <c r="P381" s="211"/>
      <c r="Q381" s="211"/>
      <c r="R381" s="211"/>
      <c r="S381" s="133"/>
      <c r="AR381" s="212"/>
      <c r="AS381" s="56"/>
      <c r="AT381" s="213"/>
      <c r="AU381" s="212"/>
      <c r="AV381" s="212"/>
      <c r="AW381" s="212"/>
    </row>
    <row r="382">
      <c r="H382" s="211"/>
      <c r="I382" s="211"/>
      <c r="J382" s="211"/>
      <c r="K382" s="211"/>
      <c r="L382" s="211"/>
      <c r="M382" s="211"/>
      <c r="N382" s="211"/>
      <c r="O382" s="211"/>
      <c r="P382" s="211"/>
      <c r="Q382" s="211"/>
      <c r="R382" s="211"/>
      <c r="S382" s="133"/>
      <c r="AR382" s="212"/>
      <c r="AS382" s="56"/>
      <c r="AT382" s="213"/>
      <c r="AU382" s="212"/>
      <c r="AV382" s="212"/>
      <c r="AW382" s="212"/>
    </row>
    <row r="383">
      <c r="H383" s="211"/>
      <c r="I383" s="211"/>
      <c r="J383" s="211"/>
      <c r="K383" s="211"/>
      <c r="L383" s="211"/>
      <c r="M383" s="211"/>
      <c r="N383" s="211"/>
      <c r="O383" s="211"/>
      <c r="P383" s="211"/>
      <c r="Q383" s="211"/>
      <c r="R383" s="211"/>
      <c r="S383" s="133"/>
      <c r="AR383" s="212"/>
      <c r="AS383" s="56"/>
      <c r="AT383" s="213"/>
      <c r="AU383" s="212"/>
      <c r="AV383" s="212"/>
      <c r="AW383" s="212"/>
    </row>
    <row r="384">
      <c r="H384" s="211"/>
      <c r="I384" s="211"/>
      <c r="J384" s="211"/>
      <c r="K384" s="211"/>
      <c r="L384" s="211"/>
      <c r="M384" s="211"/>
      <c r="N384" s="211"/>
      <c r="O384" s="211"/>
      <c r="P384" s="211"/>
      <c r="Q384" s="211"/>
      <c r="R384" s="211"/>
      <c r="S384" s="133"/>
      <c r="AR384" s="212"/>
      <c r="AS384" s="56"/>
      <c r="AT384" s="213"/>
      <c r="AU384" s="212"/>
      <c r="AV384" s="212"/>
      <c r="AW384" s="212"/>
    </row>
    <row r="385">
      <c r="H385" s="211"/>
      <c r="I385" s="211"/>
      <c r="J385" s="211"/>
      <c r="K385" s="211"/>
      <c r="L385" s="211"/>
      <c r="M385" s="211"/>
      <c r="N385" s="211"/>
      <c r="O385" s="211"/>
      <c r="P385" s="211"/>
      <c r="Q385" s="211"/>
      <c r="R385" s="211"/>
      <c r="S385" s="133"/>
      <c r="AR385" s="212"/>
      <c r="AS385" s="56"/>
      <c r="AT385" s="213"/>
      <c r="AU385" s="212"/>
      <c r="AV385" s="212"/>
      <c r="AW385" s="212"/>
    </row>
    <row r="386">
      <c r="H386" s="211"/>
      <c r="I386" s="211"/>
      <c r="J386" s="211"/>
      <c r="K386" s="211"/>
      <c r="L386" s="211"/>
      <c r="M386" s="211"/>
      <c r="N386" s="211"/>
      <c r="O386" s="211"/>
      <c r="P386" s="211"/>
      <c r="Q386" s="211"/>
      <c r="R386" s="211"/>
      <c r="S386" s="133"/>
      <c r="AR386" s="212"/>
      <c r="AS386" s="56"/>
      <c r="AT386" s="213"/>
      <c r="AU386" s="212"/>
      <c r="AV386" s="212"/>
      <c r="AW386" s="212"/>
    </row>
    <row r="387">
      <c r="H387" s="211"/>
      <c r="I387" s="211"/>
      <c r="J387" s="211"/>
      <c r="K387" s="211"/>
      <c r="L387" s="211"/>
      <c r="M387" s="211"/>
      <c r="N387" s="211"/>
      <c r="O387" s="211"/>
      <c r="P387" s="211"/>
      <c r="Q387" s="211"/>
      <c r="R387" s="211"/>
      <c r="S387" s="133"/>
      <c r="AR387" s="212"/>
      <c r="AS387" s="56"/>
      <c r="AT387" s="213"/>
      <c r="AU387" s="212"/>
      <c r="AV387" s="212"/>
      <c r="AW387" s="212"/>
    </row>
    <row r="388">
      <c r="H388" s="211"/>
      <c r="I388" s="211"/>
      <c r="J388" s="211"/>
      <c r="K388" s="211"/>
      <c r="L388" s="211"/>
      <c r="M388" s="211"/>
      <c r="N388" s="211"/>
      <c r="O388" s="211"/>
      <c r="P388" s="211"/>
      <c r="Q388" s="211"/>
      <c r="R388" s="211"/>
      <c r="S388" s="133"/>
      <c r="AR388" s="212"/>
      <c r="AS388" s="56"/>
      <c r="AT388" s="213"/>
      <c r="AU388" s="212"/>
      <c r="AV388" s="212"/>
      <c r="AW388" s="212"/>
    </row>
    <row r="389">
      <c r="H389" s="211"/>
      <c r="I389" s="211"/>
      <c r="J389" s="211"/>
      <c r="K389" s="211"/>
      <c r="L389" s="211"/>
      <c r="M389" s="211"/>
      <c r="N389" s="211"/>
      <c r="O389" s="211"/>
      <c r="P389" s="211"/>
      <c r="Q389" s="211"/>
      <c r="R389" s="211"/>
      <c r="S389" s="133"/>
      <c r="AR389" s="212"/>
      <c r="AS389" s="56"/>
      <c r="AT389" s="213"/>
      <c r="AU389" s="212"/>
      <c r="AV389" s="212"/>
      <c r="AW389" s="212"/>
    </row>
    <row r="390">
      <c r="H390" s="211"/>
      <c r="I390" s="211"/>
      <c r="J390" s="211"/>
      <c r="K390" s="211"/>
      <c r="L390" s="211"/>
      <c r="M390" s="211"/>
      <c r="N390" s="211"/>
      <c r="O390" s="211"/>
      <c r="P390" s="211"/>
      <c r="Q390" s="211"/>
      <c r="R390" s="211"/>
      <c r="S390" s="133"/>
      <c r="AR390" s="212"/>
      <c r="AS390" s="56"/>
      <c r="AT390" s="213"/>
      <c r="AU390" s="212"/>
      <c r="AV390" s="212"/>
      <c r="AW390" s="212"/>
    </row>
    <row r="391">
      <c r="H391" s="211"/>
      <c r="I391" s="211"/>
      <c r="J391" s="211"/>
      <c r="K391" s="211"/>
      <c r="L391" s="211"/>
      <c r="M391" s="211"/>
      <c r="N391" s="211"/>
      <c r="O391" s="211"/>
      <c r="P391" s="211"/>
      <c r="Q391" s="211"/>
      <c r="R391" s="211"/>
      <c r="S391" s="133"/>
      <c r="AR391" s="212"/>
      <c r="AS391" s="56"/>
      <c r="AT391" s="213"/>
      <c r="AU391" s="212"/>
      <c r="AV391" s="212"/>
      <c r="AW391" s="212"/>
    </row>
    <row r="392">
      <c r="H392" s="211"/>
      <c r="I392" s="211"/>
      <c r="J392" s="211"/>
      <c r="K392" s="211"/>
      <c r="L392" s="211"/>
      <c r="M392" s="211"/>
      <c r="N392" s="211"/>
      <c r="O392" s="211"/>
      <c r="P392" s="211"/>
      <c r="Q392" s="211"/>
      <c r="R392" s="211"/>
      <c r="S392" s="133"/>
      <c r="AR392" s="212"/>
      <c r="AS392" s="56"/>
      <c r="AT392" s="213"/>
      <c r="AU392" s="212"/>
      <c r="AV392" s="212"/>
      <c r="AW392" s="212"/>
    </row>
    <row r="393">
      <c r="H393" s="211"/>
      <c r="I393" s="211"/>
      <c r="J393" s="211"/>
      <c r="K393" s="211"/>
      <c r="L393" s="211"/>
      <c r="M393" s="211"/>
      <c r="N393" s="211"/>
      <c r="O393" s="211"/>
      <c r="P393" s="211"/>
      <c r="Q393" s="211"/>
      <c r="R393" s="211"/>
      <c r="S393" s="133"/>
      <c r="AR393" s="212"/>
      <c r="AS393" s="56"/>
      <c r="AT393" s="213"/>
      <c r="AU393" s="212"/>
      <c r="AV393" s="212"/>
      <c r="AW393" s="212"/>
    </row>
    <row r="394">
      <c r="H394" s="211"/>
      <c r="I394" s="211"/>
      <c r="J394" s="211"/>
      <c r="K394" s="211"/>
      <c r="L394" s="211"/>
      <c r="M394" s="211"/>
      <c r="N394" s="211"/>
      <c r="O394" s="211"/>
      <c r="P394" s="211"/>
      <c r="Q394" s="211"/>
      <c r="R394" s="211"/>
      <c r="S394" s="133"/>
      <c r="AR394" s="212"/>
      <c r="AS394" s="56"/>
      <c r="AT394" s="213"/>
      <c r="AU394" s="212"/>
      <c r="AV394" s="212"/>
      <c r="AW394" s="212"/>
    </row>
    <row r="395">
      <c r="H395" s="211"/>
      <c r="I395" s="211"/>
      <c r="J395" s="211"/>
      <c r="K395" s="211"/>
      <c r="L395" s="211"/>
      <c r="M395" s="211"/>
      <c r="N395" s="211"/>
      <c r="O395" s="211"/>
      <c r="P395" s="211"/>
      <c r="Q395" s="211"/>
      <c r="R395" s="211"/>
      <c r="S395" s="133"/>
      <c r="AR395" s="212"/>
      <c r="AS395" s="56"/>
      <c r="AT395" s="213"/>
      <c r="AU395" s="212"/>
      <c r="AV395" s="212"/>
      <c r="AW395" s="212"/>
    </row>
    <row r="396">
      <c r="H396" s="211"/>
      <c r="I396" s="211"/>
      <c r="J396" s="211"/>
      <c r="K396" s="211"/>
      <c r="L396" s="211"/>
      <c r="M396" s="211"/>
      <c r="N396" s="211"/>
      <c r="O396" s="211"/>
      <c r="P396" s="211"/>
      <c r="Q396" s="211"/>
      <c r="R396" s="211"/>
      <c r="S396" s="133"/>
      <c r="AR396" s="212"/>
      <c r="AS396" s="56"/>
      <c r="AT396" s="213"/>
      <c r="AU396" s="212"/>
      <c r="AV396" s="212"/>
      <c r="AW396" s="212"/>
    </row>
    <row r="397">
      <c r="H397" s="211"/>
      <c r="I397" s="211"/>
      <c r="J397" s="211"/>
      <c r="K397" s="211"/>
      <c r="L397" s="211"/>
      <c r="M397" s="211"/>
      <c r="N397" s="211"/>
      <c r="O397" s="211"/>
      <c r="P397" s="211"/>
      <c r="Q397" s="211"/>
      <c r="R397" s="211"/>
      <c r="S397" s="133"/>
      <c r="AR397" s="212"/>
      <c r="AS397" s="56"/>
      <c r="AT397" s="213"/>
      <c r="AU397" s="212"/>
      <c r="AV397" s="212"/>
      <c r="AW397" s="212"/>
    </row>
    <row r="398">
      <c r="H398" s="211"/>
      <c r="I398" s="211"/>
      <c r="J398" s="211"/>
      <c r="K398" s="211"/>
      <c r="L398" s="211"/>
      <c r="M398" s="211"/>
      <c r="N398" s="211"/>
      <c r="O398" s="211"/>
      <c r="P398" s="211"/>
      <c r="Q398" s="211"/>
      <c r="R398" s="211"/>
      <c r="S398" s="133"/>
      <c r="AR398" s="212"/>
      <c r="AS398" s="56"/>
      <c r="AT398" s="213"/>
      <c r="AU398" s="212"/>
      <c r="AV398" s="212"/>
      <c r="AW398" s="212"/>
    </row>
    <row r="399">
      <c r="H399" s="211"/>
      <c r="I399" s="211"/>
      <c r="J399" s="211"/>
      <c r="K399" s="211"/>
      <c r="L399" s="211"/>
      <c r="M399" s="211"/>
      <c r="N399" s="211"/>
      <c r="O399" s="211"/>
      <c r="P399" s="211"/>
      <c r="Q399" s="211"/>
      <c r="R399" s="211"/>
      <c r="S399" s="133"/>
      <c r="AR399" s="212"/>
      <c r="AS399" s="56"/>
      <c r="AT399" s="213"/>
      <c r="AU399" s="212"/>
      <c r="AV399" s="212"/>
      <c r="AW399" s="212"/>
    </row>
    <row r="400">
      <c r="H400" s="211"/>
      <c r="I400" s="211"/>
      <c r="J400" s="211"/>
      <c r="K400" s="211"/>
      <c r="L400" s="211"/>
      <c r="M400" s="211"/>
      <c r="N400" s="211"/>
      <c r="O400" s="211"/>
      <c r="P400" s="211"/>
      <c r="Q400" s="211"/>
      <c r="R400" s="211"/>
      <c r="S400" s="133"/>
      <c r="AR400" s="212"/>
      <c r="AS400" s="56"/>
      <c r="AT400" s="213"/>
      <c r="AU400" s="212"/>
      <c r="AV400" s="212"/>
      <c r="AW400" s="212"/>
    </row>
    <row r="401">
      <c r="H401" s="211"/>
      <c r="I401" s="211"/>
      <c r="J401" s="211"/>
      <c r="K401" s="211"/>
      <c r="L401" s="211"/>
      <c r="M401" s="211"/>
      <c r="N401" s="211"/>
      <c r="O401" s="211"/>
      <c r="P401" s="211"/>
      <c r="Q401" s="211"/>
      <c r="R401" s="211"/>
      <c r="S401" s="133"/>
      <c r="AR401" s="212"/>
      <c r="AS401" s="56"/>
      <c r="AT401" s="213"/>
      <c r="AU401" s="212"/>
      <c r="AV401" s="212"/>
      <c r="AW401" s="212"/>
    </row>
    <row r="402">
      <c r="H402" s="211"/>
      <c r="I402" s="211"/>
      <c r="J402" s="211"/>
      <c r="K402" s="211"/>
      <c r="L402" s="211"/>
      <c r="M402" s="211"/>
      <c r="N402" s="211"/>
      <c r="O402" s="211"/>
      <c r="P402" s="211"/>
      <c r="Q402" s="211"/>
      <c r="R402" s="211"/>
      <c r="S402" s="133"/>
      <c r="AR402" s="212"/>
      <c r="AS402" s="56"/>
      <c r="AT402" s="213"/>
      <c r="AU402" s="212"/>
      <c r="AV402" s="212"/>
      <c r="AW402" s="212"/>
    </row>
    <row r="403">
      <c r="H403" s="211"/>
      <c r="I403" s="211"/>
      <c r="J403" s="211"/>
      <c r="K403" s="211"/>
      <c r="L403" s="211"/>
      <c r="M403" s="211"/>
      <c r="N403" s="211"/>
      <c r="O403" s="211"/>
      <c r="P403" s="211"/>
      <c r="Q403" s="211"/>
      <c r="R403" s="211"/>
      <c r="S403" s="133"/>
      <c r="AR403" s="212"/>
      <c r="AS403" s="56"/>
      <c r="AT403" s="213"/>
      <c r="AU403" s="212"/>
      <c r="AV403" s="212"/>
      <c r="AW403" s="212"/>
    </row>
    <row r="404">
      <c r="H404" s="211"/>
      <c r="I404" s="211"/>
      <c r="J404" s="211"/>
      <c r="K404" s="211"/>
      <c r="L404" s="211"/>
      <c r="M404" s="211"/>
      <c r="N404" s="211"/>
      <c r="O404" s="211"/>
      <c r="P404" s="211"/>
      <c r="Q404" s="211"/>
      <c r="R404" s="211"/>
      <c r="S404" s="133"/>
      <c r="AR404" s="212"/>
      <c r="AS404" s="56"/>
      <c r="AT404" s="213"/>
      <c r="AU404" s="212"/>
      <c r="AV404" s="212"/>
      <c r="AW404" s="212"/>
    </row>
    <row r="405">
      <c r="H405" s="211"/>
      <c r="I405" s="211"/>
      <c r="J405" s="211"/>
      <c r="K405" s="211"/>
      <c r="L405" s="211"/>
      <c r="M405" s="211"/>
      <c r="N405" s="211"/>
      <c r="O405" s="211"/>
      <c r="P405" s="211"/>
      <c r="Q405" s="211"/>
      <c r="R405" s="211"/>
      <c r="S405" s="133"/>
      <c r="AR405" s="212"/>
      <c r="AS405" s="56"/>
      <c r="AT405" s="213"/>
      <c r="AU405" s="212"/>
      <c r="AV405" s="212"/>
      <c r="AW405" s="212"/>
    </row>
    <row r="406">
      <c r="H406" s="211"/>
      <c r="I406" s="211"/>
      <c r="J406" s="211"/>
      <c r="K406" s="211"/>
      <c r="L406" s="211"/>
      <c r="M406" s="211"/>
      <c r="N406" s="211"/>
      <c r="O406" s="211"/>
      <c r="P406" s="211"/>
      <c r="Q406" s="211"/>
      <c r="R406" s="211"/>
      <c r="S406" s="133"/>
      <c r="AR406" s="212"/>
      <c r="AS406" s="56"/>
      <c r="AT406" s="213"/>
      <c r="AU406" s="212"/>
      <c r="AV406" s="212"/>
      <c r="AW406" s="212"/>
    </row>
    <row r="407">
      <c r="H407" s="211"/>
      <c r="I407" s="211"/>
      <c r="J407" s="211"/>
      <c r="K407" s="211"/>
      <c r="L407" s="211"/>
      <c r="M407" s="211"/>
      <c r="N407" s="211"/>
      <c r="O407" s="211"/>
      <c r="P407" s="211"/>
      <c r="Q407" s="211"/>
      <c r="R407" s="211"/>
      <c r="S407" s="133"/>
      <c r="AR407" s="212"/>
      <c r="AS407" s="56"/>
      <c r="AT407" s="213"/>
      <c r="AU407" s="212"/>
      <c r="AV407" s="212"/>
      <c r="AW407" s="212"/>
    </row>
    <row r="408">
      <c r="H408" s="211"/>
      <c r="I408" s="211"/>
      <c r="J408" s="211"/>
      <c r="K408" s="211"/>
      <c r="L408" s="211"/>
      <c r="M408" s="211"/>
      <c r="N408" s="211"/>
      <c r="O408" s="211"/>
      <c r="P408" s="211"/>
      <c r="Q408" s="211"/>
      <c r="R408" s="211"/>
      <c r="S408" s="133"/>
      <c r="AR408" s="212"/>
      <c r="AS408" s="56"/>
      <c r="AT408" s="213"/>
      <c r="AU408" s="212"/>
      <c r="AV408" s="212"/>
      <c r="AW408" s="212"/>
    </row>
    <row r="409">
      <c r="H409" s="211"/>
      <c r="I409" s="211"/>
      <c r="J409" s="211"/>
      <c r="K409" s="211"/>
      <c r="L409" s="211"/>
      <c r="M409" s="211"/>
      <c r="N409" s="211"/>
      <c r="O409" s="211"/>
      <c r="P409" s="211"/>
      <c r="Q409" s="211"/>
      <c r="R409" s="211"/>
      <c r="S409" s="133"/>
      <c r="AR409" s="212"/>
      <c r="AS409" s="56"/>
      <c r="AT409" s="213"/>
      <c r="AU409" s="212"/>
      <c r="AV409" s="212"/>
      <c r="AW409" s="212"/>
    </row>
    <row r="410">
      <c r="H410" s="211"/>
      <c r="I410" s="211"/>
      <c r="J410" s="211"/>
      <c r="K410" s="211"/>
      <c r="L410" s="211"/>
      <c r="M410" s="211"/>
      <c r="N410" s="211"/>
      <c r="O410" s="211"/>
      <c r="P410" s="211"/>
      <c r="Q410" s="211"/>
      <c r="R410" s="211"/>
      <c r="S410" s="133"/>
      <c r="AR410" s="212"/>
      <c r="AS410" s="56"/>
      <c r="AT410" s="213"/>
      <c r="AU410" s="212"/>
      <c r="AV410" s="212"/>
      <c r="AW410" s="212"/>
    </row>
    <row r="411">
      <c r="H411" s="211"/>
      <c r="I411" s="211"/>
      <c r="J411" s="211"/>
      <c r="K411" s="211"/>
      <c r="L411" s="211"/>
      <c r="M411" s="211"/>
      <c r="N411" s="211"/>
      <c r="O411" s="211"/>
      <c r="P411" s="211"/>
      <c r="Q411" s="211"/>
      <c r="R411" s="211"/>
      <c r="S411" s="133"/>
      <c r="AR411" s="212"/>
      <c r="AS411" s="56"/>
      <c r="AT411" s="213"/>
      <c r="AU411" s="212"/>
      <c r="AV411" s="212"/>
      <c r="AW411" s="212"/>
    </row>
    <row r="412">
      <c r="H412" s="211"/>
      <c r="I412" s="211"/>
      <c r="J412" s="211"/>
      <c r="K412" s="211"/>
      <c r="L412" s="211"/>
      <c r="M412" s="211"/>
      <c r="N412" s="211"/>
      <c r="O412" s="211"/>
      <c r="P412" s="211"/>
      <c r="Q412" s="211"/>
      <c r="R412" s="211"/>
      <c r="S412" s="133"/>
      <c r="AR412" s="212"/>
      <c r="AS412" s="56"/>
      <c r="AT412" s="213"/>
      <c r="AU412" s="212"/>
      <c r="AV412" s="212"/>
      <c r="AW412" s="212"/>
    </row>
    <row r="413">
      <c r="H413" s="211"/>
      <c r="I413" s="211"/>
      <c r="J413" s="211"/>
      <c r="K413" s="211"/>
      <c r="L413" s="211"/>
      <c r="M413" s="211"/>
      <c r="N413" s="211"/>
      <c r="O413" s="211"/>
      <c r="P413" s="211"/>
      <c r="Q413" s="211"/>
      <c r="R413" s="211"/>
      <c r="S413" s="133"/>
      <c r="AR413" s="212"/>
      <c r="AS413" s="56"/>
      <c r="AT413" s="213"/>
      <c r="AU413" s="212"/>
      <c r="AV413" s="212"/>
      <c r="AW413" s="212"/>
    </row>
    <row r="414">
      <c r="H414" s="211"/>
      <c r="I414" s="211"/>
      <c r="J414" s="211"/>
      <c r="K414" s="211"/>
      <c r="L414" s="211"/>
      <c r="M414" s="211"/>
      <c r="N414" s="211"/>
      <c r="O414" s="211"/>
      <c r="P414" s="211"/>
      <c r="Q414" s="211"/>
      <c r="R414" s="211"/>
      <c r="S414" s="133"/>
      <c r="AR414" s="212"/>
      <c r="AS414" s="56"/>
      <c r="AT414" s="213"/>
      <c r="AU414" s="212"/>
      <c r="AV414" s="212"/>
      <c r="AW414" s="212"/>
    </row>
    <row r="415">
      <c r="H415" s="211"/>
      <c r="I415" s="211"/>
      <c r="J415" s="211"/>
      <c r="K415" s="211"/>
      <c r="L415" s="211"/>
      <c r="M415" s="211"/>
      <c r="N415" s="211"/>
      <c r="O415" s="211"/>
      <c r="P415" s="211"/>
      <c r="Q415" s="211"/>
      <c r="R415" s="211"/>
      <c r="S415" s="133"/>
      <c r="AR415" s="212"/>
      <c r="AS415" s="56"/>
      <c r="AT415" s="213"/>
      <c r="AU415" s="212"/>
      <c r="AV415" s="212"/>
      <c r="AW415" s="212"/>
    </row>
    <row r="416">
      <c r="H416" s="211"/>
      <c r="I416" s="211"/>
      <c r="J416" s="211"/>
      <c r="K416" s="211"/>
      <c r="L416" s="211"/>
      <c r="M416" s="211"/>
      <c r="N416" s="211"/>
      <c r="O416" s="211"/>
      <c r="P416" s="211"/>
      <c r="Q416" s="211"/>
      <c r="R416" s="211"/>
      <c r="S416" s="133"/>
      <c r="AR416" s="212"/>
      <c r="AS416" s="56"/>
      <c r="AT416" s="213"/>
      <c r="AU416" s="212"/>
      <c r="AV416" s="212"/>
      <c r="AW416" s="212"/>
    </row>
    <row r="417">
      <c r="H417" s="211"/>
      <c r="I417" s="211"/>
      <c r="J417" s="211"/>
      <c r="K417" s="211"/>
      <c r="L417" s="211"/>
      <c r="M417" s="211"/>
      <c r="N417" s="211"/>
      <c r="O417" s="211"/>
      <c r="P417" s="211"/>
      <c r="Q417" s="211"/>
      <c r="R417" s="211"/>
      <c r="S417" s="133"/>
      <c r="AR417" s="212"/>
      <c r="AS417" s="56"/>
      <c r="AT417" s="213"/>
      <c r="AU417" s="212"/>
      <c r="AV417" s="212"/>
      <c r="AW417" s="212"/>
    </row>
    <row r="418">
      <c r="H418" s="211"/>
      <c r="I418" s="211"/>
      <c r="J418" s="211"/>
      <c r="K418" s="211"/>
      <c r="L418" s="211"/>
      <c r="M418" s="211"/>
      <c r="N418" s="211"/>
      <c r="O418" s="211"/>
      <c r="P418" s="211"/>
      <c r="Q418" s="211"/>
      <c r="R418" s="211"/>
      <c r="S418" s="133"/>
      <c r="AR418" s="212"/>
      <c r="AS418" s="56"/>
      <c r="AT418" s="213"/>
      <c r="AU418" s="212"/>
      <c r="AV418" s="212"/>
      <c r="AW418" s="212"/>
    </row>
    <row r="419">
      <c r="H419" s="211"/>
      <c r="I419" s="211"/>
      <c r="J419" s="211"/>
      <c r="K419" s="211"/>
      <c r="L419" s="211"/>
      <c r="M419" s="211"/>
      <c r="N419" s="211"/>
      <c r="O419" s="211"/>
      <c r="P419" s="211"/>
      <c r="Q419" s="211"/>
      <c r="R419" s="211"/>
      <c r="S419" s="133"/>
      <c r="AR419" s="212"/>
      <c r="AS419" s="56"/>
      <c r="AT419" s="213"/>
      <c r="AU419" s="212"/>
      <c r="AV419" s="212"/>
      <c r="AW419" s="212"/>
    </row>
    <row r="420">
      <c r="H420" s="211"/>
      <c r="I420" s="211"/>
      <c r="J420" s="211"/>
      <c r="K420" s="211"/>
      <c r="L420" s="211"/>
      <c r="M420" s="211"/>
      <c r="N420" s="211"/>
      <c r="O420" s="211"/>
      <c r="P420" s="211"/>
      <c r="Q420" s="211"/>
      <c r="R420" s="211"/>
      <c r="S420" s="133"/>
      <c r="AR420" s="212"/>
      <c r="AS420" s="56"/>
      <c r="AT420" s="213"/>
      <c r="AU420" s="212"/>
      <c r="AV420" s="212"/>
      <c r="AW420" s="212"/>
    </row>
    <row r="421">
      <c r="H421" s="211"/>
      <c r="I421" s="211"/>
      <c r="J421" s="211"/>
      <c r="K421" s="211"/>
      <c r="L421" s="211"/>
      <c r="M421" s="211"/>
      <c r="N421" s="211"/>
      <c r="O421" s="211"/>
      <c r="P421" s="211"/>
      <c r="Q421" s="211"/>
      <c r="R421" s="211"/>
      <c r="S421" s="133"/>
      <c r="AR421" s="212"/>
      <c r="AS421" s="56"/>
      <c r="AT421" s="213"/>
      <c r="AU421" s="212"/>
      <c r="AV421" s="212"/>
      <c r="AW421" s="212"/>
    </row>
    <row r="422">
      <c r="H422" s="211"/>
      <c r="I422" s="211"/>
      <c r="J422" s="211"/>
      <c r="K422" s="211"/>
      <c r="L422" s="211"/>
      <c r="M422" s="211"/>
      <c r="N422" s="211"/>
      <c r="O422" s="211"/>
      <c r="P422" s="211"/>
      <c r="Q422" s="211"/>
      <c r="R422" s="211"/>
      <c r="S422" s="133"/>
      <c r="AR422" s="212"/>
      <c r="AS422" s="56"/>
      <c r="AT422" s="213"/>
      <c r="AU422" s="212"/>
      <c r="AV422" s="212"/>
      <c r="AW422" s="212"/>
    </row>
    <row r="423">
      <c r="H423" s="211"/>
      <c r="I423" s="211"/>
      <c r="J423" s="211"/>
      <c r="K423" s="211"/>
      <c r="L423" s="211"/>
      <c r="M423" s="211"/>
      <c r="N423" s="211"/>
      <c r="O423" s="211"/>
      <c r="P423" s="211"/>
      <c r="Q423" s="211"/>
      <c r="R423" s="211"/>
      <c r="S423" s="133"/>
      <c r="AR423" s="212"/>
      <c r="AS423" s="56"/>
      <c r="AT423" s="213"/>
      <c r="AU423" s="212"/>
      <c r="AV423" s="212"/>
      <c r="AW423" s="212"/>
    </row>
    <row r="424">
      <c r="H424" s="211"/>
      <c r="I424" s="211"/>
      <c r="J424" s="211"/>
      <c r="K424" s="211"/>
      <c r="L424" s="211"/>
      <c r="M424" s="211"/>
      <c r="N424" s="211"/>
      <c r="O424" s="211"/>
      <c r="P424" s="211"/>
      <c r="Q424" s="211"/>
      <c r="R424" s="211"/>
      <c r="S424" s="133"/>
      <c r="AR424" s="212"/>
      <c r="AS424" s="56"/>
      <c r="AT424" s="213"/>
      <c r="AU424" s="212"/>
      <c r="AV424" s="212"/>
      <c r="AW424" s="212"/>
    </row>
    <row r="425">
      <c r="H425" s="211"/>
      <c r="I425" s="211"/>
      <c r="J425" s="211"/>
      <c r="K425" s="211"/>
      <c r="L425" s="211"/>
      <c r="M425" s="211"/>
      <c r="N425" s="211"/>
      <c r="O425" s="211"/>
      <c r="P425" s="211"/>
      <c r="Q425" s="211"/>
      <c r="R425" s="211"/>
      <c r="S425" s="133"/>
      <c r="AR425" s="212"/>
      <c r="AS425" s="56"/>
      <c r="AT425" s="213"/>
      <c r="AU425" s="212"/>
      <c r="AV425" s="212"/>
      <c r="AW425" s="212"/>
    </row>
    <row r="426">
      <c r="H426" s="211"/>
      <c r="I426" s="211"/>
      <c r="J426" s="211"/>
      <c r="K426" s="211"/>
      <c r="L426" s="211"/>
      <c r="M426" s="211"/>
      <c r="N426" s="211"/>
      <c r="O426" s="211"/>
      <c r="P426" s="211"/>
      <c r="Q426" s="211"/>
      <c r="R426" s="211"/>
      <c r="S426" s="133"/>
      <c r="AR426" s="212"/>
      <c r="AS426" s="56"/>
      <c r="AT426" s="213"/>
      <c r="AU426" s="212"/>
      <c r="AV426" s="212"/>
      <c r="AW426" s="212"/>
    </row>
    <row r="427">
      <c r="H427" s="211"/>
      <c r="I427" s="211"/>
      <c r="J427" s="211"/>
      <c r="K427" s="211"/>
      <c r="L427" s="211"/>
      <c r="M427" s="211"/>
      <c r="N427" s="211"/>
      <c r="O427" s="211"/>
      <c r="P427" s="211"/>
      <c r="Q427" s="211"/>
      <c r="R427" s="211"/>
      <c r="S427" s="133"/>
      <c r="AR427" s="212"/>
      <c r="AS427" s="56"/>
      <c r="AT427" s="213"/>
      <c r="AU427" s="212"/>
      <c r="AV427" s="212"/>
      <c r="AW427" s="212"/>
    </row>
    <row r="428">
      <c r="H428" s="211"/>
      <c r="I428" s="211"/>
      <c r="J428" s="211"/>
      <c r="K428" s="211"/>
      <c r="L428" s="211"/>
      <c r="M428" s="211"/>
      <c r="N428" s="211"/>
      <c r="O428" s="211"/>
      <c r="P428" s="211"/>
      <c r="Q428" s="211"/>
      <c r="R428" s="211"/>
      <c r="S428" s="133"/>
      <c r="AR428" s="212"/>
      <c r="AS428" s="56"/>
      <c r="AT428" s="213"/>
      <c r="AU428" s="212"/>
      <c r="AV428" s="212"/>
      <c r="AW428" s="212"/>
    </row>
    <row r="429">
      <c r="H429" s="211"/>
      <c r="I429" s="211"/>
      <c r="J429" s="211"/>
      <c r="K429" s="211"/>
      <c r="L429" s="211"/>
      <c r="M429" s="211"/>
      <c r="N429" s="211"/>
      <c r="O429" s="211"/>
      <c r="P429" s="211"/>
      <c r="Q429" s="211"/>
      <c r="R429" s="211"/>
      <c r="S429" s="133"/>
      <c r="AR429" s="212"/>
      <c r="AS429" s="56"/>
      <c r="AT429" s="213"/>
      <c r="AU429" s="212"/>
      <c r="AV429" s="212"/>
      <c r="AW429" s="212"/>
    </row>
    <row r="430">
      <c r="H430" s="211"/>
      <c r="I430" s="211"/>
      <c r="J430" s="211"/>
      <c r="K430" s="211"/>
      <c r="L430" s="211"/>
      <c r="M430" s="211"/>
      <c r="N430" s="211"/>
      <c r="O430" s="211"/>
      <c r="P430" s="211"/>
      <c r="Q430" s="211"/>
      <c r="R430" s="211"/>
      <c r="S430" s="133"/>
      <c r="AR430" s="212"/>
      <c r="AS430" s="56"/>
      <c r="AT430" s="213"/>
      <c r="AU430" s="212"/>
      <c r="AV430" s="212"/>
      <c r="AW430" s="212"/>
    </row>
    <row r="431">
      <c r="H431" s="211"/>
      <c r="I431" s="211"/>
      <c r="J431" s="211"/>
      <c r="K431" s="211"/>
      <c r="L431" s="211"/>
      <c r="M431" s="211"/>
      <c r="N431" s="211"/>
      <c r="O431" s="211"/>
      <c r="P431" s="211"/>
      <c r="Q431" s="211"/>
      <c r="R431" s="211"/>
      <c r="S431" s="133"/>
      <c r="AR431" s="212"/>
      <c r="AS431" s="56"/>
      <c r="AT431" s="213"/>
      <c r="AU431" s="212"/>
      <c r="AV431" s="212"/>
      <c r="AW431" s="212"/>
    </row>
    <row r="432">
      <c r="H432" s="211"/>
      <c r="I432" s="211"/>
      <c r="J432" s="211"/>
      <c r="K432" s="211"/>
      <c r="L432" s="211"/>
      <c r="M432" s="211"/>
      <c r="N432" s="211"/>
      <c r="O432" s="211"/>
      <c r="P432" s="211"/>
      <c r="Q432" s="211"/>
      <c r="R432" s="211"/>
      <c r="S432" s="133"/>
      <c r="AR432" s="212"/>
      <c r="AS432" s="56"/>
      <c r="AT432" s="213"/>
      <c r="AU432" s="212"/>
      <c r="AV432" s="212"/>
      <c r="AW432" s="212"/>
    </row>
    <row r="433">
      <c r="H433" s="211"/>
      <c r="I433" s="211"/>
      <c r="J433" s="211"/>
      <c r="K433" s="211"/>
      <c r="L433" s="211"/>
      <c r="M433" s="211"/>
      <c r="N433" s="211"/>
      <c r="O433" s="211"/>
      <c r="P433" s="211"/>
      <c r="Q433" s="211"/>
      <c r="R433" s="211"/>
      <c r="S433" s="133"/>
      <c r="AR433" s="212"/>
      <c r="AS433" s="56"/>
      <c r="AT433" s="213"/>
      <c r="AU433" s="212"/>
      <c r="AV433" s="212"/>
      <c r="AW433" s="212"/>
    </row>
    <row r="434">
      <c r="H434" s="211"/>
      <c r="I434" s="211"/>
      <c r="J434" s="211"/>
      <c r="K434" s="211"/>
      <c r="L434" s="211"/>
      <c r="M434" s="211"/>
      <c r="N434" s="211"/>
      <c r="O434" s="211"/>
      <c r="P434" s="211"/>
      <c r="Q434" s="211"/>
      <c r="R434" s="211"/>
      <c r="S434" s="133"/>
      <c r="AR434" s="212"/>
      <c r="AS434" s="56"/>
      <c r="AT434" s="213"/>
      <c r="AU434" s="212"/>
      <c r="AV434" s="212"/>
      <c r="AW434" s="212"/>
    </row>
    <row r="435">
      <c r="H435" s="211"/>
      <c r="I435" s="211"/>
      <c r="J435" s="211"/>
      <c r="K435" s="211"/>
      <c r="L435" s="211"/>
      <c r="M435" s="211"/>
      <c r="N435" s="211"/>
      <c r="O435" s="211"/>
      <c r="P435" s="211"/>
      <c r="Q435" s="211"/>
      <c r="R435" s="211"/>
      <c r="S435" s="133"/>
      <c r="AR435" s="212"/>
      <c r="AS435" s="56"/>
      <c r="AT435" s="213"/>
      <c r="AU435" s="212"/>
      <c r="AV435" s="212"/>
      <c r="AW435" s="212"/>
    </row>
    <row r="436">
      <c r="H436" s="211"/>
      <c r="I436" s="211"/>
      <c r="J436" s="211"/>
      <c r="K436" s="211"/>
      <c r="L436" s="211"/>
      <c r="M436" s="211"/>
      <c r="N436" s="211"/>
      <c r="O436" s="211"/>
      <c r="P436" s="211"/>
      <c r="Q436" s="211"/>
      <c r="R436" s="211"/>
      <c r="S436" s="133"/>
      <c r="AR436" s="212"/>
      <c r="AS436" s="56"/>
      <c r="AT436" s="213"/>
      <c r="AU436" s="212"/>
      <c r="AV436" s="212"/>
      <c r="AW436" s="212"/>
    </row>
    <row r="437">
      <c r="H437" s="211"/>
      <c r="I437" s="211"/>
      <c r="J437" s="211"/>
      <c r="K437" s="211"/>
      <c r="L437" s="211"/>
      <c r="M437" s="211"/>
      <c r="N437" s="211"/>
      <c r="O437" s="211"/>
      <c r="P437" s="211"/>
      <c r="Q437" s="211"/>
      <c r="R437" s="211"/>
      <c r="S437" s="133"/>
      <c r="AR437" s="212"/>
      <c r="AS437" s="56"/>
      <c r="AT437" s="213"/>
      <c r="AU437" s="212"/>
      <c r="AV437" s="212"/>
      <c r="AW437" s="212"/>
    </row>
    <row r="438">
      <c r="H438" s="211"/>
      <c r="I438" s="211"/>
      <c r="J438" s="211"/>
      <c r="K438" s="211"/>
      <c r="L438" s="211"/>
      <c r="M438" s="211"/>
      <c r="N438" s="211"/>
      <c r="O438" s="211"/>
      <c r="P438" s="211"/>
      <c r="Q438" s="211"/>
      <c r="R438" s="211"/>
      <c r="S438" s="133"/>
      <c r="AR438" s="212"/>
      <c r="AS438" s="56"/>
      <c r="AT438" s="213"/>
      <c r="AU438" s="212"/>
      <c r="AV438" s="212"/>
      <c r="AW438" s="212"/>
    </row>
    <row r="439">
      <c r="H439" s="211"/>
      <c r="I439" s="211"/>
      <c r="J439" s="211"/>
      <c r="K439" s="211"/>
      <c r="L439" s="211"/>
      <c r="M439" s="211"/>
      <c r="N439" s="211"/>
      <c r="O439" s="211"/>
      <c r="P439" s="211"/>
      <c r="Q439" s="211"/>
      <c r="R439" s="211"/>
      <c r="S439" s="133"/>
      <c r="AR439" s="212"/>
      <c r="AS439" s="56"/>
      <c r="AT439" s="213"/>
      <c r="AU439" s="212"/>
      <c r="AV439" s="212"/>
      <c r="AW439" s="212"/>
    </row>
    <row r="440">
      <c r="H440" s="211"/>
      <c r="I440" s="211"/>
      <c r="J440" s="211"/>
      <c r="K440" s="211"/>
      <c r="L440" s="211"/>
      <c r="M440" s="211"/>
      <c r="N440" s="211"/>
      <c r="O440" s="211"/>
      <c r="P440" s="211"/>
      <c r="Q440" s="211"/>
      <c r="R440" s="211"/>
      <c r="S440" s="133"/>
      <c r="AR440" s="212"/>
      <c r="AS440" s="56"/>
      <c r="AT440" s="213"/>
      <c r="AU440" s="212"/>
      <c r="AV440" s="212"/>
      <c r="AW440" s="212"/>
    </row>
    <row r="441">
      <c r="H441" s="211"/>
      <c r="I441" s="211"/>
      <c r="J441" s="211"/>
      <c r="K441" s="211"/>
      <c r="L441" s="211"/>
      <c r="M441" s="211"/>
      <c r="N441" s="211"/>
      <c r="O441" s="211"/>
      <c r="P441" s="211"/>
      <c r="Q441" s="211"/>
      <c r="R441" s="211"/>
      <c r="S441" s="133"/>
      <c r="AR441" s="212"/>
      <c r="AS441" s="56"/>
      <c r="AT441" s="213"/>
      <c r="AU441" s="212"/>
      <c r="AV441" s="212"/>
      <c r="AW441" s="212"/>
    </row>
    <row r="442">
      <c r="H442" s="211"/>
      <c r="I442" s="211"/>
      <c r="J442" s="211"/>
      <c r="K442" s="211"/>
      <c r="L442" s="211"/>
      <c r="M442" s="211"/>
      <c r="N442" s="211"/>
      <c r="O442" s="211"/>
      <c r="P442" s="211"/>
      <c r="Q442" s="211"/>
      <c r="R442" s="211"/>
      <c r="S442" s="133"/>
      <c r="AR442" s="212"/>
      <c r="AS442" s="56"/>
      <c r="AT442" s="213"/>
      <c r="AU442" s="212"/>
      <c r="AV442" s="212"/>
      <c r="AW442" s="212"/>
    </row>
    <row r="443">
      <c r="H443" s="211"/>
      <c r="I443" s="211"/>
      <c r="J443" s="211"/>
      <c r="K443" s="211"/>
      <c r="L443" s="211"/>
      <c r="M443" s="211"/>
      <c r="N443" s="211"/>
      <c r="O443" s="211"/>
      <c r="P443" s="211"/>
      <c r="Q443" s="211"/>
      <c r="R443" s="211"/>
      <c r="S443" s="133"/>
      <c r="AR443" s="212"/>
      <c r="AS443" s="56"/>
      <c r="AT443" s="213"/>
      <c r="AU443" s="212"/>
      <c r="AV443" s="212"/>
      <c r="AW443" s="212"/>
    </row>
    <row r="444">
      <c r="H444" s="211"/>
      <c r="I444" s="211"/>
      <c r="J444" s="211"/>
      <c r="K444" s="211"/>
      <c r="L444" s="211"/>
      <c r="M444" s="211"/>
      <c r="N444" s="211"/>
      <c r="O444" s="211"/>
      <c r="P444" s="211"/>
      <c r="Q444" s="211"/>
      <c r="R444" s="211"/>
      <c r="S444" s="133"/>
      <c r="AR444" s="212"/>
      <c r="AS444" s="56"/>
      <c r="AT444" s="213"/>
      <c r="AU444" s="212"/>
      <c r="AV444" s="212"/>
      <c r="AW444" s="212"/>
    </row>
    <row r="445">
      <c r="H445" s="211"/>
      <c r="I445" s="211"/>
      <c r="J445" s="211"/>
      <c r="K445" s="211"/>
      <c r="L445" s="211"/>
      <c r="M445" s="211"/>
      <c r="N445" s="211"/>
      <c r="O445" s="211"/>
      <c r="P445" s="211"/>
      <c r="Q445" s="211"/>
      <c r="R445" s="211"/>
      <c r="S445" s="133"/>
      <c r="AR445" s="212"/>
      <c r="AS445" s="56"/>
      <c r="AT445" s="213"/>
      <c r="AU445" s="212"/>
      <c r="AV445" s="212"/>
      <c r="AW445" s="212"/>
    </row>
    <row r="446">
      <c r="H446" s="211"/>
      <c r="I446" s="211"/>
      <c r="J446" s="211"/>
      <c r="K446" s="211"/>
      <c r="L446" s="211"/>
      <c r="M446" s="211"/>
      <c r="N446" s="211"/>
      <c r="O446" s="211"/>
      <c r="P446" s="211"/>
      <c r="Q446" s="211"/>
      <c r="R446" s="211"/>
      <c r="S446" s="133"/>
      <c r="AR446" s="212"/>
      <c r="AS446" s="56"/>
      <c r="AT446" s="213"/>
      <c r="AU446" s="212"/>
      <c r="AV446" s="212"/>
      <c r="AW446" s="212"/>
    </row>
    <row r="447">
      <c r="H447" s="211"/>
      <c r="I447" s="211"/>
      <c r="J447" s="211"/>
      <c r="K447" s="211"/>
      <c r="L447" s="211"/>
      <c r="M447" s="211"/>
      <c r="N447" s="211"/>
      <c r="O447" s="211"/>
      <c r="P447" s="211"/>
      <c r="Q447" s="211"/>
      <c r="R447" s="211"/>
      <c r="S447" s="133"/>
      <c r="AR447" s="212"/>
      <c r="AS447" s="56"/>
      <c r="AT447" s="213"/>
      <c r="AU447" s="212"/>
      <c r="AV447" s="212"/>
      <c r="AW447" s="212"/>
    </row>
    <row r="448">
      <c r="H448" s="211"/>
      <c r="I448" s="211"/>
      <c r="J448" s="211"/>
      <c r="K448" s="211"/>
      <c r="L448" s="211"/>
      <c r="M448" s="211"/>
      <c r="N448" s="211"/>
      <c r="O448" s="211"/>
      <c r="P448" s="211"/>
      <c r="Q448" s="211"/>
      <c r="R448" s="211"/>
      <c r="S448" s="133"/>
      <c r="AR448" s="212"/>
      <c r="AS448" s="56"/>
      <c r="AT448" s="213"/>
      <c r="AU448" s="212"/>
      <c r="AV448" s="212"/>
      <c r="AW448" s="212"/>
    </row>
    <row r="449">
      <c r="H449" s="211"/>
      <c r="I449" s="211"/>
      <c r="J449" s="211"/>
      <c r="K449" s="211"/>
      <c r="L449" s="211"/>
      <c r="M449" s="211"/>
      <c r="N449" s="211"/>
      <c r="O449" s="211"/>
      <c r="P449" s="211"/>
      <c r="Q449" s="211"/>
      <c r="R449" s="211"/>
      <c r="S449" s="133"/>
      <c r="AR449" s="212"/>
      <c r="AS449" s="56"/>
      <c r="AT449" s="213"/>
      <c r="AU449" s="212"/>
      <c r="AV449" s="212"/>
      <c r="AW449" s="212"/>
    </row>
    <row r="450">
      <c r="H450" s="211"/>
      <c r="I450" s="211"/>
      <c r="J450" s="211"/>
      <c r="K450" s="211"/>
      <c r="L450" s="211"/>
      <c r="M450" s="211"/>
      <c r="N450" s="211"/>
      <c r="O450" s="211"/>
      <c r="P450" s="211"/>
      <c r="Q450" s="211"/>
      <c r="R450" s="211"/>
      <c r="S450" s="133"/>
      <c r="AR450" s="212"/>
      <c r="AS450" s="56"/>
      <c r="AT450" s="213"/>
      <c r="AU450" s="212"/>
      <c r="AV450" s="212"/>
      <c r="AW450" s="212"/>
    </row>
    <row r="451">
      <c r="H451" s="211"/>
      <c r="I451" s="211"/>
      <c r="J451" s="211"/>
      <c r="K451" s="211"/>
      <c r="L451" s="211"/>
      <c r="M451" s="211"/>
      <c r="N451" s="211"/>
      <c r="O451" s="211"/>
      <c r="P451" s="211"/>
      <c r="Q451" s="211"/>
      <c r="R451" s="211"/>
      <c r="S451" s="133"/>
      <c r="AR451" s="212"/>
      <c r="AS451" s="56"/>
      <c r="AT451" s="213"/>
      <c r="AU451" s="212"/>
      <c r="AV451" s="212"/>
      <c r="AW451" s="212"/>
    </row>
    <row r="452">
      <c r="H452" s="211"/>
      <c r="I452" s="211"/>
      <c r="J452" s="211"/>
      <c r="K452" s="211"/>
      <c r="L452" s="211"/>
      <c r="M452" s="211"/>
      <c r="N452" s="211"/>
      <c r="O452" s="211"/>
      <c r="P452" s="211"/>
      <c r="Q452" s="211"/>
      <c r="R452" s="211"/>
      <c r="S452" s="133"/>
      <c r="AR452" s="212"/>
      <c r="AS452" s="56"/>
      <c r="AT452" s="213"/>
      <c r="AU452" s="212"/>
      <c r="AV452" s="212"/>
      <c r="AW452" s="212"/>
    </row>
    <row r="453">
      <c r="H453" s="211"/>
      <c r="I453" s="211"/>
      <c r="J453" s="211"/>
      <c r="K453" s="211"/>
      <c r="L453" s="211"/>
      <c r="M453" s="211"/>
      <c r="N453" s="211"/>
      <c r="O453" s="211"/>
      <c r="P453" s="211"/>
      <c r="Q453" s="211"/>
      <c r="R453" s="211"/>
      <c r="S453" s="133"/>
      <c r="AR453" s="212"/>
      <c r="AS453" s="56"/>
      <c r="AT453" s="213"/>
      <c r="AU453" s="212"/>
      <c r="AV453" s="212"/>
      <c r="AW453" s="212"/>
    </row>
    <row r="454">
      <c r="H454" s="211"/>
      <c r="I454" s="211"/>
      <c r="J454" s="211"/>
      <c r="K454" s="211"/>
      <c r="L454" s="211"/>
      <c r="M454" s="211"/>
      <c r="N454" s="211"/>
      <c r="O454" s="211"/>
      <c r="P454" s="211"/>
      <c r="Q454" s="211"/>
      <c r="R454" s="211"/>
      <c r="S454" s="133"/>
      <c r="AR454" s="212"/>
      <c r="AS454" s="56"/>
      <c r="AT454" s="213"/>
      <c r="AU454" s="212"/>
      <c r="AV454" s="212"/>
      <c r="AW454" s="212"/>
    </row>
    <row r="455">
      <c r="H455" s="211"/>
      <c r="I455" s="211"/>
      <c r="J455" s="211"/>
      <c r="K455" s="211"/>
      <c r="L455" s="211"/>
      <c r="M455" s="211"/>
      <c r="N455" s="211"/>
      <c r="O455" s="211"/>
      <c r="P455" s="211"/>
      <c r="Q455" s="211"/>
      <c r="R455" s="211"/>
      <c r="S455" s="133"/>
      <c r="AR455" s="212"/>
      <c r="AS455" s="56"/>
      <c r="AT455" s="213"/>
      <c r="AU455" s="212"/>
      <c r="AV455" s="212"/>
      <c r="AW455" s="212"/>
    </row>
    <row r="456">
      <c r="H456" s="211"/>
      <c r="I456" s="211"/>
      <c r="J456" s="211"/>
      <c r="K456" s="211"/>
      <c r="L456" s="211"/>
      <c r="M456" s="211"/>
      <c r="N456" s="211"/>
      <c r="O456" s="211"/>
      <c r="P456" s="211"/>
      <c r="Q456" s="211"/>
      <c r="R456" s="211"/>
      <c r="S456" s="133"/>
      <c r="AR456" s="212"/>
      <c r="AS456" s="56"/>
      <c r="AT456" s="213"/>
      <c r="AU456" s="212"/>
      <c r="AV456" s="212"/>
      <c r="AW456" s="212"/>
    </row>
    <row r="457">
      <c r="H457" s="211"/>
      <c r="I457" s="211"/>
      <c r="J457" s="211"/>
      <c r="K457" s="211"/>
      <c r="L457" s="211"/>
      <c r="M457" s="211"/>
      <c r="N457" s="211"/>
      <c r="O457" s="211"/>
      <c r="P457" s="211"/>
      <c r="Q457" s="211"/>
      <c r="R457" s="211"/>
      <c r="S457" s="133"/>
      <c r="AR457" s="212"/>
      <c r="AS457" s="56"/>
      <c r="AT457" s="213"/>
      <c r="AU457" s="212"/>
      <c r="AV457" s="212"/>
      <c r="AW457" s="212"/>
    </row>
    <row r="458">
      <c r="H458" s="211"/>
      <c r="I458" s="211"/>
      <c r="J458" s="211"/>
      <c r="K458" s="211"/>
      <c r="L458" s="211"/>
      <c r="M458" s="211"/>
      <c r="N458" s="211"/>
      <c r="O458" s="211"/>
      <c r="P458" s="211"/>
      <c r="Q458" s="211"/>
      <c r="R458" s="211"/>
      <c r="S458" s="133"/>
      <c r="AR458" s="212"/>
      <c r="AS458" s="56"/>
      <c r="AT458" s="213"/>
      <c r="AU458" s="212"/>
      <c r="AV458" s="212"/>
      <c r="AW458" s="212"/>
    </row>
    <row r="459">
      <c r="H459" s="211"/>
      <c r="I459" s="211"/>
      <c r="J459" s="211"/>
      <c r="K459" s="211"/>
      <c r="L459" s="211"/>
      <c r="M459" s="211"/>
      <c r="N459" s="211"/>
      <c r="O459" s="211"/>
      <c r="P459" s="211"/>
      <c r="Q459" s="211"/>
      <c r="R459" s="211"/>
      <c r="S459" s="133"/>
      <c r="AR459" s="212"/>
      <c r="AS459" s="56"/>
      <c r="AT459" s="213"/>
      <c r="AU459" s="212"/>
      <c r="AV459" s="212"/>
      <c r="AW459" s="212"/>
    </row>
    <row r="460">
      <c r="H460" s="211"/>
      <c r="I460" s="211"/>
      <c r="J460" s="211"/>
      <c r="K460" s="211"/>
      <c r="L460" s="211"/>
      <c r="M460" s="211"/>
      <c r="N460" s="211"/>
      <c r="O460" s="211"/>
      <c r="P460" s="211"/>
      <c r="Q460" s="211"/>
      <c r="R460" s="211"/>
      <c r="S460" s="133"/>
      <c r="AR460" s="212"/>
      <c r="AS460" s="56"/>
      <c r="AT460" s="213"/>
      <c r="AU460" s="212"/>
      <c r="AV460" s="212"/>
      <c r="AW460" s="212"/>
    </row>
    <row r="461">
      <c r="H461" s="211"/>
      <c r="I461" s="211"/>
      <c r="J461" s="211"/>
      <c r="K461" s="211"/>
      <c r="L461" s="211"/>
      <c r="M461" s="211"/>
      <c r="N461" s="211"/>
      <c r="O461" s="211"/>
      <c r="P461" s="211"/>
      <c r="Q461" s="211"/>
      <c r="R461" s="211"/>
      <c r="S461" s="133"/>
      <c r="AR461" s="212"/>
      <c r="AS461" s="56"/>
      <c r="AT461" s="213"/>
      <c r="AU461" s="212"/>
      <c r="AV461" s="212"/>
      <c r="AW461" s="212"/>
    </row>
    <row r="462">
      <c r="H462" s="211"/>
      <c r="I462" s="211"/>
      <c r="J462" s="211"/>
      <c r="K462" s="211"/>
      <c r="L462" s="211"/>
      <c r="M462" s="211"/>
      <c r="N462" s="211"/>
      <c r="O462" s="211"/>
      <c r="P462" s="211"/>
      <c r="Q462" s="211"/>
      <c r="R462" s="211"/>
      <c r="S462" s="133"/>
      <c r="AR462" s="212"/>
      <c r="AS462" s="56"/>
      <c r="AT462" s="213"/>
      <c r="AU462" s="212"/>
      <c r="AV462" s="212"/>
      <c r="AW462" s="212"/>
    </row>
    <row r="463">
      <c r="H463" s="211"/>
      <c r="I463" s="211"/>
      <c r="J463" s="211"/>
      <c r="K463" s="211"/>
      <c r="L463" s="211"/>
      <c r="M463" s="211"/>
      <c r="N463" s="211"/>
      <c r="O463" s="211"/>
      <c r="P463" s="211"/>
      <c r="Q463" s="211"/>
      <c r="R463" s="211"/>
      <c r="S463" s="133"/>
      <c r="AR463" s="212"/>
      <c r="AS463" s="56"/>
      <c r="AT463" s="213"/>
      <c r="AU463" s="212"/>
      <c r="AV463" s="212"/>
      <c r="AW463" s="212"/>
    </row>
    <row r="464">
      <c r="H464" s="211"/>
      <c r="I464" s="211"/>
      <c r="J464" s="211"/>
      <c r="K464" s="211"/>
      <c r="L464" s="211"/>
      <c r="M464" s="211"/>
      <c r="N464" s="211"/>
      <c r="O464" s="211"/>
      <c r="P464" s="211"/>
      <c r="Q464" s="211"/>
      <c r="R464" s="211"/>
      <c r="S464" s="133"/>
      <c r="AR464" s="212"/>
      <c r="AS464" s="56"/>
      <c r="AT464" s="213"/>
      <c r="AU464" s="212"/>
      <c r="AV464" s="212"/>
      <c r="AW464" s="212"/>
    </row>
    <row r="465">
      <c r="H465" s="211"/>
      <c r="I465" s="211"/>
      <c r="J465" s="211"/>
      <c r="K465" s="211"/>
      <c r="L465" s="211"/>
      <c r="M465" s="211"/>
      <c r="N465" s="211"/>
      <c r="O465" s="211"/>
      <c r="P465" s="211"/>
      <c r="Q465" s="211"/>
      <c r="R465" s="211"/>
      <c r="S465" s="133"/>
      <c r="AR465" s="212"/>
      <c r="AS465" s="56"/>
      <c r="AT465" s="213"/>
      <c r="AU465" s="212"/>
      <c r="AV465" s="212"/>
      <c r="AW465" s="212"/>
    </row>
    <row r="466">
      <c r="H466" s="211"/>
      <c r="I466" s="211"/>
      <c r="J466" s="211"/>
      <c r="K466" s="211"/>
      <c r="L466" s="211"/>
      <c r="M466" s="211"/>
      <c r="N466" s="211"/>
      <c r="O466" s="211"/>
      <c r="P466" s="211"/>
      <c r="Q466" s="211"/>
      <c r="R466" s="211"/>
      <c r="S466" s="133"/>
      <c r="AR466" s="212"/>
      <c r="AS466" s="56"/>
      <c r="AT466" s="213"/>
      <c r="AU466" s="212"/>
      <c r="AV466" s="212"/>
      <c r="AW466" s="212"/>
    </row>
    <row r="467">
      <c r="H467" s="211"/>
      <c r="I467" s="211"/>
      <c r="J467" s="211"/>
      <c r="K467" s="211"/>
      <c r="L467" s="211"/>
      <c r="M467" s="211"/>
      <c r="N467" s="211"/>
      <c r="O467" s="211"/>
      <c r="P467" s="211"/>
      <c r="Q467" s="211"/>
      <c r="R467" s="211"/>
      <c r="S467" s="133"/>
      <c r="AR467" s="212"/>
      <c r="AS467" s="56"/>
      <c r="AT467" s="213"/>
      <c r="AU467" s="212"/>
      <c r="AV467" s="212"/>
      <c r="AW467" s="212"/>
    </row>
    <row r="468">
      <c r="H468" s="211"/>
      <c r="I468" s="211"/>
      <c r="J468" s="211"/>
      <c r="K468" s="211"/>
      <c r="L468" s="211"/>
      <c r="M468" s="211"/>
      <c r="N468" s="211"/>
      <c r="O468" s="211"/>
      <c r="P468" s="211"/>
      <c r="Q468" s="211"/>
      <c r="R468" s="211"/>
      <c r="S468" s="133"/>
      <c r="AR468" s="212"/>
      <c r="AS468" s="56"/>
      <c r="AT468" s="213"/>
      <c r="AU468" s="212"/>
      <c r="AV468" s="212"/>
      <c r="AW468" s="212"/>
    </row>
    <row r="469">
      <c r="H469" s="211"/>
      <c r="I469" s="211"/>
      <c r="J469" s="211"/>
      <c r="K469" s="211"/>
      <c r="L469" s="211"/>
      <c r="M469" s="211"/>
      <c r="N469" s="211"/>
      <c r="O469" s="211"/>
      <c r="P469" s="211"/>
      <c r="Q469" s="211"/>
      <c r="R469" s="211"/>
      <c r="S469" s="133"/>
      <c r="AR469" s="212"/>
      <c r="AS469" s="56"/>
      <c r="AT469" s="213"/>
      <c r="AU469" s="212"/>
      <c r="AV469" s="212"/>
      <c r="AW469" s="212"/>
    </row>
    <row r="470">
      <c r="H470" s="211"/>
      <c r="I470" s="211"/>
      <c r="J470" s="211"/>
      <c r="K470" s="211"/>
      <c r="L470" s="211"/>
      <c r="M470" s="211"/>
      <c r="N470" s="211"/>
      <c r="O470" s="211"/>
      <c r="P470" s="211"/>
      <c r="Q470" s="211"/>
      <c r="R470" s="211"/>
      <c r="S470" s="133"/>
      <c r="AR470" s="212"/>
      <c r="AS470" s="56"/>
      <c r="AT470" s="213"/>
      <c r="AU470" s="212"/>
      <c r="AV470" s="212"/>
      <c r="AW470" s="212"/>
    </row>
    <row r="471">
      <c r="H471" s="211"/>
      <c r="I471" s="211"/>
      <c r="J471" s="211"/>
      <c r="K471" s="211"/>
      <c r="L471" s="211"/>
      <c r="M471" s="211"/>
      <c r="N471" s="211"/>
      <c r="O471" s="211"/>
      <c r="P471" s="211"/>
      <c r="Q471" s="211"/>
      <c r="R471" s="211"/>
      <c r="S471" s="133"/>
      <c r="AR471" s="212"/>
      <c r="AS471" s="56"/>
      <c r="AT471" s="213"/>
      <c r="AU471" s="212"/>
      <c r="AV471" s="212"/>
      <c r="AW471" s="212"/>
    </row>
    <row r="472">
      <c r="H472" s="211"/>
      <c r="I472" s="211"/>
      <c r="J472" s="211"/>
      <c r="K472" s="211"/>
      <c r="L472" s="211"/>
      <c r="M472" s="211"/>
      <c r="N472" s="211"/>
      <c r="O472" s="211"/>
      <c r="P472" s="211"/>
      <c r="Q472" s="211"/>
      <c r="R472" s="211"/>
      <c r="S472" s="133"/>
      <c r="AR472" s="212"/>
      <c r="AS472" s="56"/>
      <c r="AT472" s="213"/>
      <c r="AU472" s="212"/>
      <c r="AV472" s="212"/>
      <c r="AW472" s="212"/>
    </row>
    <row r="473">
      <c r="H473" s="211"/>
      <c r="I473" s="211"/>
      <c r="J473" s="211"/>
      <c r="K473" s="211"/>
      <c r="L473" s="211"/>
      <c r="M473" s="211"/>
      <c r="N473" s="211"/>
      <c r="O473" s="211"/>
      <c r="P473" s="211"/>
      <c r="Q473" s="211"/>
      <c r="R473" s="211"/>
      <c r="S473" s="133"/>
      <c r="AR473" s="212"/>
      <c r="AS473" s="56"/>
      <c r="AT473" s="213"/>
      <c r="AU473" s="212"/>
      <c r="AV473" s="212"/>
      <c r="AW473" s="212"/>
    </row>
    <row r="474">
      <c r="H474" s="211"/>
      <c r="I474" s="211"/>
      <c r="J474" s="211"/>
      <c r="K474" s="211"/>
      <c r="L474" s="211"/>
      <c r="M474" s="211"/>
      <c r="N474" s="211"/>
      <c r="O474" s="211"/>
      <c r="P474" s="211"/>
      <c r="Q474" s="211"/>
      <c r="R474" s="211"/>
      <c r="S474" s="133"/>
      <c r="AR474" s="212"/>
      <c r="AS474" s="56"/>
      <c r="AT474" s="213"/>
      <c r="AU474" s="212"/>
      <c r="AV474" s="212"/>
      <c r="AW474" s="212"/>
    </row>
    <row r="475">
      <c r="H475" s="211"/>
      <c r="I475" s="211"/>
      <c r="J475" s="211"/>
      <c r="K475" s="211"/>
      <c r="L475" s="211"/>
      <c r="M475" s="211"/>
      <c r="N475" s="211"/>
      <c r="O475" s="211"/>
      <c r="P475" s="211"/>
      <c r="Q475" s="211"/>
      <c r="R475" s="211"/>
      <c r="S475" s="133"/>
      <c r="AR475" s="212"/>
      <c r="AS475" s="56"/>
      <c r="AT475" s="213"/>
      <c r="AU475" s="212"/>
      <c r="AV475" s="212"/>
      <c r="AW475" s="212"/>
    </row>
    <row r="476">
      <c r="H476" s="211"/>
      <c r="I476" s="211"/>
      <c r="J476" s="211"/>
      <c r="K476" s="211"/>
      <c r="L476" s="211"/>
      <c r="M476" s="211"/>
      <c r="N476" s="211"/>
      <c r="O476" s="211"/>
      <c r="P476" s="211"/>
      <c r="Q476" s="211"/>
      <c r="R476" s="211"/>
      <c r="S476" s="133"/>
      <c r="AR476" s="212"/>
      <c r="AS476" s="56"/>
      <c r="AT476" s="213"/>
      <c r="AU476" s="212"/>
      <c r="AV476" s="212"/>
      <c r="AW476" s="212"/>
    </row>
    <row r="477">
      <c r="H477" s="211"/>
      <c r="I477" s="211"/>
      <c r="J477" s="211"/>
      <c r="K477" s="211"/>
      <c r="L477" s="211"/>
      <c r="M477" s="211"/>
      <c r="N477" s="211"/>
      <c r="O477" s="211"/>
      <c r="P477" s="211"/>
      <c r="Q477" s="211"/>
      <c r="R477" s="211"/>
      <c r="S477" s="133"/>
      <c r="AR477" s="212"/>
      <c r="AS477" s="56"/>
      <c r="AT477" s="213"/>
      <c r="AU477" s="212"/>
      <c r="AV477" s="212"/>
      <c r="AW477" s="212"/>
    </row>
    <row r="478">
      <c r="H478" s="211"/>
      <c r="I478" s="211"/>
      <c r="J478" s="211"/>
      <c r="K478" s="211"/>
      <c r="L478" s="211"/>
      <c r="M478" s="211"/>
      <c r="N478" s="211"/>
      <c r="O478" s="211"/>
      <c r="P478" s="211"/>
      <c r="Q478" s="211"/>
      <c r="R478" s="211"/>
      <c r="S478" s="133"/>
      <c r="AR478" s="212"/>
      <c r="AS478" s="56"/>
      <c r="AT478" s="213"/>
      <c r="AU478" s="212"/>
      <c r="AV478" s="212"/>
      <c r="AW478" s="212"/>
    </row>
    <row r="479">
      <c r="H479" s="211"/>
      <c r="I479" s="211"/>
      <c r="J479" s="211"/>
      <c r="K479" s="211"/>
      <c r="L479" s="211"/>
      <c r="M479" s="211"/>
      <c r="N479" s="211"/>
      <c r="O479" s="211"/>
      <c r="P479" s="211"/>
      <c r="Q479" s="211"/>
      <c r="R479" s="211"/>
      <c r="S479" s="133"/>
      <c r="AR479" s="212"/>
      <c r="AS479" s="56"/>
      <c r="AT479" s="213"/>
      <c r="AU479" s="212"/>
      <c r="AV479" s="212"/>
      <c r="AW479" s="212"/>
    </row>
    <row r="480">
      <c r="H480" s="211"/>
      <c r="I480" s="211"/>
      <c r="J480" s="211"/>
      <c r="K480" s="211"/>
      <c r="L480" s="211"/>
      <c r="M480" s="211"/>
      <c r="N480" s="211"/>
      <c r="O480" s="211"/>
      <c r="P480" s="211"/>
      <c r="Q480" s="211"/>
      <c r="R480" s="211"/>
      <c r="S480" s="133"/>
      <c r="AR480" s="212"/>
      <c r="AS480" s="56"/>
      <c r="AT480" s="213"/>
      <c r="AU480" s="212"/>
      <c r="AV480" s="212"/>
      <c r="AW480" s="212"/>
    </row>
    <row r="481">
      <c r="H481" s="211"/>
      <c r="I481" s="211"/>
      <c r="J481" s="211"/>
      <c r="K481" s="211"/>
      <c r="L481" s="211"/>
      <c r="M481" s="211"/>
      <c r="N481" s="211"/>
      <c r="O481" s="211"/>
      <c r="P481" s="211"/>
      <c r="Q481" s="211"/>
      <c r="R481" s="211"/>
      <c r="S481" s="133"/>
      <c r="AR481" s="212"/>
      <c r="AS481" s="56"/>
      <c r="AT481" s="213"/>
      <c r="AU481" s="212"/>
      <c r="AV481" s="212"/>
      <c r="AW481" s="212"/>
    </row>
    <row r="482">
      <c r="H482" s="211"/>
      <c r="I482" s="211"/>
      <c r="J482" s="211"/>
      <c r="K482" s="211"/>
      <c r="L482" s="211"/>
      <c r="M482" s="211"/>
      <c r="N482" s="211"/>
      <c r="O482" s="211"/>
      <c r="P482" s="211"/>
      <c r="Q482" s="211"/>
      <c r="R482" s="211"/>
      <c r="S482" s="133"/>
      <c r="AR482" s="212"/>
      <c r="AS482" s="56"/>
      <c r="AT482" s="213"/>
      <c r="AU482" s="212"/>
      <c r="AV482" s="212"/>
      <c r="AW482" s="212"/>
    </row>
    <row r="483">
      <c r="H483" s="211"/>
      <c r="I483" s="211"/>
      <c r="J483" s="211"/>
      <c r="K483" s="211"/>
      <c r="L483" s="211"/>
      <c r="M483" s="211"/>
      <c r="N483" s="211"/>
      <c r="O483" s="211"/>
      <c r="P483" s="211"/>
      <c r="Q483" s="211"/>
      <c r="R483" s="211"/>
      <c r="S483" s="133"/>
      <c r="AR483" s="212"/>
      <c r="AS483" s="56"/>
      <c r="AT483" s="213"/>
      <c r="AU483" s="212"/>
      <c r="AV483" s="212"/>
      <c r="AW483" s="212"/>
    </row>
    <row r="484">
      <c r="H484" s="211"/>
      <c r="I484" s="211"/>
      <c r="J484" s="211"/>
      <c r="K484" s="211"/>
      <c r="L484" s="211"/>
      <c r="M484" s="211"/>
      <c r="N484" s="211"/>
      <c r="O484" s="211"/>
      <c r="P484" s="211"/>
      <c r="Q484" s="211"/>
      <c r="R484" s="211"/>
      <c r="S484" s="133"/>
      <c r="AR484" s="212"/>
      <c r="AS484" s="56"/>
      <c r="AT484" s="213"/>
      <c r="AU484" s="212"/>
      <c r="AV484" s="212"/>
      <c r="AW484" s="212"/>
    </row>
    <row r="485">
      <c r="H485" s="211"/>
      <c r="I485" s="211"/>
      <c r="J485" s="211"/>
      <c r="K485" s="211"/>
      <c r="L485" s="211"/>
      <c r="M485" s="211"/>
      <c r="N485" s="211"/>
      <c r="O485" s="211"/>
      <c r="P485" s="211"/>
      <c r="Q485" s="211"/>
      <c r="R485" s="211"/>
      <c r="S485" s="133"/>
      <c r="AR485" s="212"/>
      <c r="AS485" s="56"/>
      <c r="AT485" s="213"/>
      <c r="AU485" s="212"/>
      <c r="AV485" s="212"/>
      <c r="AW485" s="212"/>
    </row>
    <row r="486">
      <c r="H486" s="211"/>
      <c r="I486" s="211"/>
      <c r="J486" s="211"/>
      <c r="K486" s="211"/>
      <c r="L486" s="211"/>
      <c r="M486" s="211"/>
      <c r="N486" s="211"/>
      <c r="O486" s="211"/>
      <c r="P486" s="211"/>
      <c r="Q486" s="211"/>
      <c r="R486" s="211"/>
      <c r="S486" s="133"/>
      <c r="AR486" s="212"/>
      <c r="AS486" s="56"/>
      <c r="AT486" s="213"/>
      <c r="AU486" s="212"/>
      <c r="AV486" s="212"/>
      <c r="AW486" s="212"/>
    </row>
    <row r="487">
      <c r="H487" s="211"/>
      <c r="I487" s="211"/>
      <c r="J487" s="211"/>
      <c r="K487" s="211"/>
      <c r="L487" s="211"/>
      <c r="M487" s="211"/>
      <c r="N487" s="211"/>
      <c r="O487" s="211"/>
      <c r="P487" s="211"/>
      <c r="Q487" s="211"/>
      <c r="R487" s="211"/>
      <c r="S487" s="133"/>
      <c r="AR487" s="212"/>
      <c r="AS487" s="56"/>
      <c r="AT487" s="213"/>
      <c r="AU487" s="212"/>
      <c r="AV487" s="212"/>
      <c r="AW487" s="212"/>
    </row>
    <row r="488">
      <c r="H488" s="211"/>
      <c r="I488" s="211"/>
      <c r="J488" s="211"/>
      <c r="K488" s="211"/>
      <c r="L488" s="211"/>
      <c r="M488" s="211"/>
      <c r="N488" s="211"/>
      <c r="O488" s="211"/>
      <c r="P488" s="211"/>
      <c r="Q488" s="211"/>
      <c r="R488" s="211"/>
      <c r="S488" s="133"/>
      <c r="AR488" s="212"/>
      <c r="AS488" s="56"/>
      <c r="AT488" s="213"/>
      <c r="AU488" s="212"/>
      <c r="AV488" s="212"/>
      <c r="AW488" s="212"/>
    </row>
    <row r="489">
      <c r="H489" s="211"/>
      <c r="I489" s="211"/>
      <c r="J489" s="211"/>
      <c r="K489" s="211"/>
      <c r="L489" s="211"/>
      <c r="M489" s="211"/>
      <c r="N489" s="211"/>
      <c r="O489" s="211"/>
      <c r="P489" s="211"/>
      <c r="Q489" s="211"/>
      <c r="R489" s="211"/>
      <c r="S489" s="133"/>
      <c r="AR489" s="212"/>
      <c r="AS489" s="56"/>
      <c r="AT489" s="213"/>
      <c r="AU489" s="212"/>
      <c r="AV489" s="212"/>
      <c r="AW489" s="212"/>
    </row>
    <row r="490">
      <c r="H490" s="211"/>
      <c r="I490" s="211"/>
      <c r="J490" s="211"/>
      <c r="K490" s="211"/>
      <c r="L490" s="211"/>
      <c r="M490" s="211"/>
      <c r="N490" s="211"/>
      <c r="O490" s="211"/>
      <c r="P490" s="211"/>
      <c r="Q490" s="211"/>
      <c r="R490" s="211"/>
      <c r="S490" s="133"/>
      <c r="AR490" s="212"/>
      <c r="AS490" s="56"/>
      <c r="AT490" s="213"/>
      <c r="AU490" s="212"/>
      <c r="AV490" s="212"/>
      <c r="AW490" s="212"/>
    </row>
    <row r="491">
      <c r="H491" s="211"/>
      <c r="I491" s="211"/>
      <c r="J491" s="211"/>
      <c r="K491" s="211"/>
      <c r="L491" s="211"/>
      <c r="M491" s="211"/>
      <c r="N491" s="211"/>
      <c r="O491" s="211"/>
      <c r="P491" s="211"/>
      <c r="Q491" s="211"/>
      <c r="R491" s="211"/>
      <c r="S491" s="133"/>
      <c r="AR491" s="212"/>
      <c r="AS491" s="56"/>
      <c r="AT491" s="213"/>
      <c r="AU491" s="212"/>
      <c r="AV491" s="212"/>
      <c r="AW491" s="212"/>
    </row>
    <row r="492">
      <c r="H492" s="211"/>
      <c r="I492" s="211"/>
      <c r="J492" s="211"/>
      <c r="K492" s="211"/>
      <c r="L492" s="211"/>
      <c r="M492" s="211"/>
      <c r="N492" s="211"/>
      <c r="O492" s="211"/>
      <c r="P492" s="211"/>
      <c r="Q492" s="211"/>
      <c r="R492" s="211"/>
      <c r="S492" s="133"/>
      <c r="AR492" s="212"/>
      <c r="AS492" s="56"/>
      <c r="AT492" s="213"/>
      <c r="AU492" s="212"/>
      <c r="AV492" s="212"/>
      <c r="AW492" s="212"/>
    </row>
    <row r="493">
      <c r="H493" s="211"/>
      <c r="I493" s="211"/>
      <c r="J493" s="211"/>
      <c r="K493" s="211"/>
      <c r="L493" s="211"/>
      <c r="M493" s="211"/>
      <c r="N493" s="211"/>
      <c r="O493" s="211"/>
      <c r="P493" s="211"/>
      <c r="Q493" s="211"/>
      <c r="R493" s="211"/>
      <c r="S493" s="133"/>
      <c r="AR493" s="212"/>
      <c r="AS493" s="56"/>
      <c r="AT493" s="213"/>
      <c r="AU493" s="212"/>
      <c r="AV493" s="212"/>
      <c r="AW493" s="212"/>
    </row>
    <row r="494">
      <c r="H494" s="211"/>
      <c r="I494" s="211"/>
      <c r="J494" s="211"/>
      <c r="K494" s="211"/>
      <c r="L494" s="211"/>
      <c r="M494" s="211"/>
      <c r="N494" s="211"/>
      <c r="O494" s="211"/>
      <c r="P494" s="211"/>
      <c r="Q494" s="211"/>
      <c r="R494" s="211"/>
      <c r="S494" s="133"/>
      <c r="AR494" s="212"/>
      <c r="AS494" s="56"/>
      <c r="AT494" s="213"/>
      <c r="AU494" s="212"/>
      <c r="AV494" s="212"/>
      <c r="AW494" s="212"/>
    </row>
    <row r="495">
      <c r="H495" s="211"/>
      <c r="I495" s="211"/>
      <c r="J495" s="211"/>
      <c r="K495" s="211"/>
      <c r="L495" s="211"/>
      <c r="M495" s="211"/>
      <c r="N495" s="211"/>
      <c r="O495" s="211"/>
      <c r="P495" s="211"/>
      <c r="Q495" s="211"/>
      <c r="R495" s="211"/>
      <c r="S495" s="133"/>
      <c r="AR495" s="212"/>
      <c r="AS495" s="56"/>
      <c r="AT495" s="213"/>
      <c r="AU495" s="212"/>
      <c r="AV495" s="212"/>
      <c r="AW495" s="212"/>
    </row>
    <row r="496">
      <c r="H496" s="211"/>
      <c r="I496" s="211"/>
      <c r="J496" s="211"/>
      <c r="K496" s="211"/>
      <c r="L496" s="211"/>
      <c r="M496" s="211"/>
      <c r="N496" s="211"/>
      <c r="O496" s="211"/>
      <c r="P496" s="211"/>
      <c r="Q496" s="211"/>
      <c r="R496" s="211"/>
      <c r="S496" s="133"/>
      <c r="AR496" s="212"/>
      <c r="AS496" s="56"/>
      <c r="AT496" s="213"/>
      <c r="AU496" s="212"/>
      <c r="AV496" s="212"/>
      <c r="AW496" s="212"/>
    </row>
    <row r="497">
      <c r="H497" s="211"/>
      <c r="I497" s="211"/>
      <c r="J497" s="211"/>
      <c r="K497" s="211"/>
      <c r="L497" s="211"/>
      <c r="M497" s="211"/>
      <c r="N497" s="211"/>
      <c r="O497" s="211"/>
      <c r="P497" s="211"/>
      <c r="Q497" s="211"/>
      <c r="R497" s="211"/>
      <c r="S497" s="133"/>
      <c r="AR497" s="212"/>
      <c r="AS497" s="56"/>
      <c r="AT497" s="213"/>
      <c r="AU497" s="212"/>
      <c r="AV497" s="212"/>
      <c r="AW497" s="212"/>
    </row>
    <row r="498">
      <c r="H498" s="211"/>
      <c r="I498" s="211"/>
      <c r="J498" s="211"/>
      <c r="K498" s="211"/>
      <c r="L498" s="211"/>
      <c r="M498" s="211"/>
      <c r="N498" s="211"/>
      <c r="O498" s="211"/>
      <c r="P498" s="211"/>
      <c r="Q498" s="211"/>
      <c r="R498" s="211"/>
      <c r="S498" s="133"/>
      <c r="AR498" s="212"/>
      <c r="AS498" s="56"/>
      <c r="AT498" s="213"/>
      <c r="AU498" s="212"/>
      <c r="AV498" s="212"/>
      <c r="AW498" s="212"/>
    </row>
    <row r="499">
      <c r="H499" s="211"/>
      <c r="I499" s="211"/>
      <c r="J499" s="211"/>
      <c r="K499" s="211"/>
      <c r="L499" s="211"/>
      <c r="M499" s="211"/>
      <c r="N499" s="211"/>
      <c r="O499" s="211"/>
      <c r="P499" s="211"/>
      <c r="Q499" s="211"/>
      <c r="R499" s="211"/>
      <c r="S499" s="133"/>
      <c r="AR499" s="212"/>
      <c r="AS499" s="56"/>
      <c r="AT499" s="213"/>
      <c r="AU499" s="212"/>
      <c r="AV499" s="212"/>
      <c r="AW499" s="212"/>
    </row>
    <row r="500">
      <c r="H500" s="211"/>
      <c r="I500" s="211"/>
      <c r="J500" s="211"/>
      <c r="K500" s="211"/>
      <c r="L500" s="211"/>
      <c r="M500" s="211"/>
      <c r="N500" s="211"/>
      <c r="O500" s="211"/>
      <c r="P500" s="211"/>
      <c r="Q500" s="211"/>
      <c r="R500" s="211"/>
      <c r="S500" s="133"/>
      <c r="AR500" s="212"/>
      <c r="AS500" s="56"/>
      <c r="AT500" s="213"/>
      <c r="AU500" s="212"/>
      <c r="AV500" s="212"/>
      <c r="AW500" s="212"/>
    </row>
    <row r="501">
      <c r="H501" s="211"/>
      <c r="I501" s="211"/>
      <c r="J501" s="211"/>
      <c r="K501" s="211"/>
      <c r="L501" s="211"/>
      <c r="M501" s="211"/>
      <c r="N501" s="211"/>
      <c r="O501" s="211"/>
      <c r="P501" s="211"/>
      <c r="Q501" s="211"/>
      <c r="R501" s="211"/>
      <c r="S501" s="133"/>
      <c r="AR501" s="212"/>
      <c r="AS501" s="56"/>
      <c r="AT501" s="213"/>
      <c r="AU501" s="212"/>
      <c r="AV501" s="212"/>
      <c r="AW501" s="212"/>
    </row>
    <row r="502">
      <c r="H502" s="211"/>
      <c r="I502" s="211"/>
      <c r="J502" s="211"/>
      <c r="K502" s="211"/>
      <c r="L502" s="211"/>
      <c r="M502" s="211"/>
      <c r="N502" s="211"/>
      <c r="O502" s="211"/>
      <c r="P502" s="211"/>
      <c r="Q502" s="211"/>
      <c r="R502" s="211"/>
      <c r="S502" s="133"/>
      <c r="AR502" s="212"/>
      <c r="AS502" s="56"/>
      <c r="AT502" s="213"/>
      <c r="AU502" s="212"/>
      <c r="AV502" s="212"/>
      <c r="AW502" s="212"/>
    </row>
    <row r="503">
      <c r="H503" s="211"/>
      <c r="I503" s="211"/>
      <c r="J503" s="211"/>
      <c r="K503" s="211"/>
      <c r="L503" s="211"/>
      <c r="M503" s="211"/>
      <c r="N503" s="211"/>
      <c r="O503" s="211"/>
      <c r="P503" s="211"/>
      <c r="Q503" s="211"/>
      <c r="R503" s="211"/>
      <c r="S503" s="133"/>
      <c r="AR503" s="212"/>
      <c r="AS503" s="56"/>
      <c r="AT503" s="213"/>
      <c r="AU503" s="212"/>
      <c r="AV503" s="212"/>
      <c r="AW503" s="212"/>
    </row>
    <row r="504">
      <c r="H504" s="211"/>
      <c r="I504" s="211"/>
      <c r="J504" s="211"/>
      <c r="K504" s="211"/>
      <c r="L504" s="211"/>
      <c r="M504" s="211"/>
      <c r="N504" s="211"/>
      <c r="O504" s="211"/>
      <c r="P504" s="211"/>
      <c r="Q504" s="211"/>
      <c r="R504" s="211"/>
      <c r="S504" s="133"/>
      <c r="AR504" s="212"/>
      <c r="AS504" s="56"/>
      <c r="AT504" s="213"/>
      <c r="AU504" s="212"/>
      <c r="AV504" s="212"/>
      <c r="AW504" s="212"/>
    </row>
    <row r="505">
      <c r="H505" s="211"/>
      <c r="I505" s="211"/>
      <c r="J505" s="211"/>
      <c r="K505" s="211"/>
      <c r="L505" s="211"/>
      <c r="M505" s="211"/>
      <c r="N505" s="211"/>
      <c r="O505" s="211"/>
      <c r="P505" s="211"/>
      <c r="Q505" s="211"/>
      <c r="R505" s="211"/>
      <c r="S505" s="133"/>
      <c r="AR505" s="212"/>
      <c r="AS505" s="56"/>
      <c r="AT505" s="213"/>
      <c r="AU505" s="212"/>
      <c r="AV505" s="212"/>
      <c r="AW505" s="212"/>
    </row>
    <row r="506">
      <c r="H506" s="211"/>
      <c r="I506" s="211"/>
      <c r="J506" s="211"/>
      <c r="K506" s="211"/>
      <c r="L506" s="211"/>
      <c r="M506" s="211"/>
      <c r="N506" s="211"/>
      <c r="O506" s="211"/>
      <c r="P506" s="211"/>
      <c r="Q506" s="211"/>
      <c r="R506" s="211"/>
      <c r="S506" s="133"/>
      <c r="AR506" s="212"/>
      <c r="AS506" s="56"/>
      <c r="AT506" s="213"/>
      <c r="AU506" s="212"/>
      <c r="AV506" s="212"/>
      <c r="AW506" s="212"/>
    </row>
    <row r="507">
      <c r="H507" s="211"/>
      <c r="I507" s="211"/>
      <c r="J507" s="211"/>
      <c r="K507" s="211"/>
      <c r="L507" s="211"/>
      <c r="M507" s="211"/>
      <c r="N507" s="211"/>
      <c r="O507" s="211"/>
      <c r="P507" s="211"/>
      <c r="Q507" s="211"/>
      <c r="R507" s="211"/>
      <c r="S507" s="133"/>
      <c r="AR507" s="212"/>
      <c r="AS507" s="56"/>
      <c r="AT507" s="213"/>
      <c r="AU507" s="212"/>
      <c r="AV507" s="212"/>
      <c r="AW507" s="212"/>
    </row>
    <row r="508">
      <c r="H508" s="211"/>
      <c r="I508" s="211"/>
      <c r="J508" s="211"/>
      <c r="K508" s="211"/>
      <c r="L508" s="211"/>
      <c r="M508" s="211"/>
      <c r="N508" s="211"/>
      <c r="O508" s="211"/>
      <c r="P508" s="211"/>
      <c r="Q508" s="211"/>
      <c r="R508" s="211"/>
      <c r="S508" s="133"/>
      <c r="AR508" s="212"/>
      <c r="AS508" s="56"/>
      <c r="AT508" s="213"/>
      <c r="AU508" s="212"/>
      <c r="AV508" s="212"/>
      <c r="AW508" s="212"/>
    </row>
    <row r="509">
      <c r="H509" s="211"/>
      <c r="I509" s="211"/>
      <c r="J509" s="211"/>
      <c r="K509" s="211"/>
      <c r="L509" s="211"/>
      <c r="M509" s="211"/>
      <c r="N509" s="211"/>
      <c r="O509" s="211"/>
      <c r="P509" s="211"/>
      <c r="Q509" s="211"/>
      <c r="R509" s="211"/>
      <c r="S509" s="133"/>
      <c r="AR509" s="212"/>
      <c r="AS509" s="56"/>
      <c r="AT509" s="213"/>
      <c r="AU509" s="212"/>
      <c r="AV509" s="212"/>
      <c r="AW509" s="212"/>
    </row>
    <row r="510">
      <c r="H510" s="211"/>
      <c r="I510" s="211"/>
      <c r="J510" s="211"/>
      <c r="K510" s="211"/>
      <c r="L510" s="211"/>
      <c r="M510" s="211"/>
      <c r="N510" s="211"/>
      <c r="O510" s="211"/>
      <c r="P510" s="211"/>
      <c r="Q510" s="211"/>
      <c r="R510" s="211"/>
      <c r="S510" s="133"/>
      <c r="AR510" s="212"/>
      <c r="AS510" s="56"/>
      <c r="AT510" s="213"/>
      <c r="AU510" s="212"/>
      <c r="AV510" s="212"/>
      <c r="AW510" s="212"/>
    </row>
    <row r="511">
      <c r="H511" s="211"/>
      <c r="I511" s="211"/>
      <c r="J511" s="211"/>
      <c r="K511" s="211"/>
      <c r="L511" s="211"/>
      <c r="M511" s="211"/>
      <c r="N511" s="211"/>
      <c r="O511" s="211"/>
      <c r="P511" s="211"/>
      <c r="Q511" s="211"/>
      <c r="R511" s="211"/>
      <c r="S511" s="133"/>
      <c r="AR511" s="212"/>
      <c r="AS511" s="56"/>
      <c r="AT511" s="213"/>
      <c r="AU511" s="212"/>
      <c r="AV511" s="212"/>
      <c r="AW511" s="212"/>
    </row>
    <row r="512">
      <c r="H512" s="211"/>
      <c r="I512" s="211"/>
      <c r="J512" s="211"/>
      <c r="K512" s="211"/>
      <c r="L512" s="211"/>
      <c r="M512" s="211"/>
      <c r="N512" s="211"/>
      <c r="O512" s="211"/>
      <c r="P512" s="211"/>
      <c r="Q512" s="211"/>
      <c r="R512" s="211"/>
      <c r="S512" s="133"/>
      <c r="AR512" s="212"/>
      <c r="AS512" s="56"/>
      <c r="AT512" s="213"/>
      <c r="AU512" s="212"/>
      <c r="AV512" s="212"/>
      <c r="AW512" s="212"/>
    </row>
    <row r="513">
      <c r="H513" s="211"/>
      <c r="I513" s="211"/>
      <c r="J513" s="211"/>
      <c r="K513" s="211"/>
      <c r="L513" s="211"/>
      <c r="M513" s="211"/>
      <c r="N513" s="211"/>
      <c r="O513" s="211"/>
      <c r="P513" s="211"/>
      <c r="Q513" s="211"/>
      <c r="R513" s="211"/>
      <c r="S513" s="133"/>
      <c r="AR513" s="212"/>
      <c r="AS513" s="56"/>
      <c r="AT513" s="213"/>
      <c r="AU513" s="212"/>
      <c r="AV513" s="212"/>
      <c r="AW513" s="212"/>
    </row>
    <row r="514">
      <c r="H514" s="211"/>
      <c r="I514" s="211"/>
      <c r="J514" s="211"/>
      <c r="K514" s="211"/>
      <c r="L514" s="211"/>
      <c r="M514" s="211"/>
      <c r="N514" s="211"/>
      <c r="O514" s="211"/>
      <c r="P514" s="211"/>
      <c r="Q514" s="211"/>
      <c r="R514" s="211"/>
      <c r="S514" s="133"/>
      <c r="AR514" s="212"/>
      <c r="AS514" s="56"/>
      <c r="AT514" s="213"/>
      <c r="AU514" s="212"/>
      <c r="AV514" s="212"/>
      <c r="AW514" s="212"/>
    </row>
    <row r="515">
      <c r="H515" s="211"/>
      <c r="I515" s="211"/>
      <c r="J515" s="211"/>
      <c r="K515" s="211"/>
      <c r="L515" s="211"/>
      <c r="M515" s="211"/>
      <c r="N515" s="211"/>
      <c r="O515" s="211"/>
      <c r="P515" s="211"/>
      <c r="Q515" s="211"/>
      <c r="R515" s="211"/>
      <c r="S515" s="133"/>
      <c r="AR515" s="212"/>
      <c r="AS515" s="56"/>
      <c r="AT515" s="213"/>
      <c r="AU515" s="212"/>
      <c r="AV515" s="212"/>
      <c r="AW515" s="212"/>
    </row>
    <row r="516">
      <c r="H516" s="211"/>
      <c r="I516" s="211"/>
      <c r="J516" s="211"/>
      <c r="K516" s="211"/>
      <c r="L516" s="211"/>
      <c r="M516" s="211"/>
      <c r="N516" s="211"/>
      <c r="O516" s="211"/>
      <c r="P516" s="211"/>
      <c r="Q516" s="211"/>
      <c r="R516" s="211"/>
      <c r="S516" s="133"/>
      <c r="AR516" s="212"/>
      <c r="AS516" s="56"/>
      <c r="AT516" s="213"/>
      <c r="AU516" s="212"/>
      <c r="AV516" s="212"/>
      <c r="AW516" s="212"/>
    </row>
    <row r="517">
      <c r="H517" s="211"/>
      <c r="I517" s="211"/>
      <c r="J517" s="211"/>
      <c r="K517" s="211"/>
      <c r="L517" s="211"/>
      <c r="M517" s="211"/>
      <c r="N517" s="211"/>
      <c r="O517" s="211"/>
      <c r="P517" s="211"/>
      <c r="Q517" s="211"/>
      <c r="R517" s="211"/>
      <c r="S517" s="133"/>
      <c r="AR517" s="212"/>
      <c r="AS517" s="56"/>
      <c r="AT517" s="213"/>
      <c r="AU517" s="212"/>
      <c r="AV517" s="212"/>
      <c r="AW517" s="212"/>
    </row>
    <row r="518">
      <c r="H518" s="211"/>
      <c r="I518" s="211"/>
      <c r="J518" s="211"/>
      <c r="K518" s="211"/>
      <c r="L518" s="211"/>
      <c r="M518" s="211"/>
      <c r="N518" s="211"/>
      <c r="O518" s="211"/>
      <c r="P518" s="211"/>
      <c r="Q518" s="211"/>
      <c r="R518" s="211"/>
      <c r="S518" s="133"/>
      <c r="AR518" s="212"/>
      <c r="AS518" s="56"/>
      <c r="AT518" s="213"/>
      <c r="AU518" s="212"/>
      <c r="AV518" s="212"/>
      <c r="AW518" s="212"/>
    </row>
    <row r="519">
      <c r="H519" s="211"/>
      <c r="I519" s="211"/>
      <c r="J519" s="211"/>
      <c r="K519" s="211"/>
      <c r="L519" s="211"/>
      <c r="M519" s="211"/>
      <c r="N519" s="211"/>
      <c r="O519" s="211"/>
      <c r="P519" s="211"/>
      <c r="Q519" s="211"/>
      <c r="R519" s="211"/>
      <c r="S519" s="133"/>
      <c r="AR519" s="212"/>
      <c r="AS519" s="56"/>
      <c r="AT519" s="213"/>
      <c r="AU519" s="212"/>
      <c r="AV519" s="212"/>
      <c r="AW519" s="212"/>
    </row>
    <row r="520">
      <c r="H520" s="211"/>
      <c r="I520" s="211"/>
      <c r="J520" s="211"/>
      <c r="K520" s="211"/>
      <c r="L520" s="211"/>
      <c r="M520" s="211"/>
      <c r="N520" s="211"/>
      <c r="O520" s="211"/>
      <c r="P520" s="211"/>
      <c r="Q520" s="211"/>
      <c r="R520" s="211"/>
      <c r="S520" s="133"/>
      <c r="AR520" s="212"/>
      <c r="AS520" s="56"/>
      <c r="AT520" s="213"/>
      <c r="AU520" s="212"/>
      <c r="AV520" s="212"/>
      <c r="AW520" s="212"/>
    </row>
    <row r="521">
      <c r="H521" s="211"/>
      <c r="I521" s="211"/>
      <c r="J521" s="211"/>
      <c r="K521" s="211"/>
      <c r="L521" s="211"/>
      <c r="M521" s="211"/>
      <c r="N521" s="211"/>
      <c r="O521" s="211"/>
      <c r="P521" s="211"/>
      <c r="Q521" s="211"/>
      <c r="R521" s="211"/>
      <c r="S521" s="133"/>
      <c r="AR521" s="212"/>
      <c r="AS521" s="56"/>
      <c r="AT521" s="213"/>
      <c r="AU521" s="212"/>
      <c r="AV521" s="212"/>
      <c r="AW521" s="212"/>
    </row>
    <row r="522">
      <c r="H522" s="211"/>
      <c r="I522" s="211"/>
      <c r="J522" s="211"/>
      <c r="K522" s="211"/>
      <c r="L522" s="211"/>
      <c r="M522" s="211"/>
      <c r="N522" s="211"/>
      <c r="O522" s="211"/>
      <c r="P522" s="211"/>
      <c r="Q522" s="211"/>
      <c r="R522" s="211"/>
      <c r="S522" s="133"/>
      <c r="AR522" s="212"/>
      <c r="AS522" s="56"/>
      <c r="AT522" s="213"/>
      <c r="AU522" s="212"/>
      <c r="AV522" s="212"/>
      <c r="AW522" s="212"/>
    </row>
    <row r="523">
      <c r="H523" s="211"/>
      <c r="I523" s="211"/>
      <c r="J523" s="211"/>
      <c r="K523" s="211"/>
      <c r="L523" s="211"/>
      <c r="M523" s="211"/>
      <c r="N523" s="211"/>
      <c r="O523" s="211"/>
      <c r="P523" s="211"/>
      <c r="Q523" s="211"/>
      <c r="R523" s="211"/>
      <c r="S523" s="133"/>
      <c r="AR523" s="212"/>
      <c r="AS523" s="56"/>
      <c r="AT523" s="213"/>
      <c r="AU523" s="212"/>
      <c r="AV523" s="212"/>
      <c r="AW523" s="212"/>
    </row>
    <row r="524">
      <c r="H524" s="211"/>
      <c r="I524" s="211"/>
      <c r="J524" s="211"/>
      <c r="K524" s="211"/>
      <c r="L524" s="211"/>
      <c r="M524" s="211"/>
      <c r="N524" s="211"/>
      <c r="O524" s="211"/>
      <c r="P524" s="211"/>
      <c r="Q524" s="211"/>
      <c r="R524" s="211"/>
      <c r="S524" s="133"/>
      <c r="AR524" s="212"/>
      <c r="AS524" s="56"/>
      <c r="AT524" s="213"/>
      <c r="AU524" s="212"/>
      <c r="AV524" s="212"/>
      <c r="AW524" s="212"/>
    </row>
    <row r="525">
      <c r="H525" s="211"/>
      <c r="I525" s="211"/>
      <c r="J525" s="211"/>
      <c r="K525" s="211"/>
      <c r="L525" s="211"/>
      <c r="M525" s="211"/>
      <c r="N525" s="211"/>
      <c r="O525" s="211"/>
      <c r="P525" s="211"/>
      <c r="Q525" s="211"/>
      <c r="R525" s="211"/>
      <c r="S525" s="133"/>
      <c r="AR525" s="212"/>
      <c r="AS525" s="56"/>
      <c r="AT525" s="213"/>
      <c r="AU525" s="212"/>
      <c r="AV525" s="212"/>
      <c r="AW525" s="212"/>
    </row>
    <row r="526">
      <c r="H526" s="211"/>
      <c r="I526" s="211"/>
      <c r="J526" s="211"/>
      <c r="K526" s="211"/>
      <c r="L526" s="211"/>
      <c r="M526" s="211"/>
      <c r="N526" s="211"/>
      <c r="O526" s="211"/>
      <c r="P526" s="211"/>
      <c r="Q526" s="211"/>
      <c r="R526" s="211"/>
      <c r="S526" s="133"/>
      <c r="AR526" s="212"/>
      <c r="AS526" s="56"/>
      <c r="AT526" s="213"/>
      <c r="AU526" s="212"/>
      <c r="AV526" s="212"/>
      <c r="AW526" s="212"/>
    </row>
    <row r="527">
      <c r="H527" s="211"/>
      <c r="I527" s="211"/>
      <c r="J527" s="211"/>
      <c r="K527" s="211"/>
      <c r="L527" s="211"/>
      <c r="M527" s="211"/>
      <c r="N527" s="211"/>
      <c r="O527" s="211"/>
      <c r="P527" s="211"/>
      <c r="Q527" s="211"/>
      <c r="R527" s="211"/>
      <c r="S527" s="133"/>
      <c r="AR527" s="212"/>
      <c r="AS527" s="56"/>
      <c r="AT527" s="213"/>
      <c r="AU527" s="212"/>
      <c r="AV527" s="212"/>
      <c r="AW527" s="212"/>
    </row>
    <row r="528">
      <c r="H528" s="211"/>
      <c r="I528" s="211"/>
      <c r="J528" s="211"/>
      <c r="K528" s="211"/>
      <c r="L528" s="211"/>
      <c r="M528" s="211"/>
      <c r="N528" s="211"/>
      <c r="O528" s="211"/>
      <c r="P528" s="211"/>
      <c r="Q528" s="211"/>
      <c r="R528" s="211"/>
      <c r="S528" s="133"/>
      <c r="AR528" s="212"/>
      <c r="AS528" s="56"/>
      <c r="AT528" s="213"/>
      <c r="AU528" s="212"/>
      <c r="AV528" s="212"/>
      <c r="AW528" s="212"/>
    </row>
    <row r="529">
      <c r="H529" s="211"/>
      <c r="I529" s="211"/>
      <c r="J529" s="211"/>
      <c r="K529" s="211"/>
      <c r="L529" s="211"/>
      <c r="M529" s="211"/>
      <c r="N529" s="211"/>
      <c r="O529" s="211"/>
      <c r="P529" s="211"/>
      <c r="Q529" s="211"/>
      <c r="R529" s="211"/>
      <c r="S529" s="133"/>
      <c r="AR529" s="212"/>
      <c r="AS529" s="56"/>
      <c r="AT529" s="213"/>
      <c r="AU529" s="212"/>
      <c r="AV529" s="212"/>
      <c r="AW529" s="212"/>
    </row>
    <row r="530">
      <c r="H530" s="211"/>
      <c r="I530" s="211"/>
      <c r="J530" s="211"/>
      <c r="K530" s="211"/>
      <c r="L530" s="211"/>
      <c r="M530" s="211"/>
      <c r="N530" s="211"/>
      <c r="O530" s="211"/>
      <c r="P530" s="211"/>
      <c r="Q530" s="211"/>
      <c r="R530" s="211"/>
      <c r="S530" s="133"/>
      <c r="AR530" s="212"/>
      <c r="AS530" s="56"/>
      <c r="AT530" s="213"/>
      <c r="AU530" s="212"/>
      <c r="AV530" s="212"/>
      <c r="AW530" s="212"/>
    </row>
    <row r="531">
      <c r="H531" s="211"/>
      <c r="I531" s="211"/>
      <c r="J531" s="211"/>
      <c r="K531" s="211"/>
      <c r="L531" s="211"/>
      <c r="M531" s="211"/>
      <c r="N531" s="211"/>
      <c r="O531" s="211"/>
      <c r="P531" s="211"/>
      <c r="Q531" s="211"/>
      <c r="R531" s="211"/>
      <c r="S531" s="133"/>
      <c r="AR531" s="212"/>
      <c r="AS531" s="56"/>
      <c r="AT531" s="213"/>
      <c r="AU531" s="212"/>
      <c r="AV531" s="212"/>
      <c r="AW531" s="212"/>
    </row>
    <row r="532">
      <c r="H532" s="211"/>
      <c r="I532" s="211"/>
      <c r="J532" s="211"/>
      <c r="K532" s="211"/>
      <c r="L532" s="211"/>
      <c r="M532" s="211"/>
      <c r="N532" s="211"/>
      <c r="O532" s="211"/>
      <c r="P532" s="211"/>
      <c r="Q532" s="211"/>
      <c r="R532" s="211"/>
      <c r="S532" s="133"/>
      <c r="AR532" s="212"/>
      <c r="AS532" s="56"/>
      <c r="AT532" s="213"/>
      <c r="AU532" s="212"/>
      <c r="AV532" s="212"/>
      <c r="AW532" s="212"/>
    </row>
    <row r="533">
      <c r="H533" s="211"/>
      <c r="I533" s="211"/>
      <c r="J533" s="211"/>
      <c r="K533" s="211"/>
      <c r="L533" s="211"/>
      <c r="M533" s="211"/>
      <c r="N533" s="211"/>
      <c r="O533" s="211"/>
      <c r="P533" s="211"/>
      <c r="Q533" s="211"/>
      <c r="R533" s="211"/>
      <c r="S533" s="133"/>
      <c r="AR533" s="212"/>
      <c r="AS533" s="56"/>
      <c r="AT533" s="213"/>
      <c r="AU533" s="212"/>
      <c r="AV533" s="212"/>
      <c r="AW533" s="212"/>
    </row>
    <row r="534">
      <c r="H534" s="211"/>
      <c r="I534" s="211"/>
      <c r="J534" s="211"/>
      <c r="K534" s="211"/>
      <c r="L534" s="211"/>
      <c r="M534" s="211"/>
      <c r="N534" s="211"/>
      <c r="O534" s="211"/>
      <c r="P534" s="211"/>
      <c r="Q534" s="211"/>
      <c r="R534" s="211"/>
      <c r="S534" s="133"/>
      <c r="AR534" s="212"/>
      <c r="AS534" s="56"/>
      <c r="AT534" s="213"/>
      <c r="AU534" s="212"/>
      <c r="AV534" s="212"/>
      <c r="AW534" s="212"/>
    </row>
    <row r="535">
      <c r="H535" s="211"/>
      <c r="I535" s="211"/>
      <c r="J535" s="211"/>
      <c r="K535" s="211"/>
      <c r="L535" s="211"/>
      <c r="M535" s="211"/>
      <c r="N535" s="211"/>
      <c r="O535" s="211"/>
      <c r="P535" s="211"/>
      <c r="Q535" s="211"/>
      <c r="R535" s="211"/>
      <c r="S535" s="133"/>
      <c r="AR535" s="212"/>
      <c r="AS535" s="56"/>
      <c r="AT535" s="213"/>
      <c r="AU535" s="212"/>
      <c r="AV535" s="212"/>
      <c r="AW535" s="212"/>
    </row>
    <row r="536">
      <c r="H536" s="211"/>
      <c r="I536" s="211"/>
      <c r="J536" s="211"/>
      <c r="K536" s="211"/>
      <c r="L536" s="211"/>
      <c r="M536" s="211"/>
      <c r="N536" s="211"/>
      <c r="O536" s="211"/>
      <c r="P536" s="211"/>
      <c r="Q536" s="211"/>
      <c r="R536" s="211"/>
      <c r="S536" s="133"/>
      <c r="AR536" s="212"/>
      <c r="AS536" s="56"/>
      <c r="AT536" s="213"/>
      <c r="AU536" s="212"/>
      <c r="AV536" s="212"/>
      <c r="AW536" s="212"/>
    </row>
    <row r="537">
      <c r="H537" s="211"/>
      <c r="I537" s="211"/>
      <c r="J537" s="211"/>
      <c r="K537" s="211"/>
      <c r="L537" s="211"/>
      <c r="M537" s="211"/>
      <c r="N537" s="211"/>
      <c r="O537" s="211"/>
      <c r="P537" s="211"/>
      <c r="Q537" s="211"/>
      <c r="R537" s="211"/>
      <c r="S537" s="133"/>
      <c r="AR537" s="212"/>
      <c r="AS537" s="56"/>
      <c r="AT537" s="213"/>
      <c r="AU537" s="212"/>
      <c r="AV537" s="212"/>
      <c r="AW537" s="212"/>
    </row>
    <row r="538">
      <c r="H538" s="211"/>
      <c r="I538" s="211"/>
      <c r="J538" s="211"/>
      <c r="K538" s="211"/>
      <c r="L538" s="211"/>
      <c r="M538" s="211"/>
      <c r="N538" s="211"/>
      <c r="O538" s="211"/>
      <c r="P538" s="211"/>
      <c r="Q538" s="211"/>
      <c r="R538" s="211"/>
      <c r="S538" s="133"/>
      <c r="AR538" s="212"/>
      <c r="AS538" s="56"/>
      <c r="AT538" s="213"/>
      <c r="AU538" s="212"/>
      <c r="AV538" s="212"/>
      <c r="AW538" s="212"/>
    </row>
    <row r="539">
      <c r="H539" s="211"/>
      <c r="I539" s="211"/>
      <c r="J539" s="211"/>
      <c r="K539" s="211"/>
      <c r="L539" s="211"/>
      <c r="M539" s="211"/>
      <c r="N539" s="211"/>
      <c r="O539" s="211"/>
      <c r="P539" s="211"/>
      <c r="Q539" s="211"/>
      <c r="R539" s="211"/>
      <c r="S539" s="133"/>
      <c r="AR539" s="212"/>
      <c r="AS539" s="56"/>
      <c r="AT539" s="213"/>
      <c r="AU539" s="212"/>
      <c r="AV539" s="212"/>
      <c r="AW539" s="212"/>
    </row>
    <row r="540">
      <c r="H540" s="211"/>
      <c r="I540" s="211"/>
      <c r="J540" s="211"/>
      <c r="K540" s="211"/>
      <c r="L540" s="211"/>
      <c r="M540" s="211"/>
      <c r="N540" s="211"/>
      <c r="O540" s="211"/>
      <c r="P540" s="211"/>
      <c r="Q540" s="211"/>
      <c r="R540" s="211"/>
      <c r="S540" s="133"/>
      <c r="AR540" s="212"/>
      <c r="AS540" s="56"/>
      <c r="AT540" s="213"/>
      <c r="AU540" s="212"/>
      <c r="AV540" s="212"/>
      <c r="AW540" s="212"/>
    </row>
    <row r="541">
      <c r="H541" s="211"/>
      <c r="I541" s="211"/>
      <c r="J541" s="211"/>
      <c r="K541" s="211"/>
      <c r="L541" s="211"/>
      <c r="M541" s="211"/>
      <c r="N541" s="211"/>
      <c r="O541" s="211"/>
      <c r="P541" s="211"/>
      <c r="Q541" s="211"/>
      <c r="R541" s="211"/>
      <c r="S541" s="133"/>
      <c r="AR541" s="212"/>
      <c r="AS541" s="56"/>
      <c r="AT541" s="213"/>
      <c r="AU541" s="212"/>
      <c r="AV541" s="212"/>
      <c r="AW541" s="212"/>
    </row>
    <row r="542">
      <c r="H542" s="211"/>
      <c r="I542" s="211"/>
      <c r="J542" s="211"/>
      <c r="K542" s="211"/>
      <c r="L542" s="211"/>
      <c r="M542" s="211"/>
      <c r="N542" s="211"/>
      <c r="O542" s="211"/>
      <c r="P542" s="211"/>
      <c r="Q542" s="211"/>
      <c r="R542" s="211"/>
      <c r="S542" s="133"/>
      <c r="AR542" s="212"/>
      <c r="AS542" s="56"/>
      <c r="AT542" s="213"/>
      <c r="AU542" s="212"/>
      <c r="AV542" s="212"/>
      <c r="AW542" s="212"/>
    </row>
    <row r="543">
      <c r="H543" s="211"/>
      <c r="I543" s="211"/>
      <c r="J543" s="211"/>
      <c r="K543" s="211"/>
      <c r="L543" s="211"/>
      <c r="M543" s="211"/>
      <c r="N543" s="211"/>
      <c r="O543" s="211"/>
      <c r="P543" s="211"/>
      <c r="Q543" s="211"/>
      <c r="R543" s="211"/>
      <c r="S543" s="133"/>
      <c r="AR543" s="212"/>
      <c r="AS543" s="56"/>
      <c r="AT543" s="213"/>
      <c r="AU543" s="212"/>
      <c r="AV543" s="212"/>
      <c r="AW543" s="212"/>
    </row>
    <row r="544">
      <c r="H544" s="211"/>
      <c r="I544" s="211"/>
      <c r="J544" s="211"/>
      <c r="K544" s="211"/>
      <c r="L544" s="211"/>
      <c r="M544" s="211"/>
      <c r="N544" s="211"/>
      <c r="O544" s="211"/>
      <c r="P544" s="211"/>
      <c r="Q544" s="211"/>
      <c r="R544" s="211"/>
      <c r="S544" s="133"/>
      <c r="AR544" s="212"/>
      <c r="AS544" s="56"/>
      <c r="AT544" s="213"/>
      <c r="AU544" s="212"/>
      <c r="AV544" s="212"/>
      <c r="AW544" s="212"/>
    </row>
    <row r="545">
      <c r="H545" s="211"/>
      <c r="I545" s="211"/>
      <c r="J545" s="211"/>
      <c r="K545" s="211"/>
      <c r="L545" s="211"/>
      <c r="M545" s="211"/>
      <c r="N545" s="211"/>
      <c r="O545" s="211"/>
      <c r="P545" s="211"/>
      <c r="Q545" s="211"/>
      <c r="R545" s="211"/>
      <c r="S545" s="133"/>
      <c r="AR545" s="212"/>
      <c r="AS545" s="56"/>
      <c r="AT545" s="213"/>
      <c r="AU545" s="212"/>
      <c r="AV545" s="212"/>
      <c r="AW545" s="212"/>
    </row>
    <row r="546">
      <c r="H546" s="211"/>
      <c r="I546" s="211"/>
      <c r="J546" s="211"/>
      <c r="K546" s="211"/>
      <c r="L546" s="211"/>
      <c r="M546" s="211"/>
      <c r="N546" s="211"/>
      <c r="O546" s="211"/>
      <c r="P546" s="211"/>
      <c r="Q546" s="211"/>
      <c r="R546" s="211"/>
      <c r="S546" s="133"/>
      <c r="AR546" s="212"/>
      <c r="AS546" s="56"/>
      <c r="AT546" s="213"/>
      <c r="AU546" s="212"/>
      <c r="AV546" s="212"/>
      <c r="AW546" s="212"/>
    </row>
    <row r="547">
      <c r="H547" s="211"/>
      <c r="I547" s="211"/>
      <c r="J547" s="211"/>
      <c r="K547" s="211"/>
      <c r="L547" s="211"/>
      <c r="M547" s="211"/>
      <c r="N547" s="211"/>
      <c r="O547" s="211"/>
      <c r="P547" s="211"/>
      <c r="Q547" s="211"/>
      <c r="R547" s="211"/>
      <c r="S547" s="133"/>
      <c r="AR547" s="212"/>
      <c r="AS547" s="56"/>
      <c r="AT547" s="213"/>
      <c r="AU547" s="212"/>
      <c r="AV547" s="212"/>
      <c r="AW547" s="212"/>
    </row>
    <row r="548">
      <c r="H548" s="211"/>
      <c r="I548" s="211"/>
      <c r="J548" s="211"/>
      <c r="K548" s="211"/>
      <c r="L548" s="211"/>
      <c r="M548" s="211"/>
      <c r="N548" s="211"/>
      <c r="O548" s="211"/>
      <c r="P548" s="211"/>
      <c r="Q548" s="211"/>
      <c r="R548" s="211"/>
      <c r="S548" s="133"/>
      <c r="AR548" s="212"/>
      <c r="AS548" s="56"/>
      <c r="AT548" s="213"/>
      <c r="AU548" s="212"/>
      <c r="AV548" s="212"/>
      <c r="AW548" s="212"/>
    </row>
    <row r="549">
      <c r="H549" s="211"/>
      <c r="I549" s="211"/>
      <c r="J549" s="211"/>
      <c r="K549" s="211"/>
      <c r="L549" s="211"/>
      <c r="M549" s="211"/>
      <c r="N549" s="211"/>
      <c r="O549" s="211"/>
      <c r="P549" s="211"/>
      <c r="Q549" s="211"/>
      <c r="R549" s="211"/>
      <c r="S549" s="133"/>
      <c r="AR549" s="212"/>
      <c r="AS549" s="56"/>
      <c r="AT549" s="213"/>
      <c r="AU549" s="212"/>
      <c r="AV549" s="212"/>
      <c r="AW549" s="212"/>
    </row>
    <row r="550">
      <c r="H550" s="211"/>
      <c r="I550" s="211"/>
      <c r="J550" s="211"/>
      <c r="K550" s="211"/>
      <c r="L550" s="211"/>
      <c r="M550" s="211"/>
      <c r="N550" s="211"/>
      <c r="O550" s="211"/>
      <c r="P550" s="211"/>
      <c r="Q550" s="211"/>
      <c r="R550" s="211"/>
      <c r="S550" s="133"/>
      <c r="AR550" s="212"/>
      <c r="AS550" s="56"/>
      <c r="AT550" s="213"/>
      <c r="AU550" s="212"/>
      <c r="AV550" s="212"/>
      <c r="AW550" s="212"/>
    </row>
    <row r="551">
      <c r="H551" s="211"/>
      <c r="I551" s="211"/>
      <c r="J551" s="211"/>
      <c r="K551" s="211"/>
      <c r="L551" s="211"/>
      <c r="M551" s="211"/>
      <c r="N551" s="211"/>
      <c r="O551" s="211"/>
      <c r="P551" s="211"/>
      <c r="Q551" s="211"/>
      <c r="R551" s="211"/>
      <c r="S551" s="133"/>
      <c r="AR551" s="212"/>
      <c r="AS551" s="56"/>
      <c r="AT551" s="213"/>
      <c r="AU551" s="212"/>
      <c r="AV551" s="212"/>
      <c r="AW551" s="212"/>
    </row>
    <row r="552">
      <c r="H552" s="211"/>
      <c r="I552" s="211"/>
      <c r="J552" s="211"/>
      <c r="K552" s="211"/>
      <c r="L552" s="211"/>
      <c r="M552" s="211"/>
      <c r="N552" s="211"/>
      <c r="O552" s="211"/>
      <c r="P552" s="211"/>
      <c r="Q552" s="211"/>
      <c r="R552" s="211"/>
      <c r="S552" s="133"/>
      <c r="AR552" s="212"/>
      <c r="AS552" s="56"/>
      <c r="AT552" s="213"/>
      <c r="AU552" s="212"/>
      <c r="AV552" s="212"/>
      <c r="AW552" s="212"/>
    </row>
    <row r="553">
      <c r="H553" s="211"/>
      <c r="I553" s="211"/>
      <c r="J553" s="211"/>
      <c r="K553" s="211"/>
      <c r="L553" s="211"/>
      <c r="M553" s="211"/>
      <c r="N553" s="211"/>
      <c r="O553" s="211"/>
      <c r="P553" s="211"/>
      <c r="Q553" s="211"/>
      <c r="R553" s="211"/>
      <c r="S553" s="133"/>
      <c r="AR553" s="212"/>
      <c r="AS553" s="56"/>
      <c r="AT553" s="213"/>
      <c r="AU553" s="212"/>
      <c r="AV553" s="212"/>
      <c r="AW553" s="212"/>
    </row>
    <row r="554">
      <c r="H554" s="211"/>
      <c r="I554" s="211"/>
      <c r="J554" s="211"/>
      <c r="K554" s="211"/>
      <c r="L554" s="211"/>
      <c r="M554" s="211"/>
      <c r="N554" s="211"/>
      <c r="O554" s="211"/>
      <c r="P554" s="211"/>
      <c r="Q554" s="211"/>
      <c r="R554" s="211"/>
      <c r="S554" s="133"/>
      <c r="AR554" s="212"/>
      <c r="AS554" s="56"/>
      <c r="AT554" s="213"/>
      <c r="AU554" s="212"/>
      <c r="AV554" s="212"/>
      <c r="AW554" s="212"/>
    </row>
    <row r="555">
      <c r="H555" s="211"/>
      <c r="I555" s="211"/>
      <c r="J555" s="211"/>
      <c r="K555" s="211"/>
      <c r="L555" s="211"/>
      <c r="M555" s="211"/>
      <c r="N555" s="211"/>
      <c r="O555" s="211"/>
      <c r="P555" s="211"/>
      <c r="Q555" s="211"/>
      <c r="R555" s="211"/>
      <c r="S555" s="133"/>
      <c r="AR555" s="212"/>
      <c r="AS555" s="56"/>
      <c r="AT555" s="213"/>
      <c r="AU555" s="212"/>
      <c r="AV555" s="212"/>
      <c r="AW555" s="212"/>
    </row>
    <row r="556">
      <c r="H556" s="211"/>
      <c r="I556" s="211"/>
      <c r="J556" s="211"/>
      <c r="K556" s="211"/>
      <c r="L556" s="211"/>
      <c r="M556" s="211"/>
      <c r="N556" s="211"/>
      <c r="O556" s="211"/>
      <c r="P556" s="211"/>
      <c r="Q556" s="211"/>
      <c r="R556" s="211"/>
      <c r="S556" s="133"/>
      <c r="AR556" s="212"/>
      <c r="AS556" s="56"/>
      <c r="AT556" s="213"/>
      <c r="AU556" s="212"/>
      <c r="AV556" s="212"/>
      <c r="AW556" s="212"/>
    </row>
    <row r="557">
      <c r="H557" s="211"/>
      <c r="I557" s="211"/>
      <c r="J557" s="211"/>
      <c r="K557" s="211"/>
      <c r="L557" s="211"/>
      <c r="M557" s="211"/>
      <c r="N557" s="211"/>
      <c r="O557" s="211"/>
      <c r="P557" s="211"/>
      <c r="Q557" s="211"/>
      <c r="R557" s="211"/>
      <c r="S557" s="133"/>
      <c r="AR557" s="212"/>
      <c r="AS557" s="56"/>
      <c r="AT557" s="213"/>
      <c r="AU557" s="212"/>
      <c r="AV557" s="212"/>
      <c r="AW557" s="212"/>
    </row>
    <row r="558">
      <c r="H558" s="211"/>
      <c r="I558" s="211"/>
      <c r="J558" s="211"/>
      <c r="K558" s="211"/>
      <c r="L558" s="211"/>
      <c r="M558" s="211"/>
      <c r="N558" s="211"/>
      <c r="O558" s="211"/>
      <c r="P558" s="211"/>
      <c r="Q558" s="211"/>
      <c r="R558" s="211"/>
      <c r="S558" s="133"/>
      <c r="AR558" s="212"/>
      <c r="AS558" s="56"/>
      <c r="AT558" s="213"/>
      <c r="AU558" s="212"/>
      <c r="AV558" s="212"/>
      <c r="AW558" s="212"/>
    </row>
    <row r="559">
      <c r="H559" s="211"/>
      <c r="I559" s="211"/>
      <c r="J559" s="211"/>
      <c r="K559" s="211"/>
      <c r="L559" s="211"/>
      <c r="M559" s="211"/>
      <c r="N559" s="211"/>
      <c r="O559" s="211"/>
      <c r="P559" s="211"/>
      <c r="Q559" s="211"/>
      <c r="R559" s="211"/>
      <c r="S559" s="133"/>
      <c r="AR559" s="212"/>
      <c r="AS559" s="56"/>
      <c r="AT559" s="213"/>
      <c r="AU559" s="212"/>
      <c r="AV559" s="212"/>
      <c r="AW559" s="212"/>
    </row>
    <row r="560">
      <c r="H560" s="211"/>
      <c r="I560" s="211"/>
      <c r="J560" s="211"/>
      <c r="K560" s="211"/>
      <c r="L560" s="211"/>
      <c r="M560" s="211"/>
      <c r="N560" s="211"/>
      <c r="O560" s="211"/>
      <c r="P560" s="211"/>
      <c r="Q560" s="211"/>
      <c r="R560" s="211"/>
      <c r="S560" s="133"/>
      <c r="AR560" s="212"/>
      <c r="AS560" s="56"/>
      <c r="AT560" s="213"/>
      <c r="AU560" s="212"/>
      <c r="AV560" s="212"/>
      <c r="AW560" s="212"/>
    </row>
    <row r="561">
      <c r="H561" s="211"/>
      <c r="I561" s="211"/>
      <c r="J561" s="211"/>
      <c r="K561" s="211"/>
      <c r="L561" s="211"/>
      <c r="M561" s="211"/>
      <c r="N561" s="211"/>
      <c r="O561" s="211"/>
      <c r="P561" s="211"/>
      <c r="Q561" s="211"/>
      <c r="R561" s="211"/>
      <c r="S561" s="133"/>
      <c r="AR561" s="212"/>
      <c r="AS561" s="56"/>
      <c r="AT561" s="213"/>
      <c r="AU561" s="212"/>
      <c r="AV561" s="212"/>
      <c r="AW561" s="212"/>
    </row>
    <row r="562">
      <c r="H562" s="211"/>
      <c r="I562" s="211"/>
      <c r="J562" s="211"/>
      <c r="K562" s="211"/>
      <c r="L562" s="211"/>
      <c r="M562" s="211"/>
      <c r="N562" s="211"/>
      <c r="O562" s="211"/>
      <c r="P562" s="211"/>
      <c r="Q562" s="211"/>
      <c r="R562" s="211"/>
      <c r="S562" s="133"/>
      <c r="AR562" s="212"/>
      <c r="AS562" s="56"/>
      <c r="AT562" s="213"/>
      <c r="AU562" s="212"/>
      <c r="AV562" s="212"/>
      <c r="AW562" s="212"/>
    </row>
    <row r="563">
      <c r="H563" s="211"/>
      <c r="I563" s="211"/>
      <c r="J563" s="211"/>
      <c r="K563" s="211"/>
      <c r="L563" s="211"/>
      <c r="M563" s="211"/>
      <c r="N563" s="211"/>
      <c r="O563" s="211"/>
      <c r="P563" s="211"/>
      <c r="Q563" s="211"/>
      <c r="R563" s="211"/>
      <c r="S563" s="133"/>
      <c r="AR563" s="212"/>
      <c r="AS563" s="56"/>
      <c r="AT563" s="213"/>
      <c r="AU563" s="212"/>
      <c r="AV563" s="212"/>
      <c r="AW563" s="212"/>
    </row>
    <row r="564">
      <c r="H564" s="211"/>
      <c r="I564" s="211"/>
      <c r="J564" s="211"/>
      <c r="K564" s="211"/>
      <c r="L564" s="211"/>
      <c r="M564" s="211"/>
      <c r="N564" s="211"/>
      <c r="O564" s="211"/>
      <c r="P564" s="211"/>
      <c r="Q564" s="211"/>
      <c r="R564" s="211"/>
      <c r="S564" s="133"/>
      <c r="AR564" s="212"/>
      <c r="AS564" s="56"/>
      <c r="AT564" s="213"/>
      <c r="AU564" s="212"/>
      <c r="AV564" s="212"/>
      <c r="AW564" s="212"/>
    </row>
    <row r="565">
      <c r="H565" s="211"/>
      <c r="I565" s="211"/>
      <c r="J565" s="211"/>
      <c r="K565" s="211"/>
      <c r="L565" s="211"/>
      <c r="M565" s="211"/>
      <c r="N565" s="211"/>
      <c r="O565" s="211"/>
      <c r="P565" s="211"/>
      <c r="Q565" s="211"/>
      <c r="R565" s="211"/>
      <c r="S565" s="133"/>
      <c r="AR565" s="212"/>
      <c r="AS565" s="56"/>
      <c r="AT565" s="213"/>
      <c r="AU565" s="212"/>
      <c r="AV565" s="212"/>
      <c r="AW565" s="212"/>
    </row>
    <row r="566">
      <c r="H566" s="211"/>
      <c r="I566" s="211"/>
      <c r="J566" s="211"/>
      <c r="K566" s="211"/>
      <c r="L566" s="211"/>
      <c r="M566" s="211"/>
      <c r="N566" s="211"/>
      <c r="O566" s="211"/>
      <c r="P566" s="211"/>
      <c r="Q566" s="211"/>
      <c r="R566" s="211"/>
      <c r="S566" s="133"/>
      <c r="AR566" s="212"/>
      <c r="AS566" s="56"/>
      <c r="AT566" s="213"/>
      <c r="AU566" s="212"/>
      <c r="AV566" s="212"/>
      <c r="AW566" s="212"/>
    </row>
    <row r="567">
      <c r="H567" s="211"/>
      <c r="I567" s="211"/>
      <c r="J567" s="211"/>
      <c r="K567" s="211"/>
      <c r="L567" s="211"/>
      <c r="M567" s="211"/>
      <c r="N567" s="211"/>
      <c r="O567" s="211"/>
      <c r="P567" s="211"/>
      <c r="Q567" s="211"/>
      <c r="R567" s="211"/>
      <c r="S567" s="133"/>
      <c r="AR567" s="212"/>
      <c r="AS567" s="56"/>
      <c r="AT567" s="213"/>
      <c r="AU567" s="212"/>
      <c r="AV567" s="212"/>
      <c r="AW567" s="212"/>
    </row>
    <row r="568">
      <c r="H568" s="211"/>
      <c r="I568" s="211"/>
      <c r="J568" s="211"/>
      <c r="K568" s="211"/>
      <c r="L568" s="211"/>
      <c r="M568" s="211"/>
      <c r="N568" s="211"/>
      <c r="O568" s="211"/>
      <c r="P568" s="211"/>
      <c r="Q568" s="211"/>
      <c r="R568" s="211"/>
      <c r="S568" s="133"/>
      <c r="AR568" s="212"/>
      <c r="AS568" s="56"/>
      <c r="AT568" s="213"/>
      <c r="AU568" s="212"/>
      <c r="AV568" s="212"/>
      <c r="AW568" s="212"/>
    </row>
    <row r="569">
      <c r="H569" s="211"/>
      <c r="I569" s="211"/>
      <c r="J569" s="211"/>
      <c r="K569" s="211"/>
      <c r="L569" s="211"/>
      <c r="M569" s="211"/>
      <c r="N569" s="211"/>
      <c r="O569" s="211"/>
      <c r="P569" s="211"/>
      <c r="Q569" s="211"/>
      <c r="R569" s="211"/>
      <c r="S569" s="133"/>
      <c r="AR569" s="212"/>
      <c r="AS569" s="56"/>
      <c r="AT569" s="213"/>
      <c r="AU569" s="212"/>
      <c r="AV569" s="212"/>
      <c r="AW569" s="212"/>
    </row>
    <row r="570">
      <c r="H570" s="211"/>
      <c r="I570" s="211"/>
      <c r="J570" s="211"/>
      <c r="K570" s="211"/>
      <c r="L570" s="211"/>
      <c r="M570" s="211"/>
      <c r="N570" s="211"/>
      <c r="O570" s="211"/>
      <c r="P570" s="211"/>
      <c r="Q570" s="211"/>
      <c r="R570" s="211"/>
      <c r="S570" s="133"/>
      <c r="AR570" s="212"/>
      <c r="AS570" s="56"/>
      <c r="AT570" s="213"/>
      <c r="AU570" s="212"/>
      <c r="AV570" s="212"/>
      <c r="AW570" s="212"/>
    </row>
    <row r="571">
      <c r="H571" s="211"/>
      <c r="I571" s="211"/>
      <c r="J571" s="211"/>
      <c r="K571" s="211"/>
      <c r="L571" s="211"/>
      <c r="M571" s="211"/>
      <c r="N571" s="211"/>
      <c r="O571" s="211"/>
      <c r="P571" s="211"/>
      <c r="Q571" s="211"/>
      <c r="R571" s="211"/>
      <c r="S571" s="133"/>
      <c r="AR571" s="212"/>
      <c r="AS571" s="56"/>
      <c r="AT571" s="213"/>
      <c r="AU571" s="212"/>
      <c r="AV571" s="212"/>
      <c r="AW571" s="212"/>
    </row>
    <row r="572">
      <c r="H572" s="211"/>
      <c r="I572" s="211"/>
      <c r="J572" s="211"/>
      <c r="K572" s="211"/>
      <c r="L572" s="211"/>
      <c r="M572" s="211"/>
      <c r="N572" s="211"/>
      <c r="O572" s="211"/>
      <c r="P572" s="211"/>
      <c r="Q572" s="211"/>
      <c r="R572" s="211"/>
      <c r="S572" s="133"/>
      <c r="AR572" s="212"/>
      <c r="AS572" s="56"/>
      <c r="AT572" s="213"/>
      <c r="AU572" s="212"/>
      <c r="AV572" s="212"/>
      <c r="AW572" s="212"/>
    </row>
    <row r="573">
      <c r="H573" s="211"/>
      <c r="I573" s="211"/>
      <c r="J573" s="211"/>
      <c r="K573" s="211"/>
      <c r="L573" s="211"/>
      <c r="M573" s="211"/>
      <c r="N573" s="211"/>
      <c r="O573" s="211"/>
      <c r="P573" s="211"/>
      <c r="Q573" s="211"/>
      <c r="R573" s="211"/>
      <c r="S573" s="133"/>
      <c r="AR573" s="212"/>
      <c r="AS573" s="56"/>
      <c r="AT573" s="213"/>
      <c r="AU573" s="212"/>
      <c r="AV573" s="212"/>
      <c r="AW573" s="212"/>
    </row>
    <row r="574">
      <c r="H574" s="211"/>
      <c r="I574" s="211"/>
      <c r="J574" s="211"/>
      <c r="K574" s="211"/>
      <c r="L574" s="211"/>
      <c r="M574" s="211"/>
      <c r="N574" s="211"/>
      <c r="O574" s="211"/>
      <c r="P574" s="211"/>
      <c r="Q574" s="211"/>
      <c r="R574" s="211"/>
      <c r="S574" s="133"/>
      <c r="AR574" s="212"/>
      <c r="AS574" s="56"/>
      <c r="AT574" s="213"/>
      <c r="AU574" s="212"/>
      <c r="AV574" s="212"/>
      <c r="AW574" s="212"/>
    </row>
    <row r="575">
      <c r="H575" s="211"/>
      <c r="I575" s="211"/>
      <c r="J575" s="211"/>
      <c r="K575" s="211"/>
      <c r="L575" s="211"/>
      <c r="M575" s="211"/>
      <c r="N575" s="211"/>
      <c r="O575" s="211"/>
      <c r="P575" s="211"/>
      <c r="Q575" s="211"/>
      <c r="R575" s="211"/>
      <c r="S575" s="133"/>
      <c r="AR575" s="212"/>
      <c r="AS575" s="56"/>
      <c r="AT575" s="213"/>
      <c r="AU575" s="212"/>
      <c r="AV575" s="212"/>
      <c r="AW575" s="212"/>
    </row>
    <row r="576">
      <c r="H576" s="211"/>
      <c r="I576" s="211"/>
      <c r="J576" s="211"/>
      <c r="K576" s="211"/>
      <c r="L576" s="211"/>
      <c r="M576" s="211"/>
      <c r="N576" s="211"/>
      <c r="O576" s="211"/>
      <c r="P576" s="211"/>
      <c r="Q576" s="211"/>
      <c r="R576" s="211"/>
      <c r="S576" s="133"/>
      <c r="AR576" s="212"/>
      <c r="AS576" s="56"/>
      <c r="AT576" s="213"/>
      <c r="AU576" s="212"/>
      <c r="AV576" s="212"/>
      <c r="AW576" s="212"/>
    </row>
    <row r="577">
      <c r="H577" s="211"/>
      <c r="I577" s="211"/>
      <c r="J577" s="211"/>
      <c r="K577" s="211"/>
      <c r="L577" s="211"/>
      <c r="M577" s="211"/>
      <c r="N577" s="211"/>
      <c r="O577" s="211"/>
      <c r="P577" s="211"/>
      <c r="Q577" s="211"/>
      <c r="R577" s="211"/>
      <c r="S577" s="133"/>
      <c r="AR577" s="212"/>
      <c r="AS577" s="56"/>
      <c r="AT577" s="213"/>
      <c r="AU577" s="212"/>
      <c r="AV577" s="212"/>
      <c r="AW577" s="212"/>
    </row>
    <row r="578">
      <c r="H578" s="211"/>
      <c r="I578" s="211"/>
      <c r="J578" s="211"/>
      <c r="K578" s="211"/>
      <c r="L578" s="211"/>
      <c r="M578" s="211"/>
      <c r="N578" s="211"/>
      <c r="O578" s="211"/>
      <c r="P578" s="211"/>
      <c r="Q578" s="211"/>
      <c r="R578" s="211"/>
      <c r="S578" s="133"/>
      <c r="AR578" s="212"/>
      <c r="AS578" s="56"/>
      <c r="AT578" s="213"/>
      <c r="AU578" s="212"/>
      <c r="AV578" s="212"/>
      <c r="AW578" s="212"/>
    </row>
    <row r="579">
      <c r="H579" s="211"/>
      <c r="I579" s="211"/>
      <c r="J579" s="211"/>
      <c r="K579" s="211"/>
      <c r="L579" s="211"/>
      <c r="M579" s="211"/>
      <c r="N579" s="211"/>
      <c r="O579" s="211"/>
      <c r="P579" s="211"/>
      <c r="Q579" s="211"/>
      <c r="R579" s="211"/>
      <c r="S579" s="133"/>
      <c r="AR579" s="212"/>
      <c r="AS579" s="56"/>
      <c r="AT579" s="213"/>
      <c r="AU579" s="212"/>
      <c r="AV579" s="212"/>
      <c r="AW579" s="212"/>
    </row>
    <row r="580">
      <c r="H580" s="211"/>
      <c r="I580" s="211"/>
      <c r="J580" s="211"/>
      <c r="K580" s="211"/>
      <c r="L580" s="211"/>
      <c r="M580" s="211"/>
      <c r="N580" s="211"/>
      <c r="O580" s="211"/>
      <c r="P580" s="211"/>
      <c r="Q580" s="211"/>
      <c r="R580" s="211"/>
      <c r="S580" s="133"/>
      <c r="AR580" s="212"/>
      <c r="AS580" s="56"/>
      <c r="AT580" s="213"/>
      <c r="AU580" s="212"/>
      <c r="AV580" s="212"/>
      <c r="AW580" s="212"/>
    </row>
    <row r="581">
      <c r="H581" s="211"/>
      <c r="I581" s="211"/>
      <c r="J581" s="211"/>
      <c r="K581" s="211"/>
      <c r="L581" s="211"/>
      <c r="M581" s="211"/>
      <c r="N581" s="211"/>
      <c r="O581" s="211"/>
      <c r="P581" s="211"/>
      <c r="Q581" s="211"/>
      <c r="R581" s="211"/>
      <c r="S581" s="133"/>
      <c r="AR581" s="212"/>
      <c r="AS581" s="56"/>
      <c r="AT581" s="213"/>
      <c r="AU581" s="212"/>
      <c r="AV581" s="212"/>
      <c r="AW581" s="212"/>
    </row>
    <row r="582">
      <c r="H582" s="211"/>
      <c r="I582" s="211"/>
      <c r="J582" s="211"/>
      <c r="K582" s="211"/>
      <c r="L582" s="211"/>
      <c r="M582" s="211"/>
      <c r="N582" s="211"/>
      <c r="O582" s="211"/>
      <c r="P582" s="211"/>
      <c r="Q582" s="211"/>
      <c r="R582" s="211"/>
      <c r="S582" s="133"/>
      <c r="AR582" s="212"/>
      <c r="AS582" s="56"/>
      <c r="AT582" s="213"/>
      <c r="AU582" s="212"/>
      <c r="AV582" s="212"/>
      <c r="AW582" s="212"/>
    </row>
    <row r="583">
      <c r="H583" s="211"/>
      <c r="I583" s="211"/>
      <c r="J583" s="211"/>
      <c r="K583" s="211"/>
      <c r="L583" s="211"/>
      <c r="M583" s="211"/>
      <c r="N583" s="211"/>
      <c r="O583" s="211"/>
      <c r="P583" s="211"/>
      <c r="Q583" s="211"/>
      <c r="R583" s="211"/>
      <c r="S583" s="133"/>
      <c r="AR583" s="212"/>
      <c r="AS583" s="56"/>
      <c r="AT583" s="213"/>
      <c r="AU583" s="212"/>
      <c r="AV583" s="212"/>
      <c r="AW583" s="212"/>
    </row>
    <row r="584">
      <c r="H584" s="211"/>
      <c r="I584" s="211"/>
      <c r="J584" s="211"/>
      <c r="K584" s="211"/>
      <c r="L584" s="211"/>
      <c r="M584" s="211"/>
      <c r="N584" s="211"/>
      <c r="O584" s="211"/>
      <c r="P584" s="211"/>
      <c r="Q584" s="211"/>
      <c r="R584" s="211"/>
      <c r="S584" s="133"/>
      <c r="AR584" s="212"/>
      <c r="AS584" s="56"/>
      <c r="AT584" s="213"/>
      <c r="AU584" s="212"/>
      <c r="AV584" s="212"/>
      <c r="AW584" s="212"/>
    </row>
    <row r="585">
      <c r="H585" s="211"/>
      <c r="I585" s="211"/>
      <c r="J585" s="211"/>
      <c r="K585" s="211"/>
      <c r="L585" s="211"/>
      <c r="M585" s="211"/>
      <c r="N585" s="211"/>
      <c r="O585" s="211"/>
      <c r="P585" s="211"/>
      <c r="Q585" s="211"/>
      <c r="R585" s="211"/>
      <c r="S585" s="133"/>
      <c r="AR585" s="212"/>
      <c r="AS585" s="56"/>
      <c r="AT585" s="213"/>
      <c r="AU585" s="212"/>
      <c r="AV585" s="212"/>
      <c r="AW585" s="212"/>
    </row>
    <row r="586">
      <c r="H586" s="211"/>
      <c r="I586" s="211"/>
      <c r="J586" s="211"/>
      <c r="K586" s="211"/>
      <c r="L586" s="211"/>
      <c r="M586" s="211"/>
      <c r="N586" s="211"/>
      <c r="O586" s="211"/>
      <c r="P586" s="211"/>
      <c r="Q586" s="211"/>
      <c r="R586" s="211"/>
      <c r="S586" s="133"/>
      <c r="AR586" s="212"/>
      <c r="AS586" s="56"/>
      <c r="AT586" s="213"/>
      <c r="AU586" s="212"/>
      <c r="AV586" s="212"/>
      <c r="AW586" s="212"/>
    </row>
    <row r="587">
      <c r="H587" s="211"/>
      <c r="I587" s="211"/>
      <c r="J587" s="211"/>
      <c r="K587" s="211"/>
      <c r="L587" s="211"/>
      <c r="M587" s="211"/>
      <c r="N587" s="211"/>
      <c r="O587" s="211"/>
      <c r="P587" s="211"/>
      <c r="Q587" s="211"/>
      <c r="R587" s="211"/>
      <c r="S587" s="133"/>
      <c r="AR587" s="212"/>
      <c r="AS587" s="56"/>
      <c r="AT587" s="213"/>
      <c r="AU587" s="212"/>
      <c r="AV587" s="212"/>
      <c r="AW587" s="212"/>
    </row>
    <row r="588">
      <c r="H588" s="211"/>
      <c r="I588" s="211"/>
      <c r="J588" s="211"/>
      <c r="K588" s="211"/>
      <c r="L588" s="211"/>
      <c r="M588" s="211"/>
      <c r="N588" s="211"/>
      <c r="O588" s="211"/>
      <c r="P588" s="211"/>
      <c r="Q588" s="211"/>
      <c r="R588" s="211"/>
      <c r="S588" s="133"/>
      <c r="AR588" s="212"/>
      <c r="AS588" s="56"/>
      <c r="AT588" s="213"/>
      <c r="AU588" s="212"/>
      <c r="AV588" s="212"/>
      <c r="AW588" s="212"/>
    </row>
    <row r="589">
      <c r="H589" s="211"/>
      <c r="I589" s="211"/>
      <c r="J589" s="211"/>
      <c r="K589" s="211"/>
      <c r="L589" s="211"/>
      <c r="M589" s="211"/>
      <c r="N589" s="211"/>
      <c r="O589" s="211"/>
      <c r="P589" s="211"/>
      <c r="Q589" s="211"/>
      <c r="R589" s="211"/>
      <c r="S589" s="133"/>
      <c r="AR589" s="212"/>
      <c r="AS589" s="56"/>
      <c r="AT589" s="213"/>
      <c r="AU589" s="212"/>
      <c r="AV589" s="212"/>
      <c r="AW589" s="212"/>
    </row>
    <row r="590">
      <c r="H590" s="211"/>
      <c r="I590" s="211"/>
      <c r="J590" s="211"/>
      <c r="K590" s="211"/>
      <c r="L590" s="211"/>
      <c r="M590" s="211"/>
      <c r="N590" s="211"/>
      <c r="O590" s="211"/>
      <c r="P590" s="211"/>
      <c r="Q590" s="211"/>
      <c r="R590" s="211"/>
      <c r="S590" s="133"/>
      <c r="AR590" s="212"/>
      <c r="AS590" s="56"/>
      <c r="AT590" s="213"/>
      <c r="AU590" s="212"/>
      <c r="AV590" s="212"/>
      <c r="AW590" s="212"/>
    </row>
    <row r="591">
      <c r="H591" s="211"/>
      <c r="I591" s="211"/>
      <c r="J591" s="211"/>
      <c r="K591" s="211"/>
      <c r="L591" s="211"/>
      <c r="M591" s="211"/>
      <c r="N591" s="211"/>
      <c r="O591" s="211"/>
      <c r="P591" s="211"/>
      <c r="Q591" s="211"/>
      <c r="R591" s="211"/>
      <c r="S591" s="133"/>
      <c r="AR591" s="212"/>
      <c r="AS591" s="56"/>
      <c r="AT591" s="213"/>
      <c r="AU591" s="212"/>
      <c r="AV591" s="212"/>
      <c r="AW591" s="212"/>
    </row>
    <row r="592">
      <c r="H592" s="211"/>
      <c r="I592" s="211"/>
      <c r="J592" s="211"/>
      <c r="K592" s="211"/>
      <c r="L592" s="211"/>
      <c r="M592" s="211"/>
      <c r="N592" s="211"/>
      <c r="O592" s="211"/>
      <c r="P592" s="211"/>
      <c r="Q592" s="211"/>
      <c r="R592" s="211"/>
      <c r="S592" s="133"/>
      <c r="AR592" s="212"/>
      <c r="AS592" s="56"/>
      <c r="AT592" s="213"/>
      <c r="AU592" s="212"/>
      <c r="AV592" s="212"/>
      <c r="AW592" s="212"/>
    </row>
    <row r="593">
      <c r="H593" s="211"/>
      <c r="I593" s="211"/>
      <c r="J593" s="211"/>
      <c r="K593" s="211"/>
      <c r="L593" s="211"/>
      <c r="M593" s="211"/>
      <c r="N593" s="211"/>
      <c r="O593" s="211"/>
      <c r="P593" s="211"/>
      <c r="Q593" s="211"/>
      <c r="R593" s="211"/>
      <c r="S593" s="133"/>
      <c r="AR593" s="212"/>
      <c r="AS593" s="56"/>
      <c r="AT593" s="213"/>
      <c r="AU593" s="212"/>
      <c r="AV593" s="212"/>
      <c r="AW593" s="212"/>
    </row>
    <row r="594">
      <c r="H594" s="211"/>
      <c r="I594" s="211"/>
      <c r="J594" s="211"/>
      <c r="K594" s="211"/>
      <c r="L594" s="211"/>
      <c r="M594" s="211"/>
      <c r="N594" s="211"/>
      <c r="O594" s="211"/>
      <c r="P594" s="211"/>
      <c r="Q594" s="211"/>
      <c r="R594" s="211"/>
      <c r="S594" s="133"/>
      <c r="AR594" s="212"/>
      <c r="AS594" s="56"/>
      <c r="AT594" s="213"/>
      <c r="AU594" s="212"/>
      <c r="AV594" s="212"/>
      <c r="AW594" s="212"/>
    </row>
    <row r="595">
      <c r="H595" s="211"/>
      <c r="I595" s="211"/>
      <c r="J595" s="211"/>
      <c r="K595" s="211"/>
      <c r="L595" s="211"/>
      <c r="M595" s="211"/>
      <c r="N595" s="211"/>
      <c r="O595" s="211"/>
      <c r="P595" s="211"/>
      <c r="Q595" s="211"/>
      <c r="R595" s="211"/>
      <c r="S595" s="133"/>
      <c r="AR595" s="212"/>
      <c r="AS595" s="56"/>
      <c r="AT595" s="213"/>
      <c r="AU595" s="212"/>
      <c r="AV595" s="212"/>
      <c r="AW595" s="212"/>
    </row>
    <row r="596">
      <c r="H596" s="211"/>
      <c r="I596" s="211"/>
      <c r="J596" s="211"/>
      <c r="K596" s="211"/>
      <c r="L596" s="211"/>
      <c r="M596" s="211"/>
      <c r="N596" s="211"/>
      <c r="O596" s="211"/>
      <c r="P596" s="211"/>
      <c r="Q596" s="211"/>
      <c r="R596" s="211"/>
      <c r="S596" s="133"/>
      <c r="AR596" s="212"/>
      <c r="AS596" s="56"/>
      <c r="AT596" s="213"/>
      <c r="AU596" s="212"/>
      <c r="AV596" s="212"/>
      <c r="AW596" s="212"/>
    </row>
    <row r="597">
      <c r="H597" s="211"/>
      <c r="I597" s="211"/>
      <c r="J597" s="211"/>
      <c r="K597" s="211"/>
      <c r="L597" s="211"/>
      <c r="M597" s="211"/>
      <c r="N597" s="211"/>
      <c r="O597" s="211"/>
      <c r="P597" s="211"/>
      <c r="Q597" s="211"/>
      <c r="R597" s="211"/>
      <c r="S597" s="133"/>
      <c r="AR597" s="212"/>
      <c r="AS597" s="56"/>
      <c r="AT597" s="213"/>
      <c r="AU597" s="212"/>
      <c r="AV597" s="212"/>
      <c r="AW597" s="212"/>
    </row>
    <row r="598">
      <c r="H598" s="211"/>
      <c r="I598" s="211"/>
      <c r="J598" s="211"/>
      <c r="K598" s="211"/>
      <c r="L598" s="211"/>
      <c r="M598" s="211"/>
      <c r="N598" s="211"/>
      <c r="O598" s="211"/>
      <c r="P598" s="211"/>
      <c r="Q598" s="211"/>
      <c r="R598" s="211"/>
      <c r="S598" s="133"/>
      <c r="AR598" s="212"/>
      <c r="AS598" s="56"/>
      <c r="AT598" s="213"/>
      <c r="AU598" s="212"/>
      <c r="AV598" s="212"/>
      <c r="AW598" s="212"/>
    </row>
    <row r="599">
      <c r="H599" s="211"/>
      <c r="I599" s="211"/>
      <c r="J599" s="211"/>
      <c r="K599" s="211"/>
      <c r="L599" s="211"/>
      <c r="M599" s="211"/>
      <c r="N599" s="211"/>
      <c r="O599" s="211"/>
      <c r="P599" s="211"/>
      <c r="Q599" s="211"/>
      <c r="R599" s="211"/>
      <c r="S599" s="133"/>
      <c r="AR599" s="212"/>
      <c r="AS599" s="56"/>
      <c r="AT599" s="213"/>
      <c r="AU599" s="212"/>
      <c r="AV599" s="212"/>
      <c r="AW599" s="212"/>
    </row>
    <row r="600">
      <c r="H600" s="211"/>
      <c r="I600" s="211"/>
      <c r="J600" s="211"/>
      <c r="K600" s="211"/>
      <c r="L600" s="211"/>
      <c r="M600" s="211"/>
      <c r="N600" s="211"/>
      <c r="O600" s="211"/>
      <c r="P600" s="211"/>
      <c r="Q600" s="211"/>
      <c r="R600" s="211"/>
      <c r="S600" s="133"/>
      <c r="AR600" s="212"/>
      <c r="AS600" s="56"/>
      <c r="AT600" s="213"/>
      <c r="AU600" s="212"/>
      <c r="AV600" s="212"/>
      <c r="AW600" s="212"/>
    </row>
    <row r="601">
      <c r="H601" s="211"/>
      <c r="I601" s="211"/>
      <c r="J601" s="211"/>
      <c r="K601" s="211"/>
      <c r="L601" s="211"/>
      <c r="M601" s="211"/>
      <c r="N601" s="211"/>
      <c r="O601" s="211"/>
      <c r="P601" s="211"/>
      <c r="Q601" s="211"/>
      <c r="R601" s="211"/>
      <c r="S601" s="133"/>
      <c r="AR601" s="212"/>
      <c r="AS601" s="56"/>
      <c r="AT601" s="213"/>
      <c r="AU601" s="212"/>
      <c r="AV601" s="212"/>
      <c r="AW601" s="212"/>
    </row>
    <row r="602">
      <c r="H602" s="211"/>
      <c r="I602" s="211"/>
      <c r="J602" s="211"/>
      <c r="K602" s="211"/>
      <c r="L602" s="211"/>
      <c r="M602" s="211"/>
      <c r="N602" s="211"/>
      <c r="O602" s="211"/>
      <c r="P602" s="211"/>
      <c r="Q602" s="211"/>
      <c r="R602" s="211"/>
      <c r="S602" s="133"/>
      <c r="AR602" s="212"/>
      <c r="AS602" s="56"/>
      <c r="AT602" s="213"/>
      <c r="AU602" s="212"/>
      <c r="AV602" s="212"/>
      <c r="AW602" s="212"/>
    </row>
    <row r="603">
      <c r="H603" s="211"/>
      <c r="I603" s="211"/>
      <c r="J603" s="211"/>
      <c r="K603" s="211"/>
      <c r="L603" s="211"/>
      <c r="M603" s="211"/>
      <c r="N603" s="211"/>
      <c r="O603" s="211"/>
      <c r="P603" s="211"/>
      <c r="Q603" s="211"/>
      <c r="R603" s="211"/>
      <c r="S603" s="133"/>
      <c r="AR603" s="212"/>
      <c r="AS603" s="56"/>
      <c r="AT603" s="213"/>
      <c r="AU603" s="212"/>
      <c r="AV603" s="212"/>
      <c r="AW603" s="212"/>
    </row>
    <row r="604">
      <c r="H604" s="211"/>
      <c r="I604" s="211"/>
      <c r="J604" s="211"/>
      <c r="K604" s="211"/>
      <c r="L604" s="211"/>
      <c r="M604" s="211"/>
      <c r="N604" s="211"/>
      <c r="O604" s="211"/>
      <c r="P604" s="211"/>
      <c r="Q604" s="211"/>
      <c r="R604" s="211"/>
      <c r="S604" s="133"/>
      <c r="AR604" s="212"/>
      <c r="AS604" s="56"/>
      <c r="AT604" s="213"/>
      <c r="AU604" s="212"/>
      <c r="AV604" s="212"/>
      <c r="AW604" s="212"/>
    </row>
    <row r="605">
      <c r="H605" s="211"/>
      <c r="I605" s="211"/>
      <c r="J605" s="211"/>
      <c r="K605" s="211"/>
      <c r="L605" s="211"/>
      <c r="M605" s="211"/>
      <c r="N605" s="211"/>
      <c r="O605" s="211"/>
      <c r="P605" s="211"/>
      <c r="Q605" s="211"/>
      <c r="R605" s="211"/>
      <c r="S605" s="133"/>
      <c r="AR605" s="212"/>
      <c r="AS605" s="56"/>
      <c r="AT605" s="213"/>
      <c r="AU605" s="212"/>
      <c r="AV605" s="212"/>
      <c r="AW605" s="212"/>
    </row>
    <row r="606">
      <c r="H606" s="211"/>
      <c r="I606" s="211"/>
      <c r="J606" s="211"/>
      <c r="K606" s="211"/>
      <c r="L606" s="211"/>
      <c r="M606" s="211"/>
      <c r="N606" s="211"/>
      <c r="O606" s="211"/>
      <c r="P606" s="211"/>
      <c r="Q606" s="211"/>
      <c r="R606" s="211"/>
      <c r="S606" s="133"/>
      <c r="AR606" s="212"/>
      <c r="AS606" s="56"/>
      <c r="AT606" s="213"/>
      <c r="AU606" s="212"/>
      <c r="AV606" s="212"/>
      <c r="AW606" s="212"/>
    </row>
    <row r="607">
      <c r="H607" s="211"/>
      <c r="I607" s="211"/>
      <c r="J607" s="211"/>
      <c r="K607" s="211"/>
      <c r="L607" s="211"/>
      <c r="M607" s="211"/>
      <c r="N607" s="211"/>
      <c r="O607" s="211"/>
      <c r="P607" s="211"/>
      <c r="Q607" s="211"/>
      <c r="R607" s="211"/>
      <c r="S607" s="133"/>
      <c r="AR607" s="212"/>
      <c r="AS607" s="56"/>
      <c r="AT607" s="213"/>
      <c r="AU607" s="212"/>
      <c r="AV607" s="212"/>
      <c r="AW607" s="212"/>
    </row>
    <row r="608">
      <c r="H608" s="211"/>
      <c r="I608" s="211"/>
      <c r="J608" s="211"/>
      <c r="K608" s="211"/>
      <c r="L608" s="211"/>
      <c r="M608" s="211"/>
      <c r="N608" s="211"/>
      <c r="O608" s="211"/>
      <c r="P608" s="211"/>
      <c r="Q608" s="211"/>
      <c r="R608" s="211"/>
      <c r="S608" s="133"/>
      <c r="AR608" s="212"/>
      <c r="AS608" s="56"/>
      <c r="AT608" s="213"/>
      <c r="AU608" s="212"/>
      <c r="AV608" s="212"/>
      <c r="AW608" s="212"/>
    </row>
    <row r="609">
      <c r="H609" s="211"/>
      <c r="I609" s="211"/>
      <c r="J609" s="211"/>
      <c r="K609" s="211"/>
      <c r="L609" s="211"/>
      <c r="M609" s="211"/>
      <c r="N609" s="211"/>
      <c r="O609" s="211"/>
      <c r="P609" s="211"/>
      <c r="Q609" s="211"/>
      <c r="R609" s="211"/>
      <c r="S609" s="133"/>
      <c r="AR609" s="212"/>
      <c r="AS609" s="56"/>
      <c r="AT609" s="213"/>
      <c r="AU609" s="212"/>
      <c r="AV609" s="212"/>
      <c r="AW609" s="212"/>
    </row>
    <row r="610">
      <c r="H610" s="211"/>
      <c r="I610" s="211"/>
      <c r="J610" s="211"/>
      <c r="K610" s="211"/>
      <c r="L610" s="211"/>
      <c r="M610" s="211"/>
      <c r="N610" s="211"/>
      <c r="O610" s="211"/>
      <c r="P610" s="211"/>
      <c r="Q610" s="211"/>
      <c r="R610" s="211"/>
      <c r="S610" s="133"/>
      <c r="AR610" s="212"/>
      <c r="AS610" s="56"/>
      <c r="AT610" s="213"/>
      <c r="AU610" s="212"/>
      <c r="AV610" s="212"/>
      <c r="AW610" s="212"/>
    </row>
    <row r="611">
      <c r="H611" s="211"/>
      <c r="I611" s="211"/>
      <c r="J611" s="211"/>
      <c r="K611" s="211"/>
      <c r="L611" s="211"/>
      <c r="M611" s="211"/>
      <c r="N611" s="211"/>
      <c r="O611" s="211"/>
      <c r="P611" s="211"/>
      <c r="Q611" s="211"/>
      <c r="R611" s="211"/>
      <c r="S611" s="133"/>
      <c r="AR611" s="212"/>
      <c r="AS611" s="56"/>
      <c r="AT611" s="213"/>
      <c r="AU611" s="212"/>
      <c r="AV611" s="212"/>
      <c r="AW611" s="212"/>
    </row>
    <row r="612">
      <c r="H612" s="211"/>
      <c r="I612" s="211"/>
      <c r="J612" s="211"/>
      <c r="K612" s="211"/>
      <c r="L612" s="211"/>
      <c r="M612" s="211"/>
      <c r="N612" s="211"/>
      <c r="O612" s="211"/>
      <c r="P612" s="211"/>
      <c r="Q612" s="211"/>
      <c r="R612" s="211"/>
      <c r="S612" s="133"/>
      <c r="AR612" s="212"/>
      <c r="AS612" s="56"/>
      <c r="AT612" s="213"/>
      <c r="AU612" s="212"/>
      <c r="AV612" s="212"/>
      <c r="AW612" s="212"/>
    </row>
    <row r="613">
      <c r="H613" s="211"/>
      <c r="I613" s="211"/>
      <c r="J613" s="211"/>
      <c r="K613" s="211"/>
      <c r="L613" s="211"/>
      <c r="M613" s="211"/>
      <c r="N613" s="211"/>
      <c r="O613" s="211"/>
      <c r="P613" s="211"/>
      <c r="Q613" s="211"/>
      <c r="R613" s="211"/>
      <c r="S613" s="133"/>
      <c r="AR613" s="212"/>
      <c r="AS613" s="56"/>
      <c r="AT613" s="213"/>
      <c r="AU613" s="212"/>
      <c r="AV613" s="212"/>
      <c r="AW613" s="212"/>
    </row>
    <row r="614">
      <c r="H614" s="211"/>
      <c r="I614" s="211"/>
      <c r="J614" s="211"/>
      <c r="K614" s="211"/>
      <c r="L614" s="211"/>
      <c r="M614" s="211"/>
      <c r="N614" s="211"/>
      <c r="O614" s="211"/>
      <c r="P614" s="211"/>
      <c r="Q614" s="211"/>
      <c r="R614" s="211"/>
      <c r="S614" s="133"/>
      <c r="AR614" s="212"/>
      <c r="AS614" s="56"/>
      <c r="AT614" s="213"/>
      <c r="AU614" s="212"/>
      <c r="AV614" s="212"/>
      <c r="AW614" s="212"/>
    </row>
    <row r="615">
      <c r="H615" s="211"/>
      <c r="I615" s="211"/>
      <c r="J615" s="211"/>
      <c r="K615" s="211"/>
      <c r="L615" s="211"/>
      <c r="M615" s="211"/>
      <c r="N615" s="211"/>
      <c r="O615" s="211"/>
      <c r="P615" s="211"/>
      <c r="Q615" s="211"/>
      <c r="R615" s="211"/>
      <c r="S615" s="133"/>
      <c r="AR615" s="212"/>
      <c r="AS615" s="56"/>
      <c r="AT615" s="213"/>
      <c r="AU615" s="212"/>
      <c r="AV615" s="212"/>
      <c r="AW615" s="212"/>
    </row>
    <row r="616">
      <c r="H616" s="211"/>
      <c r="I616" s="211"/>
      <c r="J616" s="211"/>
      <c r="K616" s="211"/>
      <c r="L616" s="211"/>
      <c r="M616" s="211"/>
      <c r="N616" s="211"/>
      <c r="O616" s="211"/>
      <c r="P616" s="211"/>
      <c r="Q616" s="211"/>
      <c r="R616" s="211"/>
      <c r="S616" s="133"/>
      <c r="AR616" s="212"/>
      <c r="AS616" s="56"/>
      <c r="AT616" s="213"/>
      <c r="AU616" s="212"/>
      <c r="AV616" s="212"/>
      <c r="AW616" s="212"/>
    </row>
    <row r="617">
      <c r="H617" s="211"/>
      <c r="I617" s="211"/>
      <c r="J617" s="211"/>
      <c r="K617" s="211"/>
      <c r="L617" s="211"/>
      <c r="M617" s="211"/>
      <c r="N617" s="211"/>
      <c r="O617" s="211"/>
      <c r="P617" s="211"/>
      <c r="Q617" s="211"/>
      <c r="R617" s="211"/>
      <c r="S617" s="133"/>
      <c r="AR617" s="212"/>
      <c r="AS617" s="56"/>
      <c r="AT617" s="213"/>
      <c r="AU617" s="212"/>
      <c r="AV617" s="212"/>
      <c r="AW617" s="212"/>
    </row>
    <row r="618">
      <c r="H618" s="211"/>
      <c r="I618" s="211"/>
      <c r="J618" s="211"/>
      <c r="K618" s="211"/>
      <c r="L618" s="211"/>
      <c r="M618" s="211"/>
      <c r="N618" s="211"/>
      <c r="O618" s="211"/>
      <c r="P618" s="211"/>
      <c r="Q618" s="211"/>
      <c r="R618" s="211"/>
      <c r="S618" s="133"/>
      <c r="AR618" s="212"/>
      <c r="AS618" s="56"/>
      <c r="AT618" s="213"/>
      <c r="AU618" s="212"/>
      <c r="AV618" s="212"/>
      <c r="AW618" s="212"/>
    </row>
    <row r="619">
      <c r="H619" s="211"/>
      <c r="I619" s="211"/>
      <c r="J619" s="211"/>
      <c r="K619" s="211"/>
      <c r="L619" s="211"/>
      <c r="M619" s="211"/>
      <c r="N619" s="211"/>
      <c r="O619" s="211"/>
      <c r="P619" s="211"/>
      <c r="Q619" s="211"/>
      <c r="R619" s="211"/>
      <c r="S619" s="133"/>
      <c r="AR619" s="212"/>
      <c r="AS619" s="56"/>
      <c r="AT619" s="213"/>
      <c r="AU619" s="212"/>
      <c r="AV619" s="212"/>
      <c r="AW619" s="212"/>
    </row>
    <row r="620">
      <c r="H620" s="211"/>
      <c r="I620" s="211"/>
      <c r="J620" s="211"/>
      <c r="K620" s="211"/>
      <c r="L620" s="211"/>
      <c r="M620" s="211"/>
      <c r="N620" s="211"/>
      <c r="O620" s="211"/>
      <c r="P620" s="211"/>
      <c r="Q620" s="211"/>
      <c r="R620" s="211"/>
      <c r="S620" s="133"/>
      <c r="AR620" s="212"/>
      <c r="AS620" s="56"/>
      <c r="AT620" s="213"/>
      <c r="AU620" s="212"/>
      <c r="AV620" s="212"/>
      <c r="AW620" s="212"/>
    </row>
    <row r="621">
      <c r="H621" s="211"/>
      <c r="I621" s="211"/>
      <c r="J621" s="211"/>
      <c r="K621" s="211"/>
      <c r="L621" s="211"/>
      <c r="M621" s="211"/>
      <c r="N621" s="211"/>
      <c r="O621" s="211"/>
      <c r="P621" s="211"/>
      <c r="Q621" s="211"/>
      <c r="R621" s="211"/>
      <c r="S621" s="133"/>
      <c r="AR621" s="212"/>
      <c r="AS621" s="56"/>
      <c r="AT621" s="213"/>
      <c r="AU621" s="212"/>
      <c r="AV621" s="212"/>
      <c r="AW621" s="212"/>
    </row>
    <row r="622">
      <c r="H622" s="211"/>
      <c r="I622" s="211"/>
      <c r="J622" s="211"/>
      <c r="K622" s="211"/>
      <c r="L622" s="211"/>
      <c r="M622" s="211"/>
      <c r="N622" s="211"/>
      <c r="O622" s="211"/>
      <c r="P622" s="211"/>
      <c r="Q622" s="211"/>
      <c r="R622" s="211"/>
      <c r="S622" s="133"/>
      <c r="AR622" s="212"/>
      <c r="AS622" s="56"/>
      <c r="AT622" s="213"/>
      <c r="AU622" s="212"/>
      <c r="AV622" s="212"/>
      <c r="AW622" s="212"/>
    </row>
    <row r="623">
      <c r="H623" s="211"/>
      <c r="I623" s="211"/>
      <c r="J623" s="211"/>
      <c r="K623" s="211"/>
      <c r="L623" s="211"/>
      <c r="M623" s="211"/>
      <c r="N623" s="211"/>
      <c r="O623" s="211"/>
      <c r="P623" s="211"/>
      <c r="Q623" s="211"/>
      <c r="R623" s="211"/>
      <c r="S623" s="133"/>
      <c r="AR623" s="212"/>
      <c r="AS623" s="56"/>
      <c r="AT623" s="213"/>
      <c r="AU623" s="212"/>
      <c r="AV623" s="212"/>
      <c r="AW623" s="212"/>
    </row>
    <row r="624">
      <c r="H624" s="211"/>
      <c r="I624" s="211"/>
      <c r="J624" s="211"/>
      <c r="K624" s="211"/>
      <c r="L624" s="211"/>
      <c r="M624" s="211"/>
      <c r="N624" s="211"/>
      <c r="O624" s="211"/>
      <c r="P624" s="211"/>
      <c r="Q624" s="211"/>
      <c r="R624" s="211"/>
      <c r="S624" s="133"/>
      <c r="AR624" s="212"/>
      <c r="AS624" s="56"/>
      <c r="AT624" s="213"/>
      <c r="AU624" s="212"/>
      <c r="AV624" s="212"/>
      <c r="AW624" s="212"/>
    </row>
    <row r="625">
      <c r="H625" s="211"/>
      <c r="I625" s="211"/>
      <c r="J625" s="211"/>
      <c r="K625" s="211"/>
      <c r="L625" s="211"/>
      <c r="M625" s="211"/>
      <c r="N625" s="211"/>
      <c r="O625" s="211"/>
      <c r="P625" s="211"/>
      <c r="Q625" s="211"/>
      <c r="R625" s="211"/>
      <c r="S625" s="133"/>
      <c r="AR625" s="212"/>
      <c r="AS625" s="56"/>
      <c r="AT625" s="213"/>
      <c r="AU625" s="212"/>
      <c r="AV625" s="212"/>
      <c r="AW625" s="212"/>
    </row>
    <row r="626">
      <c r="H626" s="211"/>
      <c r="I626" s="211"/>
      <c r="J626" s="211"/>
      <c r="K626" s="211"/>
      <c r="L626" s="211"/>
      <c r="M626" s="211"/>
      <c r="N626" s="211"/>
      <c r="O626" s="211"/>
      <c r="P626" s="211"/>
      <c r="Q626" s="211"/>
      <c r="R626" s="211"/>
      <c r="S626" s="133"/>
      <c r="AR626" s="212"/>
      <c r="AS626" s="56"/>
      <c r="AT626" s="213"/>
      <c r="AU626" s="212"/>
      <c r="AV626" s="212"/>
      <c r="AW626" s="212"/>
    </row>
    <row r="627">
      <c r="H627" s="211"/>
      <c r="I627" s="211"/>
      <c r="J627" s="211"/>
      <c r="K627" s="211"/>
      <c r="L627" s="211"/>
      <c r="M627" s="211"/>
      <c r="N627" s="211"/>
      <c r="O627" s="211"/>
      <c r="P627" s="211"/>
      <c r="Q627" s="211"/>
      <c r="R627" s="211"/>
      <c r="S627" s="133"/>
      <c r="AR627" s="212"/>
      <c r="AS627" s="56"/>
      <c r="AT627" s="213"/>
      <c r="AU627" s="212"/>
      <c r="AV627" s="212"/>
      <c r="AW627" s="212"/>
    </row>
    <row r="628">
      <c r="H628" s="211"/>
      <c r="I628" s="211"/>
      <c r="J628" s="211"/>
      <c r="K628" s="211"/>
      <c r="L628" s="211"/>
      <c r="M628" s="211"/>
      <c r="N628" s="211"/>
      <c r="O628" s="211"/>
      <c r="P628" s="211"/>
      <c r="Q628" s="211"/>
      <c r="R628" s="211"/>
      <c r="S628" s="133"/>
      <c r="AR628" s="212"/>
      <c r="AS628" s="56"/>
      <c r="AT628" s="213"/>
      <c r="AU628" s="212"/>
      <c r="AV628" s="212"/>
      <c r="AW628" s="212"/>
    </row>
    <row r="629">
      <c r="H629" s="211"/>
      <c r="I629" s="211"/>
      <c r="J629" s="211"/>
      <c r="K629" s="211"/>
      <c r="L629" s="211"/>
      <c r="M629" s="211"/>
      <c r="N629" s="211"/>
      <c r="O629" s="211"/>
      <c r="P629" s="211"/>
      <c r="Q629" s="211"/>
      <c r="R629" s="211"/>
      <c r="S629" s="133"/>
      <c r="AR629" s="212"/>
      <c r="AS629" s="56"/>
      <c r="AT629" s="213"/>
      <c r="AU629" s="212"/>
      <c r="AV629" s="212"/>
      <c r="AW629" s="212"/>
    </row>
    <row r="630">
      <c r="H630" s="211"/>
      <c r="I630" s="211"/>
      <c r="J630" s="211"/>
      <c r="K630" s="211"/>
      <c r="L630" s="211"/>
      <c r="M630" s="211"/>
      <c r="N630" s="211"/>
      <c r="O630" s="211"/>
      <c r="P630" s="211"/>
      <c r="Q630" s="211"/>
      <c r="R630" s="211"/>
      <c r="S630" s="133"/>
      <c r="AR630" s="212"/>
      <c r="AS630" s="56"/>
      <c r="AT630" s="213"/>
      <c r="AU630" s="212"/>
      <c r="AV630" s="212"/>
      <c r="AW630" s="212"/>
    </row>
    <row r="631">
      <c r="H631" s="211"/>
      <c r="I631" s="211"/>
      <c r="J631" s="211"/>
      <c r="K631" s="211"/>
      <c r="L631" s="211"/>
      <c r="M631" s="211"/>
      <c r="N631" s="211"/>
      <c r="O631" s="211"/>
      <c r="P631" s="211"/>
      <c r="Q631" s="211"/>
      <c r="R631" s="211"/>
      <c r="S631" s="133"/>
      <c r="AR631" s="212"/>
      <c r="AS631" s="56"/>
      <c r="AT631" s="213"/>
      <c r="AU631" s="212"/>
      <c r="AV631" s="212"/>
      <c r="AW631" s="212"/>
    </row>
    <row r="632">
      <c r="H632" s="211"/>
      <c r="I632" s="211"/>
      <c r="J632" s="211"/>
      <c r="K632" s="211"/>
      <c r="L632" s="211"/>
      <c r="M632" s="211"/>
      <c r="N632" s="211"/>
      <c r="O632" s="211"/>
      <c r="P632" s="211"/>
      <c r="Q632" s="211"/>
      <c r="R632" s="211"/>
      <c r="S632" s="133"/>
      <c r="AR632" s="212"/>
      <c r="AS632" s="56"/>
      <c r="AT632" s="213"/>
      <c r="AU632" s="212"/>
      <c r="AV632" s="212"/>
      <c r="AW632" s="212"/>
    </row>
    <row r="633">
      <c r="H633" s="211"/>
      <c r="I633" s="211"/>
      <c r="J633" s="211"/>
      <c r="K633" s="211"/>
      <c r="L633" s="211"/>
      <c r="M633" s="211"/>
      <c r="N633" s="211"/>
      <c r="O633" s="211"/>
      <c r="P633" s="211"/>
      <c r="Q633" s="211"/>
      <c r="R633" s="211"/>
      <c r="S633" s="133"/>
      <c r="AR633" s="212"/>
      <c r="AS633" s="56"/>
      <c r="AT633" s="213"/>
      <c r="AU633" s="212"/>
      <c r="AV633" s="212"/>
      <c r="AW633" s="212"/>
    </row>
    <row r="634">
      <c r="H634" s="211"/>
      <c r="I634" s="211"/>
      <c r="J634" s="211"/>
      <c r="K634" s="211"/>
      <c r="L634" s="211"/>
      <c r="M634" s="211"/>
      <c r="N634" s="211"/>
      <c r="O634" s="211"/>
      <c r="P634" s="211"/>
      <c r="Q634" s="211"/>
      <c r="R634" s="211"/>
      <c r="S634" s="133"/>
      <c r="AR634" s="212"/>
      <c r="AS634" s="56"/>
      <c r="AT634" s="213"/>
      <c r="AU634" s="212"/>
      <c r="AV634" s="212"/>
      <c r="AW634" s="212"/>
    </row>
    <row r="635">
      <c r="H635" s="211"/>
      <c r="I635" s="211"/>
      <c r="J635" s="211"/>
      <c r="K635" s="211"/>
      <c r="L635" s="211"/>
      <c r="M635" s="211"/>
      <c r="N635" s="211"/>
      <c r="O635" s="211"/>
      <c r="P635" s="211"/>
      <c r="Q635" s="211"/>
      <c r="R635" s="211"/>
      <c r="S635" s="133"/>
      <c r="AR635" s="212"/>
      <c r="AS635" s="56"/>
      <c r="AT635" s="213"/>
      <c r="AU635" s="212"/>
      <c r="AV635" s="212"/>
      <c r="AW635" s="212"/>
    </row>
    <row r="636">
      <c r="H636" s="211"/>
      <c r="I636" s="211"/>
      <c r="J636" s="211"/>
      <c r="K636" s="211"/>
      <c r="L636" s="211"/>
      <c r="M636" s="211"/>
      <c r="N636" s="211"/>
      <c r="O636" s="211"/>
      <c r="P636" s="211"/>
      <c r="Q636" s="211"/>
      <c r="R636" s="211"/>
      <c r="S636" s="133"/>
      <c r="AR636" s="212"/>
      <c r="AS636" s="56"/>
      <c r="AT636" s="213"/>
      <c r="AU636" s="212"/>
      <c r="AV636" s="212"/>
      <c r="AW636" s="212"/>
    </row>
    <row r="637">
      <c r="H637" s="211"/>
      <c r="I637" s="211"/>
      <c r="J637" s="211"/>
      <c r="K637" s="211"/>
      <c r="L637" s="211"/>
      <c r="M637" s="211"/>
      <c r="N637" s="211"/>
      <c r="O637" s="211"/>
      <c r="P637" s="211"/>
      <c r="Q637" s="211"/>
      <c r="R637" s="211"/>
      <c r="S637" s="133"/>
      <c r="AR637" s="212"/>
      <c r="AS637" s="56"/>
      <c r="AT637" s="213"/>
      <c r="AU637" s="212"/>
      <c r="AV637" s="212"/>
      <c r="AW637" s="212"/>
    </row>
    <row r="638">
      <c r="H638" s="211"/>
      <c r="I638" s="211"/>
      <c r="J638" s="211"/>
      <c r="K638" s="211"/>
      <c r="L638" s="211"/>
      <c r="M638" s="211"/>
      <c r="N638" s="211"/>
      <c r="O638" s="211"/>
      <c r="P638" s="211"/>
      <c r="Q638" s="211"/>
      <c r="R638" s="211"/>
      <c r="S638" s="133"/>
      <c r="AR638" s="212"/>
      <c r="AS638" s="56"/>
      <c r="AT638" s="213"/>
      <c r="AU638" s="212"/>
      <c r="AV638" s="212"/>
      <c r="AW638" s="212"/>
    </row>
    <row r="639">
      <c r="H639" s="211"/>
      <c r="I639" s="211"/>
      <c r="J639" s="211"/>
      <c r="K639" s="211"/>
      <c r="L639" s="211"/>
      <c r="M639" s="211"/>
      <c r="N639" s="211"/>
      <c r="O639" s="211"/>
      <c r="P639" s="211"/>
      <c r="Q639" s="211"/>
      <c r="R639" s="211"/>
      <c r="S639" s="133"/>
      <c r="AR639" s="212"/>
      <c r="AS639" s="56"/>
      <c r="AT639" s="213"/>
      <c r="AU639" s="212"/>
      <c r="AV639" s="212"/>
      <c r="AW639" s="212"/>
    </row>
    <row r="640">
      <c r="H640" s="211"/>
      <c r="I640" s="211"/>
      <c r="J640" s="211"/>
      <c r="K640" s="211"/>
      <c r="L640" s="211"/>
      <c r="M640" s="211"/>
      <c r="N640" s="211"/>
      <c r="O640" s="211"/>
      <c r="P640" s="211"/>
      <c r="Q640" s="211"/>
      <c r="R640" s="211"/>
      <c r="S640" s="133"/>
      <c r="AR640" s="212"/>
      <c r="AS640" s="56"/>
      <c r="AT640" s="213"/>
      <c r="AU640" s="212"/>
      <c r="AV640" s="212"/>
      <c r="AW640" s="212"/>
    </row>
    <row r="641">
      <c r="H641" s="211"/>
      <c r="I641" s="211"/>
      <c r="J641" s="211"/>
      <c r="K641" s="211"/>
      <c r="L641" s="211"/>
      <c r="M641" s="211"/>
      <c r="N641" s="211"/>
      <c r="O641" s="211"/>
      <c r="P641" s="211"/>
      <c r="Q641" s="211"/>
      <c r="R641" s="211"/>
      <c r="S641" s="133"/>
      <c r="AR641" s="212"/>
      <c r="AS641" s="56"/>
      <c r="AT641" s="213"/>
      <c r="AU641" s="212"/>
      <c r="AV641" s="212"/>
      <c r="AW641" s="212"/>
    </row>
    <row r="642">
      <c r="H642" s="211"/>
      <c r="I642" s="211"/>
      <c r="J642" s="211"/>
      <c r="K642" s="211"/>
      <c r="L642" s="211"/>
      <c r="M642" s="211"/>
      <c r="N642" s="211"/>
      <c r="O642" s="211"/>
      <c r="P642" s="211"/>
      <c r="Q642" s="211"/>
      <c r="R642" s="211"/>
      <c r="S642" s="133"/>
      <c r="AR642" s="212"/>
      <c r="AS642" s="56"/>
      <c r="AT642" s="213"/>
      <c r="AU642" s="212"/>
      <c r="AV642" s="212"/>
      <c r="AW642" s="212"/>
    </row>
    <row r="643">
      <c r="H643" s="211"/>
      <c r="I643" s="211"/>
      <c r="J643" s="211"/>
      <c r="K643" s="211"/>
      <c r="L643" s="211"/>
      <c r="M643" s="211"/>
      <c r="N643" s="211"/>
      <c r="O643" s="211"/>
      <c r="P643" s="211"/>
      <c r="Q643" s="211"/>
      <c r="R643" s="211"/>
      <c r="S643" s="133"/>
      <c r="AR643" s="212"/>
      <c r="AS643" s="56"/>
      <c r="AT643" s="213"/>
      <c r="AU643" s="212"/>
      <c r="AV643" s="212"/>
      <c r="AW643" s="212"/>
    </row>
    <row r="644">
      <c r="H644" s="211"/>
      <c r="I644" s="211"/>
      <c r="J644" s="211"/>
      <c r="K644" s="211"/>
      <c r="L644" s="211"/>
      <c r="M644" s="211"/>
      <c r="N644" s="211"/>
      <c r="O644" s="211"/>
      <c r="P644" s="211"/>
      <c r="Q644" s="211"/>
      <c r="R644" s="211"/>
      <c r="S644" s="133"/>
      <c r="AR644" s="212"/>
      <c r="AS644" s="56"/>
      <c r="AT644" s="213"/>
      <c r="AU644" s="212"/>
      <c r="AV644" s="212"/>
      <c r="AW644" s="212"/>
    </row>
    <row r="645">
      <c r="H645" s="211"/>
      <c r="I645" s="211"/>
      <c r="J645" s="211"/>
      <c r="K645" s="211"/>
      <c r="L645" s="211"/>
      <c r="M645" s="211"/>
      <c r="N645" s="211"/>
      <c r="O645" s="211"/>
      <c r="P645" s="211"/>
      <c r="Q645" s="211"/>
      <c r="R645" s="211"/>
      <c r="S645" s="133"/>
      <c r="AR645" s="212"/>
      <c r="AS645" s="56"/>
      <c r="AT645" s="213"/>
      <c r="AU645" s="212"/>
      <c r="AV645" s="212"/>
      <c r="AW645" s="212"/>
    </row>
    <row r="646">
      <c r="H646" s="211"/>
      <c r="I646" s="211"/>
      <c r="J646" s="211"/>
      <c r="K646" s="211"/>
      <c r="L646" s="211"/>
      <c r="M646" s="211"/>
      <c r="N646" s="211"/>
      <c r="O646" s="211"/>
      <c r="P646" s="211"/>
      <c r="Q646" s="211"/>
      <c r="R646" s="211"/>
      <c r="S646" s="133"/>
      <c r="AR646" s="212"/>
      <c r="AS646" s="56"/>
      <c r="AT646" s="213"/>
      <c r="AU646" s="212"/>
      <c r="AV646" s="212"/>
      <c r="AW646" s="212"/>
    </row>
    <row r="647">
      <c r="H647" s="211"/>
      <c r="I647" s="211"/>
      <c r="J647" s="211"/>
      <c r="K647" s="211"/>
      <c r="L647" s="211"/>
      <c r="M647" s="211"/>
      <c r="N647" s="211"/>
      <c r="O647" s="211"/>
      <c r="P647" s="211"/>
      <c r="Q647" s="211"/>
      <c r="R647" s="211"/>
      <c r="S647" s="133"/>
      <c r="AR647" s="212"/>
      <c r="AS647" s="56"/>
      <c r="AT647" s="213"/>
      <c r="AU647" s="212"/>
      <c r="AV647" s="212"/>
      <c r="AW647" s="212"/>
    </row>
    <row r="648">
      <c r="H648" s="211"/>
      <c r="I648" s="211"/>
      <c r="J648" s="211"/>
      <c r="K648" s="211"/>
      <c r="L648" s="211"/>
      <c r="M648" s="211"/>
      <c r="N648" s="211"/>
      <c r="O648" s="211"/>
      <c r="P648" s="211"/>
      <c r="Q648" s="211"/>
      <c r="R648" s="211"/>
      <c r="S648" s="133"/>
      <c r="AR648" s="212"/>
      <c r="AS648" s="56"/>
      <c r="AT648" s="213"/>
      <c r="AU648" s="212"/>
      <c r="AV648" s="212"/>
      <c r="AW648" s="212"/>
    </row>
    <row r="649">
      <c r="H649" s="211"/>
      <c r="I649" s="211"/>
      <c r="J649" s="211"/>
      <c r="K649" s="211"/>
      <c r="L649" s="211"/>
      <c r="M649" s="211"/>
      <c r="N649" s="211"/>
      <c r="O649" s="211"/>
      <c r="P649" s="211"/>
      <c r="Q649" s="211"/>
      <c r="R649" s="211"/>
      <c r="S649" s="133"/>
      <c r="AR649" s="212"/>
      <c r="AS649" s="56"/>
      <c r="AT649" s="213"/>
      <c r="AU649" s="212"/>
      <c r="AV649" s="212"/>
      <c r="AW649" s="212"/>
    </row>
    <row r="650">
      <c r="H650" s="211"/>
      <c r="I650" s="211"/>
      <c r="J650" s="211"/>
      <c r="K650" s="211"/>
      <c r="L650" s="211"/>
      <c r="M650" s="211"/>
      <c r="N650" s="211"/>
      <c r="O650" s="211"/>
      <c r="P650" s="211"/>
      <c r="Q650" s="211"/>
      <c r="R650" s="211"/>
      <c r="S650" s="133"/>
      <c r="AR650" s="212"/>
      <c r="AS650" s="56"/>
      <c r="AT650" s="213"/>
      <c r="AU650" s="212"/>
      <c r="AV650" s="212"/>
      <c r="AW650" s="212"/>
    </row>
    <row r="651">
      <c r="H651" s="211"/>
      <c r="I651" s="211"/>
      <c r="J651" s="211"/>
      <c r="K651" s="211"/>
      <c r="L651" s="211"/>
      <c r="M651" s="211"/>
      <c r="N651" s="211"/>
      <c r="O651" s="211"/>
      <c r="P651" s="211"/>
      <c r="Q651" s="211"/>
      <c r="R651" s="211"/>
      <c r="S651" s="133"/>
      <c r="AR651" s="212"/>
      <c r="AS651" s="56"/>
      <c r="AT651" s="213"/>
      <c r="AU651" s="212"/>
      <c r="AV651" s="212"/>
      <c r="AW651" s="212"/>
    </row>
    <row r="652">
      <c r="H652" s="211"/>
      <c r="I652" s="211"/>
      <c r="J652" s="211"/>
      <c r="K652" s="211"/>
      <c r="L652" s="211"/>
      <c r="M652" s="211"/>
      <c r="N652" s="211"/>
      <c r="O652" s="211"/>
      <c r="P652" s="211"/>
      <c r="Q652" s="211"/>
      <c r="R652" s="211"/>
      <c r="S652" s="133"/>
      <c r="AR652" s="212"/>
      <c r="AS652" s="56"/>
      <c r="AT652" s="213"/>
      <c r="AU652" s="212"/>
      <c r="AV652" s="212"/>
      <c r="AW652" s="212"/>
    </row>
    <row r="653">
      <c r="H653" s="211"/>
      <c r="I653" s="211"/>
      <c r="J653" s="211"/>
      <c r="K653" s="211"/>
      <c r="L653" s="211"/>
      <c r="M653" s="211"/>
      <c r="N653" s="211"/>
      <c r="O653" s="211"/>
      <c r="P653" s="211"/>
      <c r="Q653" s="211"/>
      <c r="R653" s="211"/>
      <c r="S653" s="133"/>
      <c r="AR653" s="212"/>
      <c r="AS653" s="56"/>
      <c r="AT653" s="213"/>
      <c r="AU653" s="212"/>
      <c r="AV653" s="212"/>
      <c r="AW653" s="212"/>
    </row>
    <row r="654">
      <c r="H654" s="211"/>
      <c r="I654" s="211"/>
      <c r="J654" s="211"/>
      <c r="K654" s="211"/>
      <c r="L654" s="211"/>
      <c r="M654" s="211"/>
      <c r="N654" s="211"/>
      <c r="O654" s="211"/>
      <c r="P654" s="211"/>
      <c r="Q654" s="211"/>
      <c r="R654" s="211"/>
      <c r="S654" s="133"/>
      <c r="AR654" s="212"/>
      <c r="AS654" s="56"/>
      <c r="AT654" s="213"/>
      <c r="AU654" s="212"/>
      <c r="AV654" s="212"/>
      <c r="AW654" s="212"/>
    </row>
    <row r="655">
      <c r="H655" s="211"/>
      <c r="I655" s="211"/>
      <c r="J655" s="211"/>
      <c r="K655" s="211"/>
      <c r="L655" s="211"/>
      <c r="M655" s="211"/>
      <c r="N655" s="211"/>
      <c r="O655" s="211"/>
      <c r="P655" s="211"/>
      <c r="Q655" s="211"/>
      <c r="R655" s="211"/>
      <c r="S655" s="133"/>
      <c r="AR655" s="212"/>
      <c r="AS655" s="56"/>
      <c r="AT655" s="213"/>
      <c r="AU655" s="212"/>
      <c r="AV655" s="212"/>
      <c r="AW655" s="212"/>
    </row>
    <row r="656">
      <c r="H656" s="211"/>
      <c r="I656" s="211"/>
      <c r="J656" s="211"/>
      <c r="K656" s="211"/>
      <c r="L656" s="211"/>
      <c r="M656" s="211"/>
      <c r="N656" s="211"/>
      <c r="O656" s="211"/>
      <c r="P656" s="211"/>
      <c r="Q656" s="211"/>
      <c r="R656" s="211"/>
      <c r="S656" s="133"/>
      <c r="AR656" s="212"/>
      <c r="AS656" s="56"/>
      <c r="AT656" s="213"/>
      <c r="AU656" s="212"/>
      <c r="AV656" s="212"/>
      <c r="AW656" s="212"/>
    </row>
    <row r="657">
      <c r="H657" s="211"/>
      <c r="I657" s="211"/>
      <c r="J657" s="211"/>
      <c r="K657" s="211"/>
      <c r="L657" s="211"/>
      <c r="M657" s="211"/>
      <c r="N657" s="211"/>
      <c r="O657" s="211"/>
      <c r="P657" s="211"/>
      <c r="Q657" s="211"/>
      <c r="R657" s="211"/>
      <c r="S657" s="133"/>
      <c r="AR657" s="212"/>
      <c r="AS657" s="56"/>
      <c r="AT657" s="213"/>
      <c r="AU657" s="212"/>
      <c r="AV657" s="212"/>
      <c r="AW657" s="212"/>
    </row>
    <row r="658">
      <c r="H658" s="211"/>
      <c r="I658" s="211"/>
      <c r="J658" s="211"/>
      <c r="K658" s="211"/>
      <c r="L658" s="211"/>
      <c r="M658" s="211"/>
      <c r="N658" s="211"/>
      <c r="O658" s="211"/>
      <c r="P658" s="211"/>
      <c r="Q658" s="211"/>
      <c r="R658" s="211"/>
      <c r="S658" s="133"/>
      <c r="AR658" s="212"/>
      <c r="AS658" s="56"/>
      <c r="AT658" s="213"/>
      <c r="AU658" s="212"/>
      <c r="AV658" s="212"/>
      <c r="AW658" s="212"/>
    </row>
    <row r="659">
      <c r="H659" s="211"/>
      <c r="I659" s="211"/>
      <c r="J659" s="211"/>
      <c r="K659" s="211"/>
      <c r="L659" s="211"/>
      <c r="M659" s="211"/>
      <c r="N659" s="211"/>
      <c r="O659" s="211"/>
      <c r="P659" s="211"/>
      <c r="Q659" s="211"/>
      <c r="R659" s="211"/>
      <c r="S659" s="133"/>
      <c r="AR659" s="212"/>
      <c r="AS659" s="56"/>
      <c r="AT659" s="213"/>
      <c r="AU659" s="212"/>
      <c r="AV659" s="212"/>
      <c r="AW659" s="212"/>
    </row>
    <row r="660">
      <c r="H660" s="211"/>
      <c r="I660" s="211"/>
      <c r="J660" s="211"/>
      <c r="K660" s="211"/>
      <c r="L660" s="211"/>
      <c r="M660" s="211"/>
      <c r="N660" s="211"/>
      <c r="O660" s="211"/>
      <c r="P660" s="211"/>
      <c r="Q660" s="211"/>
      <c r="R660" s="211"/>
      <c r="S660" s="133"/>
      <c r="AR660" s="212"/>
      <c r="AS660" s="56"/>
      <c r="AT660" s="213"/>
      <c r="AU660" s="212"/>
      <c r="AV660" s="212"/>
      <c r="AW660" s="212"/>
    </row>
    <row r="661">
      <c r="H661" s="211"/>
      <c r="I661" s="211"/>
      <c r="J661" s="211"/>
      <c r="K661" s="211"/>
      <c r="L661" s="211"/>
      <c r="M661" s="211"/>
      <c r="N661" s="211"/>
      <c r="O661" s="211"/>
      <c r="P661" s="211"/>
      <c r="Q661" s="211"/>
      <c r="R661" s="211"/>
      <c r="S661" s="133"/>
      <c r="AR661" s="212"/>
      <c r="AS661" s="56"/>
      <c r="AT661" s="213"/>
      <c r="AU661" s="212"/>
      <c r="AV661" s="212"/>
      <c r="AW661" s="212"/>
    </row>
    <row r="662">
      <c r="H662" s="211"/>
      <c r="I662" s="211"/>
      <c r="J662" s="211"/>
      <c r="K662" s="211"/>
      <c r="L662" s="211"/>
      <c r="M662" s="211"/>
      <c r="N662" s="211"/>
      <c r="O662" s="211"/>
      <c r="P662" s="211"/>
      <c r="Q662" s="211"/>
      <c r="R662" s="211"/>
      <c r="S662" s="133"/>
      <c r="AR662" s="212"/>
      <c r="AS662" s="56"/>
      <c r="AT662" s="213"/>
      <c r="AU662" s="212"/>
      <c r="AV662" s="212"/>
      <c r="AW662" s="212"/>
    </row>
    <row r="663">
      <c r="H663" s="211"/>
      <c r="I663" s="211"/>
      <c r="J663" s="211"/>
      <c r="K663" s="211"/>
      <c r="L663" s="211"/>
      <c r="M663" s="211"/>
      <c r="N663" s="211"/>
      <c r="O663" s="211"/>
      <c r="P663" s="211"/>
      <c r="Q663" s="211"/>
      <c r="R663" s="211"/>
      <c r="S663" s="133"/>
      <c r="AR663" s="212"/>
      <c r="AS663" s="56"/>
      <c r="AT663" s="213"/>
      <c r="AU663" s="212"/>
      <c r="AV663" s="212"/>
      <c r="AW663" s="212"/>
    </row>
    <row r="664">
      <c r="H664" s="211"/>
      <c r="I664" s="211"/>
      <c r="J664" s="211"/>
      <c r="K664" s="211"/>
      <c r="L664" s="211"/>
      <c r="M664" s="211"/>
      <c r="N664" s="211"/>
      <c r="O664" s="211"/>
      <c r="P664" s="211"/>
      <c r="Q664" s="211"/>
      <c r="R664" s="211"/>
      <c r="S664" s="133"/>
      <c r="AR664" s="212"/>
      <c r="AS664" s="56"/>
      <c r="AT664" s="213"/>
      <c r="AU664" s="212"/>
      <c r="AV664" s="212"/>
      <c r="AW664" s="212"/>
    </row>
    <row r="665">
      <c r="H665" s="211"/>
      <c r="I665" s="211"/>
      <c r="J665" s="211"/>
      <c r="K665" s="211"/>
      <c r="L665" s="211"/>
      <c r="M665" s="211"/>
      <c r="N665" s="211"/>
      <c r="O665" s="211"/>
      <c r="P665" s="211"/>
      <c r="Q665" s="211"/>
      <c r="R665" s="211"/>
      <c r="S665" s="133"/>
      <c r="AR665" s="212"/>
      <c r="AS665" s="56"/>
      <c r="AT665" s="213"/>
      <c r="AU665" s="212"/>
      <c r="AV665" s="212"/>
      <c r="AW665" s="212"/>
    </row>
    <row r="666">
      <c r="H666" s="211"/>
      <c r="I666" s="211"/>
      <c r="J666" s="211"/>
      <c r="K666" s="211"/>
      <c r="L666" s="211"/>
      <c r="M666" s="211"/>
      <c r="N666" s="211"/>
      <c r="O666" s="211"/>
      <c r="P666" s="211"/>
      <c r="Q666" s="211"/>
      <c r="R666" s="211"/>
      <c r="S666" s="133"/>
      <c r="AR666" s="212"/>
      <c r="AS666" s="56"/>
      <c r="AT666" s="213"/>
      <c r="AU666" s="212"/>
      <c r="AV666" s="212"/>
      <c r="AW666" s="212"/>
    </row>
    <row r="667">
      <c r="H667" s="211"/>
      <c r="I667" s="211"/>
      <c r="J667" s="211"/>
      <c r="K667" s="211"/>
      <c r="L667" s="211"/>
      <c r="M667" s="211"/>
      <c r="N667" s="211"/>
      <c r="O667" s="211"/>
      <c r="P667" s="211"/>
      <c r="Q667" s="211"/>
      <c r="R667" s="211"/>
      <c r="S667" s="133"/>
      <c r="AR667" s="212"/>
      <c r="AS667" s="56"/>
      <c r="AT667" s="213"/>
      <c r="AU667" s="212"/>
      <c r="AV667" s="212"/>
      <c r="AW667" s="212"/>
    </row>
    <row r="668">
      <c r="H668" s="211"/>
      <c r="I668" s="211"/>
      <c r="J668" s="211"/>
      <c r="K668" s="211"/>
      <c r="L668" s="211"/>
      <c r="M668" s="211"/>
      <c r="N668" s="211"/>
      <c r="O668" s="211"/>
      <c r="P668" s="211"/>
      <c r="Q668" s="211"/>
      <c r="R668" s="211"/>
      <c r="S668" s="133"/>
      <c r="AR668" s="212"/>
      <c r="AS668" s="56"/>
      <c r="AT668" s="213"/>
      <c r="AU668" s="212"/>
      <c r="AV668" s="212"/>
      <c r="AW668" s="212"/>
    </row>
    <row r="669">
      <c r="H669" s="211"/>
      <c r="I669" s="211"/>
      <c r="J669" s="211"/>
      <c r="K669" s="211"/>
      <c r="L669" s="211"/>
      <c r="M669" s="211"/>
      <c r="N669" s="211"/>
      <c r="O669" s="211"/>
      <c r="P669" s="211"/>
      <c r="Q669" s="211"/>
      <c r="R669" s="211"/>
      <c r="S669" s="133"/>
      <c r="AR669" s="212"/>
      <c r="AS669" s="56"/>
      <c r="AT669" s="213"/>
      <c r="AU669" s="212"/>
      <c r="AV669" s="212"/>
      <c r="AW669" s="212"/>
    </row>
    <row r="670">
      <c r="H670" s="211"/>
      <c r="I670" s="211"/>
      <c r="J670" s="211"/>
      <c r="K670" s="211"/>
      <c r="L670" s="211"/>
      <c r="M670" s="211"/>
      <c r="N670" s="211"/>
      <c r="O670" s="211"/>
      <c r="P670" s="211"/>
      <c r="Q670" s="211"/>
      <c r="R670" s="211"/>
      <c r="S670" s="133"/>
      <c r="AR670" s="212"/>
      <c r="AS670" s="56"/>
      <c r="AT670" s="213"/>
      <c r="AU670" s="212"/>
      <c r="AV670" s="212"/>
      <c r="AW670" s="212"/>
    </row>
    <row r="671">
      <c r="H671" s="211"/>
      <c r="I671" s="211"/>
      <c r="J671" s="211"/>
      <c r="K671" s="211"/>
      <c r="L671" s="211"/>
      <c r="M671" s="211"/>
      <c r="N671" s="211"/>
      <c r="O671" s="211"/>
      <c r="P671" s="211"/>
      <c r="Q671" s="211"/>
      <c r="R671" s="211"/>
      <c r="S671" s="133"/>
      <c r="AR671" s="212"/>
      <c r="AS671" s="56"/>
      <c r="AT671" s="213"/>
      <c r="AU671" s="212"/>
      <c r="AV671" s="212"/>
      <c r="AW671" s="212"/>
    </row>
    <row r="672">
      <c r="H672" s="211"/>
      <c r="I672" s="211"/>
      <c r="J672" s="211"/>
      <c r="K672" s="211"/>
      <c r="L672" s="211"/>
      <c r="M672" s="211"/>
      <c r="N672" s="211"/>
      <c r="O672" s="211"/>
      <c r="P672" s="211"/>
      <c r="Q672" s="211"/>
      <c r="R672" s="211"/>
      <c r="S672" s="133"/>
      <c r="AR672" s="212"/>
      <c r="AS672" s="56"/>
      <c r="AT672" s="213"/>
      <c r="AU672" s="212"/>
      <c r="AV672" s="212"/>
      <c r="AW672" s="212"/>
    </row>
    <row r="673">
      <c r="H673" s="211"/>
      <c r="I673" s="211"/>
      <c r="J673" s="211"/>
      <c r="K673" s="211"/>
      <c r="L673" s="211"/>
      <c r="M673" s="211"/>
      <c r="N673" s="211"/>
      <c r="O673" s="211"/>
      <c r="P673" s="211"/>
      <c r="Q673" s="211"/>
      <c r="R673" s="211"/>
      <c r="S673" s="133"/>
      <c r="AR673" s="212"/>
      <c r="AS673" s="56"/>
      <c r="AT673" s="213"/>
      <c r="AU673" s="212"/>
      <c r="AV673" s="212"/>
      <c r="AW673" s="212"/>
    </row>
    <row r="674">
      <c r="H674" s="211"/>
      <c r="I674" s="211"/>
      <c r="J674" s="211"/>
      <c r="K674" s="211"/>
      <c r="L674" s="211"/>
      <c r="M674" s="211"/>
      <c r="N674" s="211"/>
      <c r="O674" s="211"/>
      <c r="P674" s="211"/>
      <c r="Q674" s="211"/>
      <c r="R674" s="211"/>
      <c r="S674" s="133"/>
      <c r="AR674" s="212"/>
      <c r="AS674" s="56"/>
      <c r="AT674" s="213"/>
      <c r="AU674" s="212"/>
      <c r="AV674" s="212"/>
      <c r="AW674" s="212"/>
    </row>
    <row r="675">
      <c r="H675" s="211"/>
      <c r="I675" s="211"/>
      <c r="J675" s="211"/>
      <c r="K675" s="211"/>
      <c r="L675" s="211"/>
      <c r="M675" s="211"/>
      <c r="N675" s="211"/>
      <c r="O675" s="211"/>
      <c r="P675" s="211"/>
      <c r="Q675" s="211"/>
      <c r="R675" s="211"/>
      <c r="S675" s="133"/>
      <c r="AR675" s="212"/>
      <c r="AS675" s="56"/>
      <c r="AT675" s="213"/>
      <c r="AU675" s="212"/>
      <c r="AV675" s="212"/>
      <c r="AW675" s="212"/>
    </row>
    <row r="676">
      <c r="H676" s="211"/>
      <c r="I676" s="211"/>
      <c r="J676" s="211"/>
      <c r="K676" s="211"/>
      <c r="L676" s="211"/>
      <c r="M676" s="211"/>
      <c r="N676" s="211"/>
      <c r="O676" s="211"/>
      <c r="P676" s="211"/>
      <c r="Q676" s="211"/>
      <c r="R676" s="211"/>
      <c r="S676" s="133"/>
      <c r="AR676" s="212"/>
      <c r="AS676" s="56"/>
      <c r="AT676" s="213"/>
      <c r="AU676" s="212"/>
      <c r="AV676" s="212"/>
      <c r="AW676" s="212"/>
    </row>
    <row r="677">
      <c r="H677" s="211"/>
      <c r="I677" s="211"/>
      <c r="J677" s="211"/>
      <c r="K677" s="211"/>
      <c r="L677" s="211"/>
      <c r="M677" s="211"/>
      <c r="N677" s="211"/>
      <c r="O677" s="211"/>
      <c r="P677" s="211"/>
      <c r="Q677" s="211"/>
      <c r="R677" s="211"/>
      <c r="S677" s="133"/>
      <c r="AR677" s="212"/>
      <c r="AS677" s="56"/>
      <c r="AT677" s="213"/>
      <c r="AU677" s="212"/>
      <c r="AV677" s="212"/>
      <c r="AW677" s="212"/>
    </row>
    <row r="678">
      <c r="H678" s="211"/>
      <c r="I678" s="211"/>
      <c r="J678" s="211"/>
      <c r="K678" s="211"/>
      <c r="L678" s="211"/>
      <c r="M678" s="211"/>
      <c r="N678" s="211"/>
      <c r="O678" s="211"/>
      <c r="P678" s="211"/>
      <c r="Q678" s="211"/>
      <c r="R678" s="211"/>
      <c r="S678" s="133"/>
      <c r="AR678" s="212"/>
      <c r="AS678" s="56"/>
      <c r="AT678" s="213"/>
      <c r="AU678" s="212"/>
      <c r="AV678" s="212"/>
      <c r="AW678" s="212"/>
    </row>
    <row r="679">
      <c r="H679" s="211"/>
      <c r="I679" s="211"/>
      <c r="J679" s="211"/>
      <c r="K679" s="211"/>
      <c r="L679" s="211"/>
      <c r="M679" s="211"/>
      <c r="N679" s="211"/>
      <c r="O679" s="211"/>
      <c r="P679" s="211"/>
      <c r="Q679" s="211"/>
      <c r="R679" s="211"/>
      <c r="S679" s="133"/>
      <c r="AR679" s="212"/>
      <c r="AS679" s="56"/>
      <c r="AT679" s="213"/>
      <c r="AU679" s="212"/>
      <c r="AV679" s="212"/>
      <c r="AW679" s="212"/>
    </row>
    <row r="680">
      <c r="H680" s="211"/>
      <c r="I680" s="211"/>
      <c r="J680" s="211"/>
      <c r="K680" s="211"/>
      <c r="L680" s="211"/>
      <c r="M680" s="211"/>
      <c r="N680" s="211"/>
      <c r="O680" s="211"/>
      <c r="P680" s="211"/>
      <c r="Q680" s="211"/>
      <c r="R680" s="211"/>
      <c r="S680" s="133"/>
      <c r="AR680" s="212"/>
      <c r="AS680" s="56"/>
      <c r="AT680" s="213"/>
      <c r="AU680" s="212"/>
      <c r="AV680" s="212"/>
      <c r="AW680" s="212"/>
    </row>
    <row r="681">
      <c r="H681" s="211"/>
      <c r="I681" s="211"/>
      <c r="J681" s="211"/>
      <c r="K681" s="211"/>
      <c r="L681" s="211"/>
      <c r="M681" s="211"/>
      <c r="N681" s="211"/>
      <c r="O681" s="211"/>
      <c r="P681" s="211"/>
      <c r="Q681" s="211"/>
      <c r="R681" s="211"/>
      <c r="S681" s="133"/>
      <c r="AR681" s="212"/>
      <c r="AS681" s="56"/>
      <c r="AT681" s="213"/>
      <c r="AU681" s="212"/>
      <c r="AV681" s="212"/>
      <c r="AW681" s="212"/>
    </row>
    <row r="682">
      <c r="H682" s="211"/>
      <c r="I682" s="211"/>
      <c r="J682" s="211"/>
      <c r="K682" s="211"/>
      <c r="L682" s="211"/>
      <c r="M682" s="211"/>
      <c r="N682" s="211"/>
      <c r="O682" s="211"/>
      <c r="P682" s="211"/>
      <c r="Q682" s="211"/>
      <c r="R682" s="211"/>
      <c r="S682" s="133"/>
      <c r="AR682" s="212"/>
      <c r="AS682" s="56"/>
      <c r="AT682" s="213"/>
      <c r="AU682" s="212"/>
      <c r="AV682" s="212"/>
      <c r="AW682" s="212"/>
    </row>
    <row r="683">
      <c r="H683" s="211"/>
      <c r="I683" s="211"/>
      <c r="J683" s="211"/>
      <c r="K683" s="211"/>
      <c r="L683" s="211"/>
      <c r="M683" s="211"/>
      <c r="N683" s="211"/>
      <c r="O683" s="211"/>
      <c r="P683" s="211"/>
      <c r="Q683" s="211"/>
      <c r="R683" s="211"/>
      <c r="S683" s="133"/>
      <c r="AR683" s="212"/>
      <c r="AS683" s="56"/>
      <c r="AT683" s="213"/>
      <c r="AU683" s="212"/>
      <c r="AV683" s="212"/>
      <c r="AW683" s="212"/>
    </row>
    <row r="684">
      <c r="H684" s="211"/>
      <c r="I684" s="211"/>
      <c r="J684" s="211"/>
      <c r="K684" s="211"/>
      <c r="L684" s="211"/>
      <c r="M684" s="211"/>
      <c r="N684" s="211"/>
      <c r="O684" s="211"/>
      <c r="P684" s="211"/>
      <c r="Q684" s="211"/>
      <c r="R684" s="211"/>
      <c r="S684" s="133"/>
      <c r="AR684" s="212"/>
      <c r="AS684" s="56"/>
      <c r="AT684" s="213"/>
      <c r="AU684" s="212"/>
      <c r="AV684" s="212"/>
      <c r="AW684" s="212"/>
    </row>
    <row r="685">
      <c r="H685" s="211"/>
      <c r="I685" s="211"/>
      <c r="J685" s="211"/>
      <c r="K685" s="211"/>
      <c r="L685" s="211"/>
      <c r="M685" s="211"/>
      <c r="N685" s="211"/>
      <c r="O685" s="211"/>
      <c r="P685" s="211"/>
      <c r="Q685" s="211"/>
      <c r="R685" s="211"/>
      <c r="S685" s="133"/>
      <c r="AR685" s="212"/>
      <c r="AS685" s="56"/>
      <c r="AT685" s="213"/>
      <c r="AU685" s="212"/>
      <c r="AV685" s="212"/>
      <c r="AW685" s="212"/>
    </row>
    <row r="686">
      <c r="H686" s="211"/>
      <c r="I686" s="211"/>
      <c r="J686" s="211"/>
      <c r="K686" s="211"/>
      <c r="L686" s="211"/>
      <c r="M686" s="211"/>
      <c r="N686" s="211"/>
      <c r="O686" s="211"/>
      <c r="P686" s="211"/>
      <c r="Q686" s="211"/>
      <c r="R686" s="211"/>
      <c r="S686" s="133"/>
      <c r="AR686" s="212"/>
      <c r="AS686" s="56"/>
      <c r="AT686" s="213"/>
      <c r="AU686" s="212"/>
      <c r="AV686" s="212"/>
      <c r="AW686" s="212"/>
    </row>
    <row r="687">
      <c r="H687" s="211"/>
      <c r="I687" s="211"/>
      <c r="J687" s="211"/>
      <c r="K687" s="211"/>
      <c r="L687" s="211"/>
      <c r="M687" s="211"/>
      <c r="N687" s="211"/>
      <c r="O687" s="211"/>
      <c r="P687" s="211"/>
      <c r="Q687" s="211"/>
      <c r="R687" s="211"/>
      <c r="S687" s="133"/>
      <c r="AR687" s="212"/>
      <c r="AS687" s="56"/>
      <c r="AT687" s="213"/>
      <c r="AU687" s="212"/>
      <c r="AV687" s="212"/>
      <c r="AW687" s="212"/>
    </row>
    <row r="688">
      <c r="H688" s="211"/>
      <c r="I688" s="211"/>
      <c r="J688" s="211"/>
      <c r="K688" s="211"/>
      <c r="L688" s="211"/>
      <c r="M688" s="211"/>
      <c r="N688" s="211"/>
      <c r="O688" s="211"/>
      <c r="P688" s="211"/>
      <c r="Q688" s="211"/>
      <c r="R688" s="211"/>
      <c r="S688" s="133"/>
      <c r="AR688" s="212"/>
      <c r="AS688" s="56"/>
      <c r="AT688" s="213"/>
      <c r="AU688" s="212"/>
      <c r="AV688" s="212"/>
      <c r="AW688" s="212"/>
    </row>
    <row r="689">
      <c r="H689" s="211"/>
      <c r="I689" s="211"/>
      <c r="J689" s="211"/>
      <c r="K689" s="211"/>
      <c r="L689" s="211"/>
      <c r="M689" s="211"/>
      <c r="N689" s="211"/>
      <c r="O689" s="211"/>
      <c r="P689" s="211"/>
      <c r="Q689" s="211"/>
      <c r="R689" s="211"/>
      <c r="S689" s="133"/>
      <c r="AR689" s="212"/>
      <c r="AS689" s="56"/>
      <c r="AT689" s="213"/>
      <c r="AU689" s="212"/>
      <c r="AV689" s="212"/>
      <c r="AW689" s="212"/>
    </row>
    <row r="690">
      <c r="H690" s="211"/>
      <c r="I690" s="211"/>
      <c r="J690" s="211"/>
      <c r="K690" s="211"/>
      <c r="L690" s="211"/>
      <c r="M690" s="211"/>
      <c r="N690" s="211"/>
      <c r="O690" s="211"/>
      <c r="P690" s="211"/>
      <c r="Q690" s="211"/>
      <c r="R690" s="211"/>
      <c r="S690" s="133"/>
      <c r="AR690" s="212"/>
      <c r="AS690" s="56"/>
      <c r="AT690" s="213"/>
      <c r="AU690" s="212"/>
      <c r="AV690" s="212"/>
      <c r="AW690" s="212"/>
    </row>
    <row r="691">
      <c r="H691" s="211"/>
      <c r="I691" s="211"/>
      <c r="J691" s="211"/>
      <c r="K691" s="211"/>
      <c r="L691" s="211"/>
      <c r="M691" s="211"/>
      <c r="N691" s="211"/>
      <c r="O691" s="211"/>
      <c r="P691" s="211"/>
      <c r="Q691" s="211"/>
      <c r="R691" s="211"/>
      <c r="S691" s="133"/>
      <c r="AR691" s="212"/>
      <c r="AS691" s="56"/>
      <c r="AT691" s="213"/>
      <c r="AU691" s="212"/>
      <c r="AV691" s="212"/>
      <c r="AW691" s="212"/>
    </row>
    <row r="692">
      <c r="H692" s="211"/>
      <c r="I692" s="211"/>
      <c r="J692" s="211"/>
      <c r="K692" s="211"/>
      <c r="L692" s="211"/>
      <c r="M692" s="211"/>
      <c r="N692" s="211"/>
      <c r="O692" s="211"/>
      <c r="P692" s="211"/>
      <c r="Q692" s="211"/>
      <c r="R692" s="211"/>
      <c r="S692" s="133"/>
      <c r="AR692" s="212"/>
      <c r="AS692" s="56"/>
      <c r="AT692" s="213"/>
      <c r="AU692" s="212"/>
      <c r="AV692" s="212"/>
      <c r="AW692" s="212"/>
    </row>
    <row r="693">
      <c r="H693" s="211"/>
      <c r="I693" s="211"/>
      <c r="J693" s="211"/>
      <c r="K693" s="211"/>
      <c r="L693" s="211"/>
      <c r="M693" s="211"/>
      <c r="N693" s="211"/>
      <c r="O693" s="211"/>
      <c r="P693" s="211"/>
      <c r="Q693" s="211"/>
      <c r="R693" s="211"/>
      <c r="S693" s="133"/>
      <c r="AR693" s="212"/>
      <c r="AS693" s="56"/>
      <c r="AT693" s="213"/>
      <c r="AU693" s="212"/>
      <c r="AV693" s="212"/>
      <c r="AW693" s="212"/>
    </row>
    <row r="694">
      <c r="H694" s="211"/>
      <c r="I694" s="211"/>
      <c r="J694" s="211"/>
      <c r="K694" s="211"/>
      <c r="L694" s="211"/>
      <c r="M694" s="211"/>
      <c r="N694" s="211"/>
      <c r="O694" s="211"/>
      <c r="P694" s="211"/>
      <c r="Q694" s="211"/>
      <c r="R694" s="211"/>
      <c r="S694" s="133"/>
      <c r="AR694" s="212"/>
      <c r="AS694" s="56"/>
      <c r="AT694" s="213"/>
      <c r="AU694" s="212"/>
      <c r="AV694" s="212"/>
      <c r="AW694" s="212"/>
    </row>
    <row r="695">
      <c r="H695" s="211"/>
      <c r="I695" s="211"/>
      <c r="J695" s="211"/>
      <c r="K695" s="211"/>
      <c r="L695" s="211"/>
      <c r="M695" s="211"/>
      <c r="N695" s="211"/>
      <c r="O695" s="211"/>
      <c r="P695" s="211"/>
      <c r="Q695" s="211"/>
      <c r="R695" s="211"/>
      <c r="S695" s="133"/>
      <c r="AR695" s="212"/>
      <c r="AS695" s="56"/>
      <c r="AT695" s="213"/>
      <c r="AU695" s="212"/>
      <c r="AV695" s="212"/>
      <c r="AW695" s="212"/>
    </row>
    <row r="696">
      <c r="H696" s="211"/>
      <c r="I696" s="211"/>
      <c r="J696" s="211"/>
      <c r="K696" s="211"/>
      <c r="L696" s="211"/>
      <c r="M696" s="211"/>
      <c r="N696" s="211"/>
      <c r="O696" s="211"/>
      <c r="P696" s="211"/>
      <c r="Q696" s="211"/>
      <c r="R696" s="211"/>
      <c r="S696" s="133"/>
      <c r="AR696" s="212"/>
      <c r="AS696" s="56"/>
      <c r="AT696" s="213"/>
      <c r="AU696" s="212"/>
      <c r="AV696" s="212"/>
      <c r="AW696" s="212"/>
    </row>
    <row r="697">
      <c r="H697" s="211"/>
      <c r="I697" s="211"/>
      <c r="J697" s="211"/>
      <c r="K697" s="211"/>
      <c r="L697" s="211"/>
      <c r="M697" s="211"/>
      <c r="N697" s="211"/>
      <c r="O697" s="211"/>
      <c r="P697" s="211"/>
      <c r="Q697" s="211"/>
      <c r="R697" s="211"/>
      <c r="S697" s="133"/>
      <c r="AR697" s="212"/>
      <c r="AS697" s="56"/>
      <c r="AT697" s="213"/>
      <c r="AU697" s="212"/>
      <c r="AV697" s="212"/>
      <c r="AW697" s="212"/>
    </row>
    <row r="698">
      <c r="H698" s="211"/>
      <c r="I698" s="211"/>
      <c r="J698" s="211"/>
      <c r="K698" s="211"/>
      <c r="L698" s="211"/>
      <c r="M698" s="211"/>
      <c r="N698" s="211"/>
      <c r="O698" s="211"/>
      <c r="P698" s="211"/>
      <c r="Q698" s="211"/>
      <c r="R698" s="211"/>
      <c r="S698" s="133"/>
      <c r="AR698" s="212"/>
      <c r="AS698" s="56"/>
      <c r="AT698" s="213"/>
      <c r="AU698" s="212"/>
      <c r="AV698" s="212"/>
      <c r="AW698" s="212"/>
    </row>
    <row r="699">
      <c r="H699" s="211"/>
      <c r="I699" s="211"/>
      <c r="J699" s="211"/>
      <c r="K699" s="211"/>
      <c r="L699" s="211"/>
      <c r="M699" s="211"/>
      <c r="N699" s="211"/>
      <c r="O699" s="211"/>
      <c r="P699" s="211"/>
      <c r="Q699" s="211"/>
      <c r="R699" s="211"/>
      <c r="S699" s="133"/>
      <c r="AR699" s="212"/>
      <c r="AS699" s="56"/>
      <c r="AT699" s="213"/>
      <c r="AU699" s="212"/>
      <c r="AV699" s="212"/>
      <c r="AW699" s="212"/>
    </row>
    <row r="700">
      <c r="H700" s="211"/>
      <c r="I700" s="211"/>
      <c r="J700" s="211"/>
      <c r="K700" s="211"/>
      <c r="L700" s="211"/>
      <c r="M700" s="211"/>
      <c r="N700" s="211"/>
      <c r="O700" s="211"/>
      <c r="P700" s="211"/>
      <c r="Q700" s="211"/>
      <c r="R700" s="211"/>
      <c r="S700" s="133"/>
      <c r="AR700" s="212"/>
      <c r="AS700" s="56"/>
      <c r="AT700" s="213"/>
      <c r="AU700" s="212"/>
      <c r="AV700" s="212"/>
      <c r="AW700" s="212"/>
    </row>
    <row r="701">
      <c r="H701" s="211"/>
      <c r="I701" s="211"/>
      <c r="J701" s="211"/>
      <c r="K701" s="211"/>
      <c r="L701" s="211"/>
      <c r="M701" s="211"/>
      <c r="N701" s="211"/>
      <c r="O701" s="211"/>
      <c r="P701" s="211"/>
      <c r="Q701" s="211"/>
      <c r="R701" s="211"/>
      <c r="S701" s="133"/>
      <c r="AR701" s="212"/>
      <c r="AS701" s="56"/>
      <c r="AT701" s="213"/>
      <c r="AU701" s="212"/>
      <c r="AV701" s="212"/>
      <c r="AW701" s="212"/>
    </row>
    <row r="702">
      <c r="H702" s="211"/>
      <c r="I702" s="211"/>
      <c r="J702" s="211"/>
      <c r="K702" s="211"/>
      <c r="L702" s="211"/>
      <c r="M702" s="211"/>
      <c r="N702" s="211"/>
      <c r="O702" s="211"/>
      <c r="P702" s="211"/>
      <c r="Q702" s="211"/>
      <c r="R702" s="211"/>
      <c r="S702" s="133"/>
      <c r="AR702" s="212"/>
      <c r="AS702" s="56"/>
      <c r="AT702" s="213"/>
      <c r="AU702" s="212"/>
      <c r="AV702" s="212"/>
      <c r="AW702" s="212"/>
    </row>
    <row r="703">
      <c r="H703" s="211"/>
      <c r="I703" s="211"/>
      <c r="J703" s="211"/>
      <c r="K703" s="211"/>
      <c r="L703" s="211"/>
      <c r="M703" s="211"/>
      <c r="N703" s="211"/>
      <c r="O703" s="211"/>
      <c r="P703" s="211"/>
      <c r="Q703" s="211"/>
      <c r="R703" s="211"/>
      <c r="S703" s="133"/>
      <c r="AR703" s="212"/>
      <c r="AS703" s="56"/>
      <c r="AT703" s="213"/>
      <c r="AU703" s="212"/>
      <c r="AV703" s="212"/>
      <c r="AW703" s="212"/>
    </row>
    <row r="704">
      <c r="H704" s="211"/>
      <c r="I704" s="211"/>
      <c r="J704" s="211"/>
      <c r="K704" s="211"/>
      <c r="L704" s="211"/>
      <c r="M704" s="211"/>
      <c r="N704" s="211"/>
      <c r="O704" s="211"/>
      <c r="P704" s="211"/>
      <c r="Q704" s="211"/>
      <c r="R704" s="211"/>
      <c r="S704" s="133"/>
      <c r="AR704" s="212"/>
      <c r="AS704" s="56"/>
      <c r="AT704" s="213"/>
      <c r="AU704" s="212"/>
      <c r="AV704" s="212"/>
      <c r="AW704" s="212"/>
    </row>
    <row r="705">
      <c r="H705" s="211"/>
      <c r="I705" s="211"/>
      <c r="J705" s="211"/>
      <c r="K705" s="211"/>
      <c r="L705" s="211"/>
      <c r="M705" s="211"/>
      <c r="N705" s="211"/>
      <c r="O705" s="211"/>
      <c r="P705" s="211"/>
      <c r="Q705" s="211"/>
      <c r="R705" s="211"/>
      <c r="S705" s="133"/>
      <c r="AR705" s="212"/>
      <c r="AS705" s="56"/>
      <c r="AT705" s="213"/>
      <c r="AU705" s="212"/>
      <c r="AV705" s="212"/>
      <c r="AW705" s="212"/>
    </row>
    <row r="706">
      <c r="H706" s="211"/>
      <c r="I706" s="211"/>
      <c r="J706" s="211"/>
      <c r="K706" s="211"/>
      <c r="L706" s="211"/>
      <c r="M706" s="211"/>
      <c r="N706" s="211"/>
      <c r="O706" s="211"/>
      <c r="P706" s="211"/>
      <c r="Q706" s="211"/>
      <c r="R706" s="211"/>
      <c r="S706" s="133"/>
      <c r="AR706" s="212"/>
      <c r="AS706" s="56"/>
      <c r="AT706" s="213"/>
      <c r="AU706" s="212"/>
      <c r="AV706" s="212"/>
      <c r="AW706" s="212"/>
    </row>
    <row r="707">
      <c r="H707" s="211"/>
      <c r="I707" s="211"/>
      <c r="J707" s="211"/>
      <c r="K707" s="211"/>
      <c r="L707" s="211"/>
      <c r="M707" s="211"/>
      <c r="N707" s="211"/>
      <c r="O707" s="211"/>
      <c r="P707" s="211"/>
      <c r="Q707" s="211"/>
      <c r="R707" s="211"/>
      <c r="S707" s="133"/>
      <c r="AR707" s="212"/>
      <c r="AS707" s="56"/>
      <c r="AT707" s="213"/>
      <c r="AU707" s="212"/>
      <c r="AV707" s="212"/>
      <c r="AW707" s="212"/>
    </row>
    <row r="708">
      <c r="H708" s="211"/>
      <c r="I708" s="211"/>
      <c r="J708" s="211"/>
      <c r="K708" s="211"/>
      <c r="L708" s="211"/>
      <c r="M708" s="211"/>
      <c r="N708" s="211"/>
      <c r="O708" s="211"/>
      <c r="P708" s="211"/>
      <c r="Q708" s="211"/>
      <c r="R708" s="211"/>
      <c r="S708" s="133"/>
      <c r="AR708" s="212"/>
      <c r="AS708" s="56"/>
      <c r="AT708" s="213"/>
      <c r="AU708" s="212"/>
      <c r="AV708" s="212"/>
      <c r="AW708" s="212"/>
    </row>
    <row r="709">
      <c r="H709" s="211"/>
      <c r="I709" s="211"/>
      <c r="J709" s="211"/>
      <c r="K709" s="211"/>
      <c r="L709" s="211"/>
      <c r="M709" s="211"/>
      <c r="N709" s="211"/>
      <c r="O709" s="211"/>
      <c r="P709" s="211"/>
      <c r="Q709" s="211"/>
      <c r="R709" s="211"/>
      <c r="S709" s="133"/>
      <c r="AR709" s="212"/>
      <c r="AS709" s="56"/>
      <c r="AT709" s="213"/>
      <c r="AU709" s="212"/>
      <c r="AV709" s="212"/>
      <c r="AW709" s="212"/>
    </row>
    <row r="710">
      <c r="H710" s="211"/>
      <c r="I710" s="211"/>
      <c r="J710" s="211"/>
      <c r="K710" s="211"/>
      <c r="L710" s="211"/>
      <c r="M710" s="211"/>
      <c r="N710" s="211"/>
      <c r="O710" s="211"/>
      <c r="P710" s="211"/>
      <c r="Q710" s="211"/>
      <c r="R710" s="211"/>
      <c r="S710" s="133"/>
      <c r="AR710" s="212"/>
      <c r="AS710" s="56"/>
      <c r="AT710" s="213"/>
      <c r="AU710" s="212"/>
      <c r="AV710" s="212"/>
      <c r="AW710" s="212"/>
    </row>
    <row r="711">
      <c r="H711" s="211"/>
      <c r="I711" s="211"/>
      <c r="J711" s="211"/>
      <c r="K711" s="211"/>
      <c r="L711" s="211"/>
      <c r="M711" s="211"/>
      <c r="N711" s="211"/>
      <c r="O711" s="211"/>
      <c r="P711" s="211"/>
      <c r="Q711" s="211"/>
      <c r="R711" s="211"/>
      <c r="S711" s="133"/>
      <c r="AR711" s="212"/>
      <c r="AS711" s="56"/>
      <c r="AT711" s="213"/>
      <c r="AU711" s="212"/>
      <c r="AV711" s="212"/>
      <c r="AW711" s="212"/>
    </row>
    <row r="712">
      <c r="H712" s="211"/>
      <c r="I712" s="211"/>
      <c r="J712" s="211"/>
      <c r="K712" s="211"/>
      <c r="L712" s="211"/>
      <c r="M712" s="211"/>
      <c r="N712" s="211"/>
      <c r="O712" s="211"/>
      <c r="P712" s="211"/>
      <c r="Q712" s="211"/>
      <c r="R712" s="211"/>
      <c r="S712" s="133"/>
      <c r="AR712" s="212"/>
      <c r="AS712" s="56"/>
      <c r="AT712" s="213"/>
      <c r="AU712" s="212"/>
      <c r="AV712" s="212"/>
      <c r="AW712" s="212"/>
    </row>
    <row r="713">
      <c r="H713" s="211"/>
      <c r="I713" s="211"/>
      <c r="J713" s="211"/>
      <c r="K713" s="211"/>
      <c r="L713" s="211"/>
      <c r="M713" s="211"/>
      <c r="N713" s="211"/>
      <c r="O713" s="211"/>
      <c r="P713" s="211"/>
      <c r="Q713" s="211"/>
      <c r="R713" s="211"/>
      <c r="S713" s="133"/>
      <c r="AR713" s="212"/>
      <c r="AS713" s="56"/>
      <c r="AT713" s="213"/>
      <c r="AU713" s="212"/>
      <c r="AV713" s="212"/>
      <c r="AW713" s="212"/>
    </row>
    <row r="714">
      <c r="H714" s="211"/>
      <c r="I714" s="211"/>
      <c r="J714" s="211"/>
      <c r="K714" s="211"/>
      <c r="L714" s="211"/>
      <c r="M714" s="211"/>
      <c r="N714" s="211"/>
      <c r="O714" s="211"/>
      <c r="P714" s="211"/>
      <c r="Q714" s="211"/>
      <c r="R714" s="211"/>
      <c r="S714" s="133"/>
      <c r="AR714" s="212"/>
      <c r="AS714" s="56"/>
      <c r="AT714" s="213"/>
      <c r="AU714" s="212"/>
      <c r="AV714" s="212"/>
      <c r="AW714" s="212"/>
    </row>
    <row r="715">
      <c r="H715" s="211"/>
      <c r="I715" s="211"/>
      <c r="J715" s="211"/>
      <c r="K715" s="211"/>
      <c r="L715" s="211"/>
      <c r="M715" s="211"/>
      <c r="N715" s="211"/>
      <c r="O715" s="211"/>
      <c r="P715" s="211"/>
      <c r="Q715" s="211"/>
      <c r="R715" s="211"/>
      <c r="S715" s="133"/>
      <c r="AR715" s="212"/>
      <c r="AS715" s="56"/>
      <c r="AT715" s="213"/>
      <c r="AU715" s="212"/>
      <c r="AV715" s="212"/>
      <c r="AW715" s="212"/>
    </row>
    <row r="716">
      <c r="H716" s="211"/>
      <c r="I716" s="211"/>
      <c r="J716" s="211"/>
      <c r="K716" s="211"/>
      <c r="L716" s="211"/>
      <c r="M716" s="211"/>
      <c r="N716" s="211"/>
      <c r="O716" s="211"/>
      <c r="P716" s="211"/>
      <c r="Q716" s="211"/>
      <c r="R716" s="211"/>
      <c r="S716" s="133"/>
      <c r="AR716" s="212"/>
      <c r="AS716" s="56"/>
      <c r="AT716" s="213"/>
      <c r="AU716" s="212"/>
      <c r="AV716" s="212"/>
      <c r="AW716" s="212"/>
    </row>
    <row r="717">
      <c r="H717" s="211"/>
      <c r="I717" s="211"/>
      <c r="J717" s="211"/>
      <c r="K717" s="211"/>
      <c r="L717" s="211"/>
      <c r="M717" s="211"/>
      <c r="N717" s="211"/>
      <c r="O717" s="211"/>
      <c r="P717" s="211"/>
      <c r="Q717" s="211"/>
      <c r="R717" s="211"/>
      <c r="S717" s="133"/>
      <c r="AR717" s="212"/>
      <c r="AS717" s="56"/>
      <c r="AT717" s="213"/>
      <c r="AU717" s="212"/>
      <c r="AV717" s="212"/>
      <c r="AW717" s="212"/>
    </row>
    <row r="718">
      <c r="H718" s="211"/>
      <c r="I718" s="211"/>
      <c r="J718" s="211"/>
      <c r="K718" s="211"/>
      <c r="L718" s="211"/>
      <c r="M718" s="211"/>
      <c r="N718" s="211"/>
      <c r="O718" s="211"/>
      <c r="P718" s="211"/>
      <c r="Q718" s="211"/>
      <c r="R718" s="211"/>
      <c r="S718" s="133"/>
      <c r="AR718" s="212"/>
      <c r="AS718" s="56"/>
      <c r="AT718" s="213"/>
      <c r="AU718" s="212"/>
      <c r="AV718" s="212"/>
      <c r="AW718" s="212"/>
    </row>
    <row r="719">
      <c r="H719" s="211"/>
      <c r="I719" s="211"/>
      <c r="J719" s="211"/>
      <c r="K719" s="211"/>
      <c r="L719" s="211"/>
      <c r="M719" s="211"/>
      <c r="N719" s="211"/>
      <c r="O719" s="211"/>
      <c r="P719" s="211"/>
      <c r="Q719" s="211"/>
      <c r="R719" s="211"/>
      <c r="S719" s="133"/>
      <c r="AR719" s="212"/>
      <c r="AS719" s="56"/>
      <c r="AT719" s="213"/>
      <c r="AU719" s="212"/>
      <c r="AV719" s="212"/>
      <c r="AW719" s="212"/>
    </row>
    <row r="720">
      <c r="H720" s="211"/>
      <c r="I720" s="211"/>
      <c r="J720" s="211"/>
      <c r="K720" s="211"/>
      <c r="L720" s="211"/>
      <c r="M720" s="211"/>
      <c r="N720" s="211"/>
      <c r="O720" s="211"/>
      <c r="P720" s="211"/>
      <c r="Q720" s="211"/>
      <c r="R720" s="211"/>
      <c r="S720" s="133"/>
      <c r="AR720" s="212"/>
      <c r="AS720" s="56"/>
      <c r="AT720" s="213"/>
      <c r="AU720" s="212"/>
      <c r="AV720" s="212"/>
      <c r="AW720" s="212"/>
    </row>
    <row r="721">
      <c r="H721" s="211"/>
      <c r="I721" s="211"/>
      <c r="J721" s="211"/>
      <c r="K721" s="211"/>
      <c r="L721" s="211"/>
      <c r="M721" s="211"/>
      <c r="N721" s="211"/>
      <c r="O721" s="211"/>
      <c r="P721" s="211"/>
      <c r="Q721" s="211"/>
      <c r="R721" s="211"/>
      <c r="S721" s="133"/>
      <c r="AR721" s="212"/>
      <c r="AS721" s="56"/>
      <c r="AT721" s="213"/>
      <c r="AU721" s="212"/>
      <c r="AV721" s="212"/>
      <c r="AW721" s="212"/>
    </row>
    <row r="722">
      <c r="H722" s="211"/>
      <c r="I722" s="211"/>
      <c r="J722" s="211"/>
      <c r="K722" s="211"/>
      <c r="L722" s="211"/>
      <c r="M722" s="211"/>
      <c r="N722" s="211"/>
      <c r="O722" s="211"/>
      <c r="P722" s="211"/>
      <c r="Q722" s="211"/>
      <c r="R722" s="211"/>
      <c r="S722" s="133"/>
      <c r="AR722" s="212"/>
      <c r="AS722" s="56"/>
      <c r="AT722" s="213"/>
      <c r="AU722" s="212"/>
      <c r="AV722" s="212"/>
      <c r="AW722" s="212"/>
    </row>
    <row r="723">
      <c r="H723" s="211"/>
      <c r="I723" s="211"/>
      <c r="J723" s="211"/>
      <c r="K723" s="211"/>
      <c r="L723" s="211"/>
      <c r="M723" s="211"/>
      <c r="N723" s="211"/>
      <c r="O723" s="211"/>
      <c r="P723" s="211"/>
      <c r="Q723" s="211"/>
      <c r="R723" s="211"/>
      <c r="S723" s="133"/>
      <c r="AR723" s="212"/>
      <c r="AS723" s="56"/>
      <c r="AT723" s="213"/>
      <c r="AU723" s="212"/>
      <c r="AV723" s="212"/>
      <c r="AW723" s="212"/>
    </row>
    <row r="724">
      <c r="H724" s="211"/>
      <c r="I724" s="211"/>
      <c r="J724" s="211"/>
      <c r="K724" s="211"/>
      <c r="L724" s="211"/>
      <c r="M724" s="211"/>
      <c r="N724" s="211"/>
      <c r="O724" s="211"/>
      <c r="P724" s="211"/>
      <c r="Q724" s="211"/>
      <c r="R724" s="211"/>
      <c r="S724" s="133"/>
      <c r="AR724" s="212"/>
      <c r="AS724" s="56"/>
      <c r="AT724" s="213"/>
      <c r="AU724" s="212"/>
      <c r="AV724" s="212"/>
      <c r="AW724" s="212"/>
    </row>
    <row r="725">
      <c r="H725" s="211"/>
      <c r="I725" s="211"/>
      <c r="J725" s="211"/>
      <c r="K725" s="211"/>
      <c r="L725" s="211"/>
      <c r="M725" s="211"/>
      <c r="N725" s="211"/>
      <c r="O725" s="211"/>
      <c r="P725" s="211"/>
      <c r="Q725" s="211"/>
      <c r="R725" s="211"/>
      <c r="S725" s="133"/>
      <c r="AR725" s="212"/>
      <c r="AS725" s="56"/>
      <c r="AT725" s="213"/>
      <c r="AU725" s="212"/>
      <c r="AV725" s="212"/>
      <c r="AW725" s="212"/>
    </row>
    <row r="726">
      <c r="H726" s="211"/>
      <c r="I726" s="211"/>
      <c r="J726" s="211"/>
      <c r="K726" s="211"/>
      <c r="L726" s="211"/>
      <c r="M726" s="211"/>
      <c r="N726" s="211"/>
      <c r="O726" s="211"/>
      <c r="P726" s="211"/>
      <c r="Q726" s="211"/>
      <c r="R726" s="211"/>
      <c r="S726" s="133"/>
      <c r="AR726" s="212"/>
      <c r="AS726" s="56"/>
      <c r="AT726" s="213"/>
      <c r="AU726" s="212"/>
      <c r="AV726" s="212"/>
      <c r="AW726" s="212"/>
    </row>
    <row r="727">
      <c r="H727" s="211"/>
      <c r="I727" s="211"/>
      <c r="J727" s="211"/>
      <c r="K727" s="211"/>
      <c r="L727" s="211"/>
      <c r="M727" s="211"/>
      <c r="N727" s="211"/>
      <c r="O727" s="211"/>
      <c r="P727" s="211"/>
      <c r="Q727" s="211"/>
      <c r="R727" s="211"/>
      <c r="S727" s="133"/>
      <c r="AR727" s="212"/>
      <c r="AS727" s="56"/>
      <c r="AT727" s="213"/>
      <c r="AU727" s="212"/>
      <c r="AV727" s="212"/>
      <c r="AW727" s="212"/>
    </row>
    <row r="728">
      <c r="H728" s="211"/>
      <c r="I728" s="211"/>
      <c r="J728" s="211"/>
      <c r="K728" s="211"/>
      <c r="L728" s="211"/>
      <c r="M728" s="211"/>
      <c r="N728" s="211"/>
      <c r="O728" s="211"/>
      <c r="P728" s="211"/>
      <c r="Q728" s="211"/>
      <c r="R728" s="211"/>
      <c r="S728" s="133"/>
      <c r="AR728" s="212"/>
      <c r="AS728" s="56"/>
      <c r="AT728" s="213"/>
      <c r="AU728" s="212"/>
      <c r="AV728" s="212"/>
      <c r="AW728" s="212"/>
    </row>
    <row r="729">
      <c r="H729" s="211"/>
      <c r="I729" s="211"/>
      <c r="J729" s="211"/>
      <c r="K729" s="211"/>
      <c r="L729" s="211"/>
      <c r="M729" s="211"/>
      <c r="N729" s="211"/>
      <c r="O729" s="211"/>
      <c r="P729" s="211"/>
      <c r="Q729" s="211"/>
      <c r="R729" s="211"/>
      <c r="S729" s="133"/>
      <c r="AR729" s="212"/>
      <c r="AS729" s="56"/>
      <c r="AT729" s="213"/>
      <c r="AU729" s="212"/>
      <c r="AV729" s="212"/>
      <c r="AW729" s="212"/>
    </row>
    <row r="730">
      <c r="H730" s="211"/>
      <c r="I730" s="211"/>
      <c r="J730" s="211"/>
      <c r="K730" s="211"/>
      <c r="L730" s="211"/>
      <c r="M730" s="211"/>
      <c r="N730" s="211"/>
      <c r="O730" s="211"/>
      <c r="P730" s="211"/>
      <c r="Q730" s="211"/>
      <c r="R730" s="211"/>
      <c r="S730" s="133"/>
      <c r="AR730" s="212"/>
      <c r="AS730" s="56"/>
      <c r="AT730" s="213"/>
      <c r="AU730" s="212"/>
      <c r="AV730" s="212"/>
      <c r="AW730" s="212"/>
    </row>
    <row r="731">
      <c r="H731" s="211"/>
      <c r="I731" s="211"/>
      <c r="J731" s="211"/>
      <c r="K731" s="211"/>
      <c r="L731" s="211"/>
      <c r="M731" s="211"/>
      <c r="N731" s="211"/>
      <c r="O731" s="211"/>
      <c r="P731" s="211"/>
      <c r="Q731" s="211"/>
      <c r="R731" s="211"/>
      <c r="S731" s="133"/>
      <c r="AR731" s="212"/>
      <c r="AS731" s="56"/>
      <c r="AT731" s="213"/>
      <c r="AU731" s="212"/>
      <c r="AV731" s="212"/>
      <c r="AW731" s="212"/>
    </row>
    <row r="732">
      <c r="H732" s="211"/>
      <c r="I732" s="211"/>
      <c r="J732" s="211"/>
      <c r="K732" s="211"/>
      <c r="L732" s="211"/>
      <c r="M732" s="211"/>
      <c r="N732" s="211"/>
      <c r="O732" s="211"/>
      <c r="P732" s="211"/>
      <c r="Q732" s="211"/>
      <c r="R732" s="211"/>
      <c r="S732" s="133"/>
      <c r="AR732" s="212"/>
      <c r="AS732" s="56"/>
      <c r="AT732" s="213"/>
      <c r="AU732" s="212"/>
      <c r="AV732" s="212"/>
      <c r="AW732" s="212"/>
    </row>
    <row r="733">
      <c r="H733" s="211"/>
      <c r="I733" s="211"/>
      <c r="J733" s="211"/>
      <c r="K733" s="211"/>
      <c r="L733" s="211"/>
      <c r="M733" s="211"/>
      <c r="N733" s="211"/>
      <c r="O733" s="211"/>
      <c r="P733" s="211"/>
      <c r="Q733" s="211"/>
      <c r="R733" s="211"/>
      <c r="S733" s="133"/>
      <c r="AR733" s="212"/>
      <c r="AS733" s="56"/>
      <c r="AT733" s="213"/>
      <c r="AU733" s="212"/>
      <c r="AV733" s="212"/>
      <c r="AW733" s="212"/>
    </row>
    <row r="734">
      <c r="H734" s="211"/>
      <c r="I734" s="211"/>
      <c r="J734" s="211"/>
      <c r="K734" s="211"/>
      <c r="L734" s="211"/>
      <c r="M734" s="211"/>
      <c r="N734" s="211"/>
      <c r="O734" s="211"/>
      <c r="P734" s="211"/>
      <c r="Q734" s="211"/>
      <c r="R734" s="211"/>
      <c r="S734" s="133"/>
      <c r="AR734" s="212"/>
      <c r="AS734" s="56"/>
      <c r="AT734" s="213"/>
      <c r="AU734" s="212"/>
      <c r="AV734" s="212"/>
      <c r="AW734" s="212"/>
    </row>
    <row r="735">
      <c r="H735" s="211"/>
      <c r="I735" s="211"/>
      <c r="J735" s="211"/>
      <c r="K735" s="211"/>
      <c r="L735" s="211"/>
      <c r="M735" s="211"/>
      <c r="N735" s="211"/>
      <c r="O735" s="211"/>
      <c r="P735" s="211"/>
      <c r="Q735" s="211"/>
      <c r="R735" s="211"/>
      <c r="S735" s="133"/>
      <c r="AR735" s="212"/>
      <c r="AS735" s="56"/>
      <c r="AT735" s="213"/>
      <c r="AU735" s="212"/>
      <c r="AV735" s="212"/>
      <c r="AW735" s="212"/>
    </row>
    <row r="736">
      <c r="H736" s="211"/>
      <c r="I736" s="211"/>
      <c r="J736" s="211"/>
      <c r="K736" s="211"/>
      <c r="L736" s="211"/>
      <c r="M736" s="211"/>
      <c r="N736" s="211"/>
      <c r="O736" s="211"/>
      <c r="P736" s="211"/>
      <c r="Q736" s="211"/>
      <c r="R736" s="211"/>
      <c r="S736" s="133"/>
      <c r="AR736" s="212"/>
      <c r="AS736" s="56"/>
      <c r="AT736" s="213"/>
      <c r="AU736" s="212"/>
      <c r="AV736" s="212"/>
      <c r="AW736" s="212"/>
    </row>
    <row r="737">
      <c r="H737" s="211"/>
      <c r="I737" s="211"/>
      <c r="J737" s="211"/>
      <c r="K737" s="211"/>
      <c r="L737" s="211"/>
      <c r="M737" s="211"/>
      <c r="N737" s="211"/>
      <c r="O737" s="211"/>
      <c r="P737" s="211"/>
      <c r="Q737" s="211"/>
      <c r="R737" s="211"/>
      <c r="S737" s="133"/>
      <c r="AR737" s="212"/>
      <c r="AS737" s="56"/>
      <c r="AT737" s="213"/>
      <c r="AU737" s="212"/>
      <c r="AV737" s="212"/>
      <c r="AW737" s="212"/>
    </row>
    <row r="738">
      <c r="H738" s="211"/>
      <c r="I738" s="211"/>
      <c r="J738" s="211"/>
      <c r="K738" s="211"/>
      <c r="L738" s="211"/>
      <c r="M738" s="211"/>
      <c r="N738" s="211"/>
      <c r="O738" s="211"/>
      <c r="P738" s="211"/>
      <c r="Q738" s="211"/>
      <c r="R738" s="211"/>
      <c r="S738" s="133"/>
      <c r="AR738" s="212"/>
      <c r="AS738" s="56"/>
      <c r="AT738" s="213"/>
      <c r="AU738" s="212"/>
      <c r="AV738" s="212"/>
      <c r="AW738" s="212"/>
    </row>
    <row r="739">
      <c r="H739" s="211"/>
      <c r="I739" s="211"/>
      <c r="J739" s="211"/>
      <c r="K739" s="211"/>
      <c r="L739" s="211"/>
      <c r="M739" s="211"/>
      <c r="N739" s="211"/>
      <c r="O739" s="211"/>
      <c r="P739" s="211"/>
      <c r="Q739" s="211"/>
      <c r="R739" s="211"/>
      <c r="S739" s="133"/>
      <c r="AR739" s="212"/>
      <c r="AS739" s="56"/>
      <c r="AT739" s="213"/>
      <c r="AU739" s="212"/>
      <c r="AV739" s="212"/>
      <c r="AW739" s="212"/>
    </row>
    <row r="740">
      <c r="H740" s="211"/>
      <c r="I740" s="211"/>
      <c r="J740" s="211"/>
      <c r="K740" s="211"/>
      <c r="L740" s="211"/>
      <c r="M740" s="211"/>
      <c r="N740" s="211"/>
      <c r="O740" s="211"/>
      <c r="P740" s="211"/>
      <c r="Q740" s="211"/>
      <c r="R740" s="211"/>
      <c r="S740" s="133"/>
      <c r="AR740" s="212"/>
      <c r="AS740" s="56"/>
      <c r="AT740" s="213"/>
      <c r="AU740" s="212"/>
      <c r="AV740" s="212"/>
      <c r="AW740" s="212"/>
    </row>
    <row r="741">
      <c r="H741" s="211"/>
      <c r="I741" s="211"/>
      <c r="J741" s="211"/>
      <c r="K741" s="211"/>
      <c r="L741" s="211"/>
      <c r="M741" s="211"/>
      <c r="N741" s="211"/>
      <c r="O741" s="211"/>
      <c r="P741" s="211"/>
      <c r="Q741" s="211"/>
      <c r="R741" s="211"/>
      <c r="S741" s="133"/>
      <c r="AR741" s="212"/>
      <c r="AS741" s="56"/>
      <c r="AT741" s="213"/>
      <c r="AU741" s="212"/>
      <c r="AV741" s="212"/>
      <c r="AW741" s="212"/>
    </row>
    <row r="742">
      <c r="H742" s="211"/>
      <c r="I742" s="211"/>
      <c r="J742" s="211"/>
      <c r="K742" s="211"/>
      <c r="L742" s="211"/>
      <c r="M742" s="211"/>
      <c r="N742" s="211"/>
      <c r="O742" s="211"/>
      <c r="P742" s="211"/>
      <c r="Q742" s="211"/>
      <c r="R742" s="211"/>
      <c r="S742" s="133"/>
      <c r="AR742" s="212"/>
      <c r="AS742" s="56"/>
      <c r="AT742" s="213"/>
      <c r="AU742" s="212"/>
      <c r="AV742" s="212"/>
      <c r="AW742" s="212"/>
    </row>
    <row r="743">
      <c r="H743" s="211"/>
      <c r="I743" s="211"/>
      <c r="J743" s="211"/>
      <c r="K743" s="211"/>
      <c r="L743" s="211"/>
      <c r="M743" s="211"/>
      <c r="N743" s="211"/>
      <c r="O743" s="211"/>
      <c r="P743" s="211"/>
      <c r="Q743" s="211"/>
      <c r="R743" s="211"/>
      <c r="S743" s="133"/>
      <c r="AR743" s="212"/>
      <c r="AS743" s="56"/>
      <c r="AT743" s="213"/>
      <c r="AU743" s="212"/>
      <c r="AV743" s="212"/>
      <c r="AW743" s="212"/>
    </row>
    <row r="744">
      <c r="H744" s="211"/>
      <c r="I744" s="211"/>
      <c r="J744" s="211"/>
      <c r="K744" s="211"/>
      <c r="L744" s="211"/>
      <c r="M744" s="211"/>
      <c r="N744" s="211"/>
      <c r="O744" s="211"/>
      <c r="P744" s="211"/>
      <c r="Q744" s="211"/>
      <c r="R744" s="211"/>
      <c r="S744" s="133"/>
      <c r="AR744" s="212"/>
      <c r="AS744" s="56"/>
      <c r="AT744" s="213"/>
      <c r="AU744" s="212"/>
      <c r="AV744" s="212"/>
      <c r="AW744" s="212"/>
    </row>
    <row r="745">
      <c r="H745" s="211"/>
      <c r="I745" s="211"/>
      <c r="J745" s="211"/>
      <c r="K745" s="211"/>
      <c r="L745" s="211"/>
      <c r="M745" s="211"/>
      <c r="N745" s="211"/>
      <c r="O745" s="211"/>
      <c r="P745" s="211"/>
      <c r="Q745" s="211"/>
      <c r="R745" s="211"/>
      <c r="S745" s="133"/>
      <c r="AR745" s="212"/>
      <c r="AS745" s="56"/>
      <c r="AT745" s="213"/>
      <c r="AU745" s="212"/>
      <c r="AV745" s="212"/>
      <c r="AW745" s="212"/>
    </row>
    <row r="746">
      <c r="H746" s="211"/>
      <c r="I746" s="211"/>
      <c r="J746" s="211"/>
      <c r="K746" s="211"/>
      <c r="L746" s="211"/>
      <c r="M746" s="211"/>
      <c r="N746" s="211"/>
      <c r="O746" s="211"/>
      <c r="P746" s="211"/>
      <c r="Q746" s="211"/>
      <c r="R746" s="211"/>
      <c r="S746" s="133"/>
      <c r="AR746" s="212"/>
      <c r="AS746" s="56"/>
      <c r="AT746" s="213"/>
      <c r="AU746" s="212"/>
      <c r="AV746" s="212"/>
      <c r="AW746" s="212"/>
    </row>
    <row r="747">
      <c r="H747" s="211"/>
      <c r="I747" s="211"/>
      <c r="J747" s="211"/>
      <c r="K747" s="211"/>
      <c r="L747" s="211"/>
      <c r="M747" s="211"/>
      <c r="N747" s="211"/>
      <c r="O747" s="211"/>
      <c r="P747" s="211"/>
      <c r="Q747" s="211"/>
      <c r="R747" s="211"/>
      <c r="S747" s="133"/>
      <c r="AR747" s="212"/>
      <c r="AS747" s="56"/>
      <c r="AT747" s="213"/>
      <c r="AU747" s="212"/>
      <c r="AV747" s="212"/>
      <c r="AW747" s="212"/>
    </row>
    <row r="748">
      <c r="H748" s="211"/>
      <c r="I748" s="211"/>
      <c r="J748" s="211"/>
      <c r="K748" s="211"/>
      <c r="L748" s="211"/>
      <c r="M748" s="211"/>
      <c r="N748" s="211"/>
      <c r="O748" s="211"/>
      <c r="P748" s="211"/>
      <c r="Q748" s="211"/>
      <c r="R748" s="211"/>
      <c r="S748" s="133"/>
      <c r="AR748" s="212"/>
      <c r="AS748" s="56"/>
      <c r="AT748" s="213"/>
      <c r="AU748" s="212"/>
      <c r="AV748" s="212"/>
      <c r="AW748" s="212"/>
    </row>
    <row r="749">
      <c r="H749" s="211"/>
      <c r="I749" s="211"/>
      <c r="J749" s="211"/>
      <c r="K749" s="211"/>
      <c r="L749" s="211"/>
      <c r="M749" s="211"/>
      <c r="N749" s="211"/>
      <c r="O749" s="211"/>
      <c r="P749" s="211"/>
      <c r="Q749" s="211"/>
      <c r="R749" s="211"/>
      <c r="S749" s="133"/>
      <c r="AR749" s="212"/>
      <c r="AS749" s="56"/>
      <c r="AT749" s="213"/>
      <c r="AU749" s="212"/>
      <c r="AV749" s="212"/>
      <c r="AW749" s="212"/>
    </row>
    <row r="750">
      <c r="H750" s="211"/>
      <c r="I750" s="211"/>
      <c r="J750" s="211"/>
      <c r="K750" s="211"/>
      <c r="L750" s="211"/>
      <c r="M750" s="211"/>
      <c r="N750" s="211"/>
      <c r="O750" s="211"/>
      <c r="P750" s="211"/>
      <c r="Q750" s="211"/>
      <c r="R750" s="211"/>
      <c r="S750" s="133"/>
      <c r="AR750" s="212"/>
      <c r="AS750" s="56"/>
      <c r="AT750" s="213"/>
      <c r="AU750" s="212"/>
      <c r="AV750" s="212"/>
      <c r="AW750" s="212"/>
    </row>
    <row r="751">
      <c r="H751" s="211"/>
      <c r="I751" s="211"/>
      <c r="J751" s="211"/>
      <c r="K751" s="211"/>
      <c r="L751" s="211"/>
      <c r="M751" s="211"/>
      <c r="N751" s="211"/>
      <c r="O751" s="211"/>
      <c r="P751" s="211"/>
      <c r="Q751" s="211"/>
      <c r="R751" s="211"/>
      <c r="S751" s="133"/>
      <c r="AR751" s="212"/>
      <c r="AS751" s="56"/>
      <c r="AT751" s="213"/>
      <c r="AU751" s="212"/>
      <c r="AV751" s="212"/>
      <c r="AW751" s="212"/>
    </row>
    <row r="752">
      <c r="H752" s="211"/>
      <c r="I752" s="211"/>
      <c r="J752" s="211"/>
      <c r="K752" s="211"/>
      <c r="L752" s="211"/>
      <c r="M752" s="211"/>
      <c r="N752" s="211"/>
      <c r="O752" s="211"/>
      <c r="P752" s="211"/>
      <c r="Q752" s="211"/>
      <c r="R752" s="211"/>
      <c r="S752" s="133"/>
      <c r="AR752" s="212"/>
      <c r="AS752" s="56"/>
      <c r="AT752" s="213"/>
      <c r="AU752" s="212"/>
      <c r="AV752" s="212"/>
      <c r="AW752" s="212"/>
    </row>
    <row r="753">
      <c r="H753" s="211"/>
      <c r="I753" s="211"/>
      <c r="J753" s="211"/>
      <c r="K753" s="211"/>
      <c r="L753" s="211"/>
      <c r="M753" s="211"/>
      <c r="N753" s="211"/>
      <c r="O753" s="211"/>
      <c r="P753" s="211"/>
      <c r="Q753" s="211"/>
      <c r="R753" s="211"/>
      <c r="S753" s="133"/>
      <c r="AR753" s="212"/>
      <c r="AS753" s="56"/>
      <c r="AT753" s="213"/>
      <c r="AU753" s="212"/>
      <c r="AV753" s="212"/>
      <c r="AW753" s="212"/>
    </row>
    <row r="754">
      <c r="H754" s="211"/>
      <c r="I754" s="211"/>
      <c r="J754" s="211"/>
      <c r="K754" s="211"/>
      <c r="L754" s="211"/>
      <c r="M754" s="211"/>
      <c r="N754" s="211"/>
      <c r="O754" s="211"/>
      <c r="P754" s="211"/>
      <c r="Q754" s="211"/>
      <c r="R754" s="211"/>
      <c r="S754" s="133"/>
      <c r="AR754" s="212"/>
      <c r="AS754" s="56"/>
      <c r="AT754" s="213"/>
      <c r="AU754" s="212"/>
      <c r="AV754" s="212"/>
      <c r="AW754" s="212"/>
    </row>
    <row r="755">
      <c r="H755" s="211"/>
      <c r="I755" s="211"/>
      <c r="J755" s="211"/>
      <c r="K755" s="211"/>
      <c r="L755" s="211"/>
      <c r="M755" s="211"/>
      <c r="N755" s="211"/>
      <c r="O755" s="211"/>
      <c r="P755" s="211"/>
      <c r="Q755" s="211"/>
      <c r="R755" s="211"/>
      <c r="S755" s="133"/>
      <c r="AR755" s="212"/>
      <c r="AS755" s="56"/>
      <c r="AT755" s="213"/>
      <c r="AU755" s="212"/>
      <c r="AV755" s="212"/>
      <c r="AW755" s="212"/>
    </row>
    <row r="756">
      <c r="H756" s="211"/>
      <c r="I756" s="211"/>
      <c r="J756" s="211"/>
      <c r="K756" s="211"/>
      <c r="L756" s="211"/>
      <c r="M756" s="211"/>
      <c r="N756" s="211"/>
      <c r="O756" s="211"/>
      <c r="P756" s="211"/>
      <c r="Q756" s="211"/>
      <c r="R756" s="211"/>
      <c r="S756" s="133"/>
      <c r="AR756" s="212"/>
      <c r="AS756" s="56"/>
      <c r="AT756" s="213"/>
      <c r="AU756" s="212"/>
      <c r="AV756" s="212"/>
      <c r="AW756" s="212"/>
    </row>
    <row r="757">
      <c r="H757" s="211"/>
      <c r="I757" s="211"/>
      <c r="J757" s="211"/>
      <c r="K757" s="211"/>
      <c r="L757" s="211"/>
      <c r="M757" s="211"/>
      <c r="N757" s="211"/>
      <c r="O757" s="211"/>
      <c r="P757" s="211"/>
      <c r="Q757" s="211"/>
      <c r="R757" s="211"/>
      <c r="S757" s="133"/>
      <c r="AR757" s="212"/>
      <c r="AS757" s="56"/>
      <c r="AT757" s="213"/>
      <c r="AU757" s="212"/>
      <c r="AV757" s="212"/>
      <c r="AW757" s="212"/>
    </row>
    <row r="758">
      <c r="H758" s="211"/>
      <c r="I758" s="211"/>
      <c r="J758" s="211"/>
      <c r="K758" s="211"/>
      <c r="L758" s="211"/>
      <c r="M758" s="211"/>
      <c r="N758" s="211"/>
      <c r="O758" s="211"/>
      <c r="P758" s="211"/>
      <c r="Q758" s="211"/>
      <c r="R758" s="211"/>
      <c r="S758" s="133"/>
      <c r="AR758" s="212"/>
      <c r="AS758" s="56"/>
      <c r="AT758" s="213"/>
      <c r="AU758" s="212"/>
      <c r="AV758" s="212"/>
      <c r="AW758" s="212"/>
    </row>
    <row r="759">
      <c r="H759" s="211"/>
      <c r="I759" s="211"/>
      <c r="J759" s="211"/>
      <c r="K759" s="211"/>
      <c r="L759" s="211"/>
      <c r="M759" s="211"/>
      <c r="N759" s="211"/>
      <c r="O759" s="211"/>
      <c r="P759" s="211"/>
      <c r="Q759" s="211"/>
      <c r="R759" s="211"/>
      <c r="S759" s="133"/>
      <c r="AR759" s="212"/>
      <c r="AS759" s="56"/>
      <c r="AT759" s="213"/>
      <c r="AU759" s="212"/>
      <c r="AV759" s="212"/>
      <c r="AW759" s="212"/>
    </row>
    <row r="760">
      <c r="H760" s="211"/>
      <c r="I760" s="211"/>
      <c r="J760" s="211"/>
      <c r="K760" s="211"/>
      <c r="L760" s="211"/>
      <c r="M760" s="211"/>
      <c r="N760" s="211"/>
      <c r="O760" s="211"/>
      <c r="P760" s="211"/>
      <c r="Q760" s="211"/>
      <c r="R760" s="211"/>
      <c r="S760" s="133"/>
      <c r="AR760" s="212"/>
      <c r="AS760" s="56"/>
      <c r="AT760" s="213"/>
      <c r="AU760" s="212"/>
      <c r="AV760" s="212"/>
      <c r="AW760" s="212"/>
    </row>
    <row r="761">
      <c r="H761" s="211"/>
      <c r="I761" s="211"/>
      <c r="J761" s="211"/>
      <c r="K761" s="211"/>
      <c r="L761" s="211"/>
      <c r="M761" s="211"/>
      <c r="N761" s="211"/>
      <c r="O761" s="211"/>
      <c r="P761" s="211"/>
      <c r="Q761" s="211"/>
      <c r="R761" s="211"/>
      <c r="S761" s="133"/>
      <c r="AR761" s="212"/>
      <c r="AS761" s="56"/>
      <c r="AT761" s="213"/>
      <c r="AU761" s="212"/>
      <c r="AV761" s="212"/>
      <c r="AW761" s="212"/>
    </row>
    <row r="762">
      <c r="H762" s="211"/>
      <c r="I762" s="211"/>
      <c r="J762" s="211"/>
      <c r="K762" s="211"/>
      <c r="L762" s="211"/>
      <c r="M762" s="211"/>
      <c r="N762" s="211"/>
      <c r="O762" s="211"/>
      <c r="P762" s="211"/>
      <c r="Q762" s="211"/>
      <c r="R762" s="211"/>
      <c r="S762" s="133"/>
      <c r="AR762" s="212"/>
      <c r="AS762" s="56"/>
      <c r="AT762" s="213"/>
      <c r="AU762" s="212"/>
      <c r="AV762" s="212"/>
      <c r="AW762" s="212"/>
    </row>
    <row r="763">
      <c r="H763" s="211"/>
      <c r="I763" s="211"/>
      <c r="J763" s="211"/>
      <c r="K763" s="211"/>
      <c r="L763" s="211"/>
      <c r="M763" s="211"/>
      <c r="N763" s="211"/>
      <c r="O763" s="211"/>
      <c r="P763" s="211"/>
      <c r="Q763" s="211"/>
      <c r="R763" s="211"/>
      <c r="S763" s="133"/>
      <c r="AR763" s="212"/>
      <c r="AS763" s="56"/>
      <c r="AT763" s="213"/>
      <c r="AU763" s="212"/>
      <c r="AV763" s="212"/>
      <c r="AW763" s="212"/>
    </row>
    <row r="764">
      <c r="H764" s="211"/>
      <c r="I764" s="211"/>
      <c r="J764" s="211"/>
      <c r="K764" s="211"/>
      <c r="L764" s="211"/>
      <c r="M764" s="211"/>
      <c r="N764" s="211"/>
      <c r="O764" s="211"/>
      <c r="P764" s="211"/>
      <c r="Q764" s="211"/>
      <c r="R764" s="211"/>
      <c r="S764" s="133"/>
      <c r="AR764" s="212"/>
      <c r="AS764" s="56"/>
      <c r="AT764" s="213"/>
      <c r="AU764" s="212"/>
      <c r="AV764" s="212"/>
      <c r="AW764" s="212"/>
    </row>
    <row r="765">
      <c r="H765" s="211"/>
      <c r="I765" s="211"/>
      <c r="J765" s="211"/>
      <c r="K765" s="211"/>
      <c r="L765" s="211"/>
      <c r="M765" s="211"/>
      <c r="N765" s="211"/>
      <c r="O765" s="211"/>
      <c r="P765" s="211"/>
      <c r="Q765" s="211"/>
      <c r="R765" s="211"/>
      <c r="S765" s="133"/>
      <c r="AR765" s="212"/>
      <c r="AS765" s="56"/>
      <c r="AT765" s="213"/>
      <c r="AU765" s="212"/>
      <c r="AV765" s="212"/>
      <c r="AW765" s="212"/>
    </row>
    <row r="766">
      <c r="H766" s="211"/>
      <c r="I766" s="211"/>
      <c r="J766" s="211"/>
      <c r="K766" s="211"/>
      <c r="L766" s="211"/>
      <c r="M766" s="211"/>
      <c r="N766" s="211"/>
      <c r="O766" s="211"/>
      <c r="P766" s="211"/>
      <c r="Q766" s="211"/>
      <c r="R766" s="211"/>
      <c r="S766" s="133"/>
      <c r="AR766" s="212"/>
      <c r="AS766" s="56"/>
      <c r="AT766" s="213"/>
      <c r="AU766" s="212"/>
      <c r="AV766" s="212"/>
      <c r="AW766" s="212"/>
    </row>
    <row r="767">
      <c r="H767" s="211"/>
      <c r="I767" s="211"/>
      <c r="J767" s="211"/>
      <c r="K767" s="211"/>
      <c r="L767" s="211"/>
      <c r="M767" s="211"/>
      <c r="N767" s="211"/>
      <c r="O767" s="211"/>
      <c r="P767" s="211"/>
      <c r="Q767" s="211"/>
      <c r="R767" s="211"/>
      <c r="S767" s="133"/>
      <c r="AR767" s="212"/>
      <c r="AS767" s="56"/>
      <c r="AT767" s="213"/>
      <c r="AU767" s="212"/>
      <c r="AV767" s="212"/>
      <c r="AW767" s="212"/>
    </row>
    <row r="768">
      <c r="H768" s="211"/>
      <c r="I768" s="211"/>
      <c r="J768" s="211"/>
      <c r="K768" s="211"/>
      <c r="L768" s="211"/>
      <c r="M768" s="211"/>
      <c r="N768" s="211"/>
      <c r="O768" s="211"/>
      <c r="P768" s="211"/>
      <c r="Q768" s="211"/>
      <c r="R768" s="211"/>
      <c r="S768" s="133"/>
      <c r="AR768" s="212"/>
      <c r="AS768" s="56"/>
      <c r="AT768" s="213"/>
      <c r="AU768" s="212"/>
      <c r="AV768" s="212"/>
      <c r="AW768" s="212"/>
    </row>
    <row r="769">
      <c r="H769" s="211"/>
      <c r="I769" s="211"/>
      <c r="J769" s="211"/>
      <c r="K769" s="211"/>
      <c r="L769" s="211"/>
      <c r="M769" s="211"/>
      <c r="N769" s="211"/>
      <c r="O769" s="211"/>
      <c r="P769" s="211"/>
      <c r="Q769" s="211"/>
      <c r="R769" s="211"/>
      <c r="S769" s="133"/>
      <c r="AR769" s="212"/>
      <c r="AS769" s="56"/>
      <c r="AT769" s="213"/>
      <c r="AU769" s="212"/>
      <c r="AV769" s="212"/>
      <c r="AW769" s="212"/>
    </row>
    <row r="770">
      <c r="H770" s="211"/>
      <c r="I770" s="211"/>
      <c r="J770" s="211"/>
      <c r="K770" s="211"/>
      <c r="L770" s="211"/>
      <c r="M770" s="211"/>
      <c r="N770" s="211"/>
      <c r="O770" s="211"/>
      <c r="P770" s="211"/>
      <c r="Q770" s="211"/>
      <c r="R770" s="211"/>
      <c r="S770" s="133"/>
      <c r="AR770" s="212"/>
      <c r="AS770" s="56"/>
      <c r="AT770" s="213"/>
      <c r="AU770" s="212"/>
      <c r="AV770" s="212"/>
      <c r="AW770" s="212"/>
    </row>
    <row r="771">
      <c r="H771" s="211"/>
      <c r="I771" s="211"/>
      <c r="J771" s="211"/>
      <c r="K771" s="211"/>
      <c r="L771" s="211"/>
      <c r="M771" s="211"/>
      <c r="N771" s="211"/>
      <c r="O771" s="211"/>
      <c r="P771" s="211"/>
      <c r="Q771" s="211"/>
      <c r="R771" s="211"/>
      <c r="S771" s="133"/>
      <c r="AR771" s="212"/>
      <c r="AS771" s="56"/>
      <c r="AT771" s="213"/>
      <c r="AU771" s="212"/>
      <c r="AV771" s="212"/>
      <c r="AW771" s="212"/>
    </row>
    <row r="772">
      <c r="H772" s="211"/>
      <c r="I772" s="211"/>
      <c r="J772" s="211"/>
      <c r="K772" s="211"/>
      <c r="L772" s="211"/>
      <c r="M772" s="211"/>
      <c r="N772" s="211"/>
      <c r="O772" s="211"/>
      <c r="P772" s="211"/>
      <c r="Q772" s="211"/>
      <c r="R772" s="211"/>
      <c r="S772" s="133"/>
      <c r="AR772" s="212"/>
      <c r="AS772" s="56"/>
      <c r="AT772" s="213"/>
      <c r="AU772" s="212"/>
      <c r="AV772" s="212"/>
      <c r="AW772" s="212"/>
    </row>
    <row r="773">
      <c r="H773" s="211"/>
      <c r="I773" s="211"/>
      <c r="J773" s="211"/>
      <c r="K773" s="211"/>
      <c r="L773" s="211"/>
      <c r="M773" s="211"/>
      <c r="N773" s="211"/>
      <c r="O773" s="211"/>
      <c r="P773" s="211"/>
      <c r="Q773" s="211"/>
      <c r="R773" s="211"/>
      <c r="S773" s="133"/>
      <c r="AR773" s="212"/>
      <c r="AS773" s="56"/>
      <c r="AT773" s="213"/>
      <c r="AU773" s="212"/>
      <c r="AV773" s="212"/>
      <c r="AW773" s="212"/>
    </row>
    <row r="774">
      <c r="H774" s="211"/>
      <c r="I774" s="211"/>
      <c r="J774" s="211"/>
      <c r="K774" s="211"/>
      <c r="L774" s="211"/>
      <c r="M774" s="211"/>
      <c r="N774" s="211"/>
      <c r="O774" s="211"/>
      <c r="P774" s="211"/>
      <c r="Q774" s="211"/>
      <c r="R774" s="211"/>
      <c r="S774" s="133"/>
      <c r="AR774" s="212"/>
      <c r="AS774" s="56"/>
      <c r="AT774" s="213"/>
      <c r="AU774" s="212"/>
      <c r="AV774" s="212"/>
      <c r="AW774" s="212"/>
    </row>
    <row r="775">
      <c r="H775" s="211"/>
      <c r="I775" s="211"/>
      <c r="J775" s="211"/>
      <c r="K775" s="211"/>
      <c r="L775" s="211"/>
      <c r="M775" s="211"/>
      <c r="N775" s="211"/>
      <c r="O775" s="211"/>
      <c r="P775" s="211"/>
      <c r="Q775" s="211"/>
      <c r="R775" s="211"/>
      <c r="S775" s="133"/>
      <c r="AR775" s="212"/>
      <c r="AS775" s="56"/>
      <c r="AT775" s="213"/>
      <c r="AU775" s="212"/>
      <c r="AV775" s="212"/>
      <c r="AW775" s="212"/>
    </row>
    <row r="776">
      <c r="H776" s="211"/>
      <c r="I776" s="211"/>
      <c r="J776" s="211"/>
      <c r="K776" s="211"/>
      <c r="L776" s="211"/>
      <c r="M776" s="211"/>
      <c r="N776" s="211"/>
      <c r="O776" s="211"/>
      <c r="P776" s="211"/>
      <c r="Q776" s="211"/>
      <c r="R776" s="211"/>
      <c r="S776" s="133"/>
      <c r="AR776" s="212"/>
      <c r="AS776" s="56"/>
      <c r="AT776" s="213"/>
      <c r="AU776" s="212"/>
      <c r="AV776" s="212"/>
      <c r="AW776" s="212"/>
    </row>
    <row r="777">
      <c r="H777" s="211"/>
      <c r="I777" s="211"/>
      <c r="J777" s="211"/>
      <c r="K777" s="211"/>
      <c r="L777" s="211"/>
      <c r="M777" s="211"/>
      <c r="N777" s="211"/>
      <c r="O777" s="211"/>
      <c r="P777" s="211"/>
      <c r="Q777" s="211"/>
      <c r="R777" s="211"/>
      <c r="S777" s="133"/>
      <c r="AR777" s="212"/>
      <c r="AS777" s="56"/>
      <c r="AT777" s="213"/>
      <c r="AU777" s="212"/>
      <c r="AV777" s="212"/>
      <c r="AW777" s="212"/>
    </row>
    <row r="778">
      <c r="H778" s="211"/>
      <c r="I778" s="211"/>
      <c r="J778" s="211"/>
      <c r="K778" s="211"/>
      <c r="L778" s="211"/>
      <c r="M778" s="211"/>
      <c r="N778" s="211"/>
      <c r="O778" s="211"/>
      <c r="P778" s="211"/>
      <c r="Q778" s="211"/>
      <c r="R778" s="211"/>
      <c r="S778" s="133"/>
      <c r="AR778" s="212"/>
      <c r="AS778" s="56"/>
      <c r="AT778" s="213"/>
      <c r="AU778" s="212"/>
      <c r="AV778" s="212"/>
      <c r="AW778" s="212"/>
    </row>
    <row r="779">
      <c r="H779" s="211"/>
      <c r="I779" s="211"/>
      <c r="J779" s="211"/>
      <c r="K779" s="211"/>
      <c r="L779" s="211"/>
      <c r="M779" s="211"/>
      <c r="N779" s="211"/>
      <c r="O779" s="211"/>
      <c r="P779" s="211"/>
      <c r="Q779" s="211"/>
      <c r="R779" s="211"/>
      <c r="S779" s="133"/>
      <c r="AR779" s="212"/>
      <c r="AS779" s="56"/>
      <c r="AT779" s="213"/>
      <c r="AU779" s="212"/>
      <c r="AV779" s="212"/>
      <c r="AW779" s="212"/>
    </row>
    <row r="780">
      <c r="H780" s="211"/>
      <c r="I780" s="211"/>
      <c r="J780" s="211"/>
      <c r="K780" s="211"/>
      <c r="L780" s="211"/>
      <c r="M780" s="211"/>
      <c r="N780" s="211"/>
      <c r="O780" s="211"/>
      <c r="P780" s="211"/>
      <c r="Q780" s="211"/>
      <c r="R780" s="211"/>
      <c r="S780" s="133"/>
      <c r="AR780" s="212"/>
      <c r="AS780" s="56"/>
      <c r="AT780" s="213"/>
      <c r="AU780" s="212"/>
      <c r="AV780" s="212"/>
      <c r="AW780" s="212"/>
    </row>
    <row r="781">
      <c r="H781" s="211"/>
      <c r="I781" s="211"/>
      <c r="J781" s="211"/>
      <c r="K781" s="211"/>
      <c r="L781" s="211"/>
      <c r="M781" s="211"/>
      <c r="N781" s="211"/>
      <c r="O781" s="211"/>
      <c r="P781" s="211"/>
      <c r="Q781" s="211"/>
      <c r="R781" s="211"/>
      <c r="S781" s="133"/>
      <c r="AR781" s="212"/>
      <c r="AS781" s="56"/>
      <c r="AT781" s="213"/>
      <c r="AU781" s="212"/>
      <c r="AV781" s="212"/>
      <c r="AW781" s="212"/>
    </row>
    <row r="782">
      <c r="H782" s="211"/>
      <c r="I782" s="211"/>
      <c r="J782" s="211"/>
      <c r="K782" s="211"/>
      <c r="L782" s="211"/>
      <c r="M782" s="211"/>
      <c r="N782" s="211"/>
      <c r="O782" s="211"/>
      <c r="P782" s="211"/>
      <c r="Q782" s="211"/>
      <c r="R782" s="211"/>
      <c r="S782" s="133"/>
      <c r="AR782" s="212"/>
      <c r="AS782" s="56"/>
      <c r="AT782" s="213"/>
      <c r="AU782" s="212"/>
      <c r="AV782" s="212"/>
      <c r="AW782" s="212"/>
    </row>
    <row r="783">
      <c r="H783" s="211"/>
      <c r="I783" s="211"/>
      <c r="J783" s="211"/>
      <c r="K783" s="211"/>
      <c r="L783" s="211"/>
      <c r="M783" s="211"/>
      <c r="N783" s="211"/>
      <c r="O783" s="211"/>
      <c r="P783" s="211"/>
      <c r="Q783" s="211"/>
      <c r="R783" s="211"/>
      <c r="S783" s="133"/>
      <c r="AR783" s="212"/>
      <c r="AS783" s="56"/>
      <c r="AT783" s="213"/>
      <c r="AU783" s="212"/>
      <c r="AV783" s="212"/>
      <c r="AW783" s="212"/>
    </row>
    <row r="784">
      <c r="H784" s="211"/>
      <c r="I784" s="211"/>
      <c r="J784" s="211"/>
      <c r="K784" s="211"/>
      <c r="L784" s="211"/>
      <c r="M784" s="211"/>
      <c r="N784" s="211"/>
      <c r="O784" s="211"/>
      <c r="P784" s="211"/>
      <c r="Q784" s="211"/>
      <c r="R784" s="211"/>
      <c r="S784" s="133"/>
      <c r="AR784" s="212"/>
      <c r="AS784" s="56"/>
      <c r="AT784" s="213"/>
      <c r="AU784" s="212"/>
      <c r="AV784" s="212"/>
      <c r="AW784" s="212"/>
    </row>
    <row r="785">
      <c r="H785" s="211"/>
      <c r="I785" s="211"/>
      <c r="J785" s="211"/>
      <c r="K785" s="211"/>
      <c r="L785" s="211"/>
      <c r="M785" s="211"/>
      <c r="N785" s="211"/>
      <c r="O785" s="211"/>
      <c r="P785" s="211"/>
      <c r="Q785" s="211"/>
      <c r="R785" s="211"/>
      <c r="S785" s="133"/>
      <c r="AR785" s="212"/>
      <c r="AS785" s="56"/>
      <c r="AT785" s="213"/>
      <c r="AU785" s="212"/>
      <c r="AV785" s="212"/>
      <c r="AW785" s="212"/>
    </row>
    <row r="786">
      <c r="H786" s="211"/>
      <c r="I786" s="211"/>
      <c r="J786" s="211"/>
      <c r="K786" s="211"/>
      <c r="L786" s="211"/>
      <c r="M786" s="211"/>
      <c r="N786" s="211"/>
      <c r="O786" s="211"/>
      <c r="P786" s="211"/>
      <c r="Q786" s="211"/>
      <c r="R786" s="211"/>
      <c r="S786" s="133"/>
      <c r="AR786" s="212"/>
      <c r="AS786" s="56"/>
      <c r="AT786" s="213"/>
      <c r="AU786" s="212"/>
      <c r="AV786" s="212"/>
      <c r="AW786" s="212"/>
    </row>
    <row r="787">
      <c r="H787" s="211"/>
      <c r="I787" s="211"/>
      <c r="J787" s="211"/>
      <c r="K787" s="211"/>
      <c r="L787" s="211"/>
      <c r="M787" s="211"/>
      <c r="N787" s="211"/>
      <c r="O787" s="211"/>
      <c r="P787" s="211"/>
      <c r="Q787" s="211"/>
      <c r="R787" s="211"/>
      <c r="S787" s="133"/>
      <c r="AR787" s="212"/>
      <c r="AS787" s="56"/>
      <c r="AT787" s="213"/>
      <c r="AU787" s="212"/>
      <c r="AV787" s="212"/>
      <c r="AW787" s="212"/>
    </row>
    <row r="788">
      <c r="H788" s="211"/>
      <c r="I788" s="211"/>
      <c r="J788" s="211"/>
      <c r="K788" s="211"/>
      <c r="L788" s="211"/>
      <c r="M788" s="211"/>
      <c r="N788" s="211"/>
      <c r="O788" s="211"/>
      <c r="P788" s="211"/>
      <c r="Q788" s="211"/>
      <c r="R788" s="211"/>
      <c r="S788" s="133"/>
      <c r="AR788" s="212"/>
      <c r="AS788" s="56"/>
      <c r="AT788" s="213"/>
      <c r="AU788" s="212"/>
      <c r="AV788" s="212"/>
      <c r="AW788" s="212"/>
    </row>
    <row r="789">
      <c r="H789" s="211"/>
      <c r="I789" s="211"/>
      <c r="J789" s="211"/>
      <c r="K789" s="211"/>
      <c r="L789" s="211"/>
      <c r="M789" s="211"/>
      <c r="N789" s="211"/>
      <c r="O789" s="211"/>
      <c r="P789" s="211"/>
      <c r="Q789" s="211"/>
      <c r="R789" s="211"/>
      <c r="S789" s="133"/>
      <c r="AR789" s="212"/>
      <c r="AS789" s="56"/>
      <c r="AT789" s="213"/>
      <c r="AU789" s="212"/>
      <c r="AV789" s="212"/>
      <c r="AW789" s="212"/>
    </row>
    <row r="790">
      <c r="H790" s="211"/>
      <c r="I790" s="211"/>
      <c r="J790" s="211"/>
      <c r="K790" s="211"/>
      <c r="L790" s="211"/>
      <c r="M790" s="211"/>
      <c r="N790" s="211"/>
      <c r="O790" s="211"/>
      <c r="P790" s="211"/>
      <c r="Q790" s="211"/>
      <c r="R790" s="211"/>
      <c r="S790" s="133"/>
      <c r="AR790" s="212"/>
      <c r="AS790" s="56"/>
      <c r="AT790" s="213"/>
      <c r="AU790" s="212"/>
      <c r="AV790" s="212"/>
      <c r="AW790" s="212"/>
    </row>
    <row r="791">
      <c r="H791" s="211"/>
      <c r="I791" s="211"/>
      <c r="J791" s="211"/>
      <c r="K791" s="211"/>
      <c r="L791" s="211"/>
      <c r="M791" s="211"/>
      <c r="N791" s="211"/>
      <c r="O791" s="211"/>
      <c r="P791" s="211"/>
      <c r="Q791" s="211"/>
      <c r="R791" s="211"/>
      <c r="S791" s="133"/>
      <c r="AR791" s="212"/>
      <c r="AS791" s="56"/>
      <c r="AT791" s="213"/>
      <c r="AU791" s="212"/>
      <c r="AV791" s="212"/>
      <c r="AW791" s="212"/>
    </row>
    <row r="792">
      <c r="H792" s="211"/>
      <c r="I792" s="211"/>
      <c r="J792" s="211"/>
      <c r="K792" s="211"/>
      <c r="L792" s="211"/>
      <c r="M792" s="211"/>
      <c r="N792" s="211"/>
      <c r="O792" s="211"/>
      <c r="P792" s="211"/>
      <c r="Q792" s="211"/>
      <c r="R792" s="211"/>
      <c r="S792" s="133"/>
      <c r="AR792" s="212"/>
      <c r="AS792" s="56"/>
      <c r="AT792" s="213"/>
      <c r="AU792" s="212"/>
      <c r="AV792" s="212"/>
      <c r="AW792" s="212"/>
    </row>
    <row r="793">
      <c r="H793" s="211"/>
      <c r="I793" s="211"/>
      <c r="J793" s="211"/>
      <c r="K793" s="211"/>
      <c r="L793" s="211"/>
      <c r="M793" s="211"/>
      <c r="N793" s="211"/>
      <c r="O793" s="211"/>
      <c r="P793" s="211"/>
      <c r="Q793" s="211"/>
      <c r="R793" s="211"/>
      <c r="S793" s="133"/>
      <c r="AR793" s="212"/>
      <c r="AS793" s="56"/>
      <c r="AT793" s="213"/>
      <c r="AU793" s="212"/>
      <c r="AV793" s="212"/>
      <c r="AW793" s="212"/>
    </row>
    <row r="794">
      <c r="H794" s="211"/>
      <c r="I794" s="211"/>
      <c r="J794" s="211"/>
      <c r="K794" s="211"/>
      <c r="L794" s="211"/>
      <c r="M794" s="211"/>
      <c r="N794" s="211"/>
      <c r="O794" s="211"/>
      <c r="P794" s="211"/>
      <c r="Q794" s="211"/>
      <c r="R794" s="211"/>
      <c r="S794" s="133"/>
      <c r="AR794" s="212"/>
      <c r="AS794" s="56"/>
      <c r="AT794" s="213"/>
      <c r="AU794" s="212"/>
      <c r="AV794" s="212"/>
      <c r="AW794" s="212"/>
    </row>
    <row r="795">
      <c r="H795" s="211"/>
      <c r="I795" s="211"/>
      <c r="J795" s="211"/>
      <c r="K795" s="211"/>
      <c r="L795" s="211"/>
      <c r="M795" s="211"/>
      <c r="N795" s="211"/>
      <c r="O795" s="211"/>
      <c r="P795" s="211"/>
      <c r="Q795" s="211"/>
      <c r="R795" s="211"/>
      <c r="S795" s="133"/>
      <c r="AR795" s="212"/>
      <c r="AS795" s="56"/>
      <c r="AT795" s="213"/>
      <c r="AU795" s="212"/>
      <c r="AV795" s="212"/>
      <c r="AW795" s="212"/>
    </row>
    <row r="796">
      <c r="H796" s="211"/>
      <c r="I796" s="211"/>
      <c r="J796" s="211"/>
      <c r="K796" s="211"/>
      <c r="L796" s="211"/>
      <c r="M796" s="211"/>
      <c r="N796" s="211"/>
      <c r="O796" s="211"/>
      <c r="P796" s="211"/>
      <c r="Q796" s="211"/>
      <c r="R796" s="211"/>
      <c r="S796" s="133"/>
      <c r="AR796" s="212"/>
      <c r="AS796" s="56"/>
      <c r="AT796" s="213"/>
      <c r="AU796" s="212"/>
      <c r="AV796" s="212"/>
      <c r="AW796" s="212"/>
    </row>
    <row r="797">
      <c r="H797" s="211"/>
      <c r="I797" s="211"/>
      <c r="J797" s="211"/>
      <c r="K797" s="211"/>
      <c r="L797" s="211"/>
      <c r="M797" s="211"/>
      <c r="N797" s="211"/>
      <c r="O797" s="211"/>
      <c r="P797" s="211"/>
      <c r="Q797" s="211"/>
      <c r="R797" s="211"/>
      <c r="S797" s="133"/>
      <c r="AR797" s="212"/>
      <c r="AS797" s="56"/>
      <c r="AT797" s="213"/>
      <c r="AU797" s="212"/>
      <c r="AV797" s="212"/>
      <c r="AW797" s="212"/>
    </row>
    <row r="798">
      <c r="H798" s="211"/>
      <c r="I798" s="211"/>
      <c r="J798" s="211"/>
      <c r="K798" s="211"/>
      <c r="L798" s="211"/>
      <c r="M798" s="211"/>
      <c r="N798" s="211"/>
      <c r="O798" s="211"/>
      <c r="P798" s="211"/>
      <c r="Q798" s="211"/>
      <c r="R798" s="211"/>
      <c r="S798" s="133"/>
      <c r="AR798" s="212"/>
      <c r="AS798" s="56"/>
      <c r="AT798" s="213"/>
      <c r="AU798" s="212"/>
      <c r="AV798" s="212"/>
      <c r="AW798" s="212"/>
    </row>
    <row r="799">
      <c r="H799" s="211"/>
      <c r="I799" s="211"/>
      <c r="J799" s="211"/>
      <c r="K799" s="211"/>
      <c r="L799" s="211"/>
      <c r="M799" s="211"/>
      <c r="N799" s="211"/>
      <c r="O799" s="211"/>
      <c r="P799" s="211"/>
      <c r="Q799" s="211"/>
      <c r="R799" s="211"/>
      <c r="S799" s="133"/>
      <c r="AR799" s="212"/>
      <c r="AS799" s="56"/>
      <c r="AT799" s="213"/>
      <c r="AU799" s="212"/>
      <c r="AV799" s="212"/>
      <c r="AW799" s="212"/>
    </row>
    <row r="800">
      <c r="H800" s="211"/>
      <c r="I800" s="211"/>
      <c r="J800" s="211"/>
      <c r="K800" s="211"/>
      <c r="L800" s="211"/>
      <c r="M800" s="211"/>
      <c r="N800" s="211"/>
      <c r="O800" s="211"/>
      <c r="P800" s="211"/>
      <c r="Q800" s="211"/>
      <c r="R800" s="211"/>
      <c r="S800" s="133"/>
      <c r="AR800" s="212"/>
      <c r="AS800" s="56"/>
      <c r="AT800" s="213"/>
      <c r="AU800" s="212"/>
      <c r="AV800" s="212"/>
      <c r="AW800" s="212"/>
    </row>
    <row r="801">
      <c r="H801" s="211"/>
      <c r="I801" s="211"/>
      <c r="J801" s="211"/>
      <c r="K801" s="211"/>
      <c r="L801" s="211"/>
      <c r="M801" s="211"/>
      <c r="N801" s="211"/>
      <c r="O801" s="211"/>
      <c r="P801" s="211"/>
      <c r="Q801" s="211"/>
      <c r="R801" s="211"/>
      <c r="S801" s="133"/>
      <c r="AR801" s="212"/>
      <c r="AS801" s="56"/>
      <c r="AT801" s="213"/>
      <c r="AU801" s="212"/>
      <c r="AV801" s="212"/>
      <c r="AW801" s="212"/>
    </row>
    <row r="802">
      <c r="H802" s="211"/>
      <c r="I802" s="211"/>
      <c r="J802" s="211"/>
      <c r="K802" s="211"/>
      <c r="L802" s="211"/>
      <c r="M802" s="211"/>
      <c r="N802" s="211"/>
      <c r="O802" s="211"/>
      <c r="P802" s="211"/>
      <c r="Q802" s="211"/>
      <c r="R802" s="211"/>
      <c r="S802" s="133"/>
      <c r="AR802" s="212"/>
      <c r="AS802" s="56"/>
      <c r="AT802" s="213"/>
      <c r="AU802" s="212"/>
      <c r="AV802" s="212"/>
      <c r="AW802" s="212"/>
    </row>
    <row r="803">
      <c r="H803" s="211"/>
      <c r="I803" s="211"/>
      <c r="J803" s="211"/>
      <c r="K803" s="211"/>
      <c r="L803" s="211"/>
      <c r="M803" s="211"/>
      <c r="N803" s="211"/>
      <c r="O803" s="211"/>
      <c r="P803" s="211"/>
      <c r="Q803" s="211"/>
      <c r="R803" s="211"/>
      <c r="S803" s="133"/>
      <c r="AR803" s="212"/>
      <c r="AS803" s="56"/>
      <c r="AT803" s="213"/>
      <c r="AU803" s="212"/>
      <c r="AV803" s="212"/>
      <c r="AW803" s="212"/>
    </row>
    <row r="804">
      <c r="H804" s="211"/>
      <c r="I804" s="211"/>
      <c r="J804" s="211"/>
      <c r="K804" s="211"/>
      <c r="L804" s="211"/>
      <c r="M804" s="211"/>
      <c r="N804" s="211"/>
      <c r="O804" s="211"/>
      <c r="P804" s="211"/>
      <c r="Q804" s="211"/>
      <c r="R804" s="211"/>
      <c r="S804" s="133"/>
      <c r="AR804" s="212"/>
      <c r="AS804" s="56"/>
      <c r="AT804" s="213"/>
      <c r="AU804" s="212"/>
      <c r="AV804" s="212"/>
      <c r="AW804" s="212"/>
    </row>
    <row r="805">
      <c r="H805" s="211"/>
      <c r="I805" s="211"/>
      <c r="J805" s="211"/>
      <c r="K805" s="211"/>
      <c r="L805" s="211"/>
      <c r="M805" s="211"/>
      <c r="N805" s="211"/>
      <c r="O805" s="211"/>
      <c r="P805" s="211"/>
      <c r="Q805" s="211"/>
      <c r="R805" s="211"/>
      <c r="S805" s="133"/>
      <c r="AR805" s="212"/>
      <c r="AS805" s="56"/>
      <c r="AT805" s="213"/>
      <c r="AU805" s="212"/>
      <c r="AV805" s="212"/>
      <c r="AW805" s="212"/>
    </row>
    <row r="806">
      <c r="H806" s="211"/>
      <c r="I806" s="211"/>
      <c r="J806" s="211"/>
      <c r="K806" s="211"/>
      <c r="L806" s="211"/>
      <c r="M806" s="211"/>
      <c r="N806" s="211"/>
      <c r="O806" s="211"/>
      <c r="P806" s="211"/>
      <c r="Q806" s="211"/>
      <c r="R806" s="211"/>
      <c r="S806" s="133"/>
      <c r="AR806" s="212"/>
      <c r="AS806" s="56"/>
      <c r="AT806" s="213"/>
      <c r="AU806" s="212"/>
      <c r="AV806" s="212"/>
      <c r="AW806" s="212"/>
    </row>
    <row r="807">
      <c r="H807" s="211"/>
      <c r="I807" s="211"/>
      <c r="J807" s="211"/>
      <c r="K807" s="211"/>
      <c r="L807" s="211"/>
      <c r="M807" s="211"/>
      <c r="N807" s="211"/>
      <c r="O807" s="211"/>
      <c r="P807" s="211"/>
      <c r="Q807" s="211"/>
      <c r="R807" s="211"/>
      <c r="S807" s="133"/>
      <c r="AR807" s="212"/>
      <c r="AS807" s="56"/>
      <c r="AT807" s="213"/>
      <c r="AU807" s="212"/>
      <c r="AV807" s="212"/>
      <c r="AW807" s="212"/>
    </row>
    <row r="808">
      <c r="H808" s="211"/>
      <c r="I808" s="211"/>
      <c r="J808" s="211"/>
      <c r="K808" s="211"/>
      <c r="L808" s="211"/>
      <c r="M808" s="211"/>
      <c r="N808" s="211"/>
      <c r="O808" s="211"/>
      <c r="P808" s="211"/>
      <c r="Q808" s="211"/>
      <c r="R808" s="211"/>
      <c r="S808" s="133"/>
      <c r="AR808" s="212"/>
      <c r="AS808" s="56"/>
      <c r="AT808" s="213"/>
      <c r="AU808" s="212"/>
      <c r="AV808" s="212"/>
      <c r="AW808" s="212"/>
    </row>
    <row r="809">
      <c r="H809" s="211"/>
      <c r="I809" s="211"/>
      <c r="J809" s="211"/>
      <c r="K809" s="211"/>
      <c r="L809" s="211"/>
      <c r="M809" s="211"/>
      <c r="N809" s="211"/>
      <c r="O809" s="211"/>
      <c r="P809" s="211"/>
      <c r="Q809" s="211"/>
      <c r="R809" s="211"/>
      <c r="S809" s="133"/>
      <c r="AR809" s="212"/>
      <c r="AS809" s="56"/>
      <c r="AT809" s="213"/>
      <c r="AU809" s="212"/>
      <c r="AV809" s="212"/>
      <c r="AW809" s="212"/>
    </row>
    <row r="810">
      <c r="H810" s="211"/>
      <c r="I810" s="211"/>
      <c r="J810" s="211"/>
      <c r="K810" s="211"/>
      <c r="L810" s="211"/>
      <c r="M810" s="211"/>
      <c r="N810" s="211"/>
      <c r="O810" s="211"/>
      <c r="P810" s="211"/>
      <c r="Q810" s="211"/>
      <c r="R810" s="211"/>
      <c r="S810" s="133"/>
      <c r="AR810" s="212"/>
      <c r="AS810" s="56"/>
      <c r="AT810" s="213"/>
      <c r="AU810" s="212"/>
      <c r="AV810" s="212"/>
      <c r="AW810" s="212"/>
    </row>
    <row r="811">
      <c r="H811" s="211"/>
      <c r="I811" s="211"/>
      <c r="J811" s="211"/>
      <c r="K811" s="211"/>
      <c r="L811" s="211"/>
      <c r="M811" s="211"/>
      <c r="N811" s="211"/>
      <c r="O811" s="211"/>
      <c r="P811" s="211"/>
      <c r="Q811" s="211"/>
      <c r="R811" s="211"/>
      <c r="S811" s="133"/>
      <c r="AR811" s="212"/>
      <c r="AS811" s="56"/>
      <c r="AT811" s="213"/>
      <c r="AU811" s="212"/>
      <c r="AV811" s="212"/>
      <c r="AW811" s="212"/>
    </row>
    <row r="812">
      <c r="H812" s="211"/>
      <c r="I812" s="211"/>
      <c r="J812" s="211"/>
      <c r="K812" s="211"/>
      <c r="L812" s="211"/>
      <c r="M812" s="211"/>
      <c r="N812" s="211"/>
      <c r="O812" s="211"/>
      <c r="P812" s="211"/>
      <c r="Q812" s="211"/>
      <c r="R812" s="211"/>
      <c r="S812" s="133"/>
      <c r="AR812" s="212"/>
      <c r="AS812" s="56"/>
      <c r="AT812" s="213"/>
      <c r="AU812" s="212"/>
      <c r="AV812" s="212"/>
      <c r="AW812" s="212"/>
    </row>
    <row r="813">
      <c r="H813" s="211"/>
      <c r="I813" s="211"/>
      <c r="J813" s="211"/>
      <c r="K813" s="211"/>
      <c r="L813" s="211"/>
      <c r="M813" s="211"/>
      <c r="N813" s="211"/>
      <c r="O813" s="211"/>
      <c r="P813" s="211"/>
      <c r="Q813" s="211"/>
      <c r="R813" s="211"/>
      <c r="S813" s="133"/>
      <c r="AR813" s="212"/>
      <c r="AS813" s="56"/>
      <c r="AT813" s="213"/>
      <c r="AU813" s="212"/>
      <c r="AV813" s="212"/>
      <c r="AW813" s="212"/>
    </row>
    <row r="814">
      <c r="H814" s="211"/>
      <c r="I814" s="211"/>
      <c r="J814" s="211"/>
      <c r="K814" s="211"/>
      <c r="L814" s="211"/>
      <c r="M814" s="211"/>
      <c r="N814" s="211"/>
      <c r="O814" s="211"/>
      <c r="P814" s="211"/>
      <c r="Q814" s="211"/>
      <c r="R814" s="211"/>
      <c r="S814" s="133"/>
      <c r="AR814" s="212"/>
      <c r="AS814" s="56"/>
      <c r="AT814" s="213"/>
      <c r="AU814" s="212"/>
      <c r="AV814" s="212"/>
      <c r="AW814" s="212"/>
    </row>
    <row r="815">
      <c r="H815" s="211"/>
      <c r="I815" s="211"/>
      <c r="J815" s="211"/>
      <c r="K815" s="211"/>
      <c r="L815" s="211"/>
      <c r="M815" s="211"/>
      <c r="N815" s="211"/>
      <c r="O815" s="211"/>
      <c r="P815" s="211"/>
      <c r="Q815" s="211"/>
      <c r="R815" s="211"/>
      <c r="S815" s="133"/>
      <c r="AR815" s="212"/>
      <c r="AS815" s="56"/>
      <c r="AT815" s="213"/>
      <c r="AU815" s="212"/>
      <c r="AV815" s="212"/>
      <c r="AW815" s="212"/>
    </row>
    <row r="816">
      <c r="H816" s="211"/>
      <c r="I816" s="211"/>
      <c r="J816" s="211"/>
      <c r="K816" s="211"/>
      <c r="L816" s="211"/>
      <c r="M816" s="211"/>
      <c r="N816" s="211"/>
      <c r="O816" s="211"/>
      <c r="P816" s="211"/>
      <c r="Q816" s="211"/>
      <c r="R816" s="211"/>
      <c r="S816" s="133"/>
      <c r="AR816" s="212"/>
      <c r="AS816" s="56"/>
      <c r="AT816" s="213"/>
      <c r="AU816" s="212"/>
      <c r="AV816" s="212"/>
      <c r="AW816" s="212"/>
    </row>
    <row r="817">
      <c r="H817" s="211"/>
      <c r="I817" s="211"/>
      <c r="J817" s="211"/>
      <c r="K817" s="211"/>
      <c r="L817" s="211"/>
      <c r="M817" s="211"/>
      <c r="N817" s="211"/>
      <c r="O817" s="211"/>
      <c r="P817" s="211"/>
      <c r="Q817" s="211"/>
      <c r="R817" s="211"/>
      <c r="S817" s="133"/>
      <c r="AR817" s="212"/>
      <c r="AS817" s="56"/>
      <c r="AT817" s="213"/>
      <c r="AU817" s="212"/>
      <c r="AV817" s="212"/>
      <c r="AW817" s="212"/>
    </row>
    <row r="818">
      <c r="H818" s="211"/>
      <c r="I818" s="211"/>
      <c r="J818" s="211"/>
      <c r="K818" s="211"/>
      <c r="L818" s="211"/>
      <c r="M818" s="211"/>
      <c r="N818" s="211"/>
      <c r="O818" s="211"/>
      <c r="P818" s="211"/>
      <c r="Q818" s="211"/>
      <c r="R818" s="211"/>
      <c r="S818" s="133"/>
      <c r="AR818" s="212"/>
      <c r="AS818" s="56"/>
      <c r="AT818" s="213"/>
      <c r="AU818" s="212"/>
      <c r="AV818" s="212"/>
      <c r="AW818" s="212"/>
    </row>
    <row r="819">
      <c r="H819" s="211"/>
      <c r="I819" s="211"/>
      <c r="J819" s="211"/>
      <c r="K819" s="211"/>
      <c r="L819" s="211"/>
      <c r="M819" s="211"/>
      <c r="N819" s="211"/>
      <c r="O819" s="211"/>
      <c r="P819" s="211"/>
      <c r="Q819" s="211"/>
      <c r="R819" s="211"/>
      <c r="S819" s="133"/>
      <c r="AR819" s="212"/>
      <c r="AS819" s="56"/>
      <c r="AT819" s="213"/>
      <c r="AU819" s="212"/>
      <c r="AV819" s="212"/>
      <c r="AW819" s="212"/>
    </row>
    <row r="820">
      <c r="H820" s="211"/>
      <c r="I820" s="211"/>
      <c r="J820" s="211"/>
      <c r="K820" s="211"/>
      <c r="L820" s="211"/>
      <c r="M820" s="211"/>
      <c r="N820" s="211"/>
      <c r="O820" s="211"/>
      <c r="P820" s="211"/>
      <c r="Q820" s="211"/>
      <c r="R820" s="211"/>
      <c r="S820" s="133"/>
      <c r="AR820" s="212"/>
      <c r="AS820" s="56"/>
      <c r="AT820" s="213"/>
      <c r="AU820" s="212"/>
      <c r="AV820" s="212"/>
      <c r="AW820" s="212"/>
    </row>
    <row r="821">
      <c r="H821" s="211"/>
      <c r="I821" s="211"/>
      <c r="J821" s="211"/>
      <c r="K821" s="211"/>
      <c r="L821" s="211"/>
      <c r="M821" s="211"/>
      <c r="N821" s="211"/>
      <c r="O821" s="211"/>
      <c r="P821" s="211"/>
      <c r="Q821" s="211"/>
      <c r="R821" s="211"/>
      <c r="S821" s="133"/>
      <c r="AR821" s="212"/>
      <c r="AS821" s="56"/>
      <c r="AT821" s="213"/>
      <c r="AU821" s="212"/>
      <c r="AV821" s="212"/>
      <c r="AW821" s="212"/>
    </row>
    <row r="822">
      <c r="H822" s="211"/>
      <c r="I822" s="211"/>
      <c r="J822" s="211"/>
      <c r="K822" s="211"/>
      <c r="L822" s="211"/>
      <c r="M822" s="211"/>
      <c r="N822" s="211"/>
      <c r="O822" s="211"/>
      <c r="P822" s="211"/>
      <c r="Q822" s="211"/>
      <c r="R822" s="211"/>
      <c r="S822" s="133"/>
      <c r="AR822" s="212"/>
      <c r="AS822" s="56"/>
      <c r="AT822" s="213"/>
      <c r="AU822" s="212"/>
      <c r="AV822" s="212"/>
      <c r="AW822" s="212"/>
    </row>
    <row r="823">
      <c r="H823" s="211"/>
      <c r="I823" s="211"/>
      <c r="J823" s="211"/>
      <c r="K823" s="211"/>
      <c r="L823" s="211"/>
      <c r="M823" s="211"/>
      <c r="N823" s="211"/>
      <c r="O823" s="211"/>
      <c r="P823" s="211"/>
      <c r="Q823" s="211"/>
      <c r="R823" s="211"/>
      <c r="S823" s="133"/>
      <c r="AR823" s="212"/>
      <c r="AS823" s="56"/>
      <c r="AT823" s="213"/>
      <c r="AU823" s="212"/>
      <c r="AV823" s="212"/>
      <c r="AW823" s="212"/>
    </row>
    <row r="824">
      <c r="H824" s="211"/>
      <c r="I824" s="211"/>
      <c r="J824" s="211"/>
      <c r="K824" s="211"/>
      <c r="L824" s="211"/>
      <c r="M824" s="211"/>
      <c r="N824" s="211"/>
      <c r="O824" s="211"/>
      <c r="P824" s="211"/>
      <c r="Q824" s="211"/>
      <c r="R824" s="211"/>
      <c r="S824" s="133"/>
      <c r="AR824" s="212"/>
      <c r="AS824" s="56"/>
      <c r="AT824" s="213"/>
      <c r="AU824" s="212"/>
      <c r="AV824" s="212"/>
      <c r="AW824" s="212"/>
    </row>
    <row r="825">
      <c r="H825" s="211"/>
      <c r="I825" s="211"/>
      <c r="J825" s="211"/>
      <c r="K825" s="211"/>
      <c r="L825" s="211"/>
      <c r="M825" s="211"/>
      <c r="N825" s="211"/>
      <c r="O825" s="211"/>
      <c r="P825" s="211"/>
      <c r="Q825" s="211"/>
      <c r="R825" s="211"/>
      <c r="S825" s="133"/>
      <c r="AR825" s="212"/>
      <c r="AS825" s="56"/>
      <c r="AT825" s="213"/>
      <c r="AU825" s="212"/>
      <c r="AV825" s="212"/>
      <c r="AW825" s="212"/>
    </row>
    <row r="826">
      <c r="H826" s="211"/>
      <c r="I826" s="211"/>
      <c r="J826" s="211"/>
      <c r="K826" s="211"/>
      <c r="L826" s="211"/>
      <c r="M826" s="211"/>
      <c r="N826" s="211"/>
      <c r="O826" s="211"/>
      <c r="P826" s="211"/>
      <c r="Q826" s="211"/>
      <c r="R826" s="211"/>
      <c r="S826" s="133"/>
      <c r="AR826" s="212"/>
      <c r="AS826" s="56"/>
      <c r="AT826" s="213"/>
      <c r="AU826" s="212"/>
      <c r="AV826" s="212"/>
      <c r="AW826" s="212"/>
    </row>
    <row r="827">
      <c r="H827" s="211"/>
      <c r="I827" s="211"/>
      <c r="J827" s="211"/>
      <c r="K827" s="211"/>
      <c r="L827" s="211"/>
      <c r="M827" s="211"/>
      <c r="N827" s="211"/>
      <c r="O827" s="211"/>
      <c r="P827" s="211"/>
      <c r="Q827" s="211"/>
      <c r="R827" s="211"/>
      <c r="S827" s="133"/>
      <c r="AR827" s="212"/>
      <c r="AS827" s="56"/>
      <c r="AT827" s="213"/>
      <c r="AU827" s="212"/>
      <c r="AV827" s="212"/>
      <c r="AW827" s="212"/>
    </row>
    <row r="828">
      <c r="H828" s="211"/>
      <c r="I828" s="211"/>
      <c r="J828" s="211"/>
      <c r="K828" s="211"/>
      <c r="L828" s="211"/>
      <c r="M828" s="211"/>
      <c r="N828" s="211"/>
      <c r="O828" s="211"/>
      <c r="P828" s="211"/>
      <c r="Q828" s="211"/>
      <c r="R828" s="211"/>
      <c r="S828" s="133"/>
      <c r="AR828" s="212"/>
      <c r="AS828" s="56"/>
      <c r="AT828" s="213"/>
      <c r="AU828" s="212"/>
      <c r="AV828" s="212"/>
      <c r="AW828" s="212"/>
    </row>
    <row r="829">
      <c r="H829" s="211"/>
      <c r="I829" s="211"/>
      <c r="J829" s="211"/>
      <c r="K829" s="211"/>
      <c r="L829" s="211"/>
      <c r="M829" s="211"/>
      <c r="N829" s="211"/>
      <c r="O829" s="211"/>
      <c r="P829" s="211"/>
      <c r="Q829" s="211"/>
      <c r="R829" s="211"/>
      <c r="S829" s="133"/>
      <c r="AR829" s="212"/>
      <c r="AS829" s="56"/>
      <c r="AT829" s="213"/>
      <c r="AU829" s="212"/>
      <c r="AV829" s="212"/>
      <c r="AW829" s="212"/>
    </row>
    <row r="830">
      <c r="H830" s="211"/>
      <c r="I830" s="211"/>
      <c r="J830" s="211"/>
      <c r="K830" s="211"/>
      <c r="L830" s="211"/>
      <c r="M830" s="211"/>
      <c r="N830" s="211"/>
      <c r="O830" s="211"/>
      <c r="P830" s="211"/>
      <c r="Q830" s="211"/>
      <c r="R830" s="211"/>
      <c r="S830" s="133"/>
      <c r="AR830" s="212"/>
      <c r="AS830" s="56"/>
      <c r="AT830" s="213"/>
      <c r="AU830" s="212"/>
      <c r="AV830" s="212"/>
      <c r="AW830" s="212"/>
    </row>
    <row r="831">
      <c r="H831" s="211"/>
      <c r="I831" s="211"/>
      <c r="J831" s="211"/>
      <c r="K831" s="211"/>
      <c r="L831" s="211"/>
      <c r="M831" s="211"/>
      <c r="N831" s="211"/>
      <c r="O831" s="211"/>
      <c r="P831" s="211"/>
      <c r="Q831" s="211"/>
      <c r="R831" s="211"/>
      <c r="S831" s="133"/>
      <c r="AR831" s="212"/>
      <c r="AS831" s="56"/>
      <c r="AT831" s="213"/>
      <c r="AU831" s="212"/>
      <c r="AV831" s="212"/>
      <c r="AW831" s="212"/>
    </row>
    <row r="832">
      <c r="H832" s="211"/>
      <c r="I832" s="211"/>
      <c r="J832" s="211"/>
      <c r="K832" s="211"/>
      <c r="L832" s="211"/>
      <c r="M832" s="211"/>
      <c r="N832" s="211"/>
      <c r="O832" s="211"/>
      <c r="P832" s="211"/>
      <c r="Q832" s="211"/>
      <c r="R832" s="211"/>
      <c r="S832" s="133"/>
      <c r="AR832" s="212"/>
      <c r="AS832" s="56"/>
      <c r="AT832" s="213"/>
      <c r="AU832" s="212"/>
      <c r="AV832" s="212"/>
      <c r="AW832" s="212"/>
    </row>
    <row r="833">
      <c r="H833" s="211"/>
      <c r="I833" s="211"/>
      <c r="J833" s="211"/>
      <c r="K833" s="211"/>
      <c r="L833" s="211"/>
      <c r="M833" s="211"/>
      <c r="N833" s="211"/>
      <c r="O833" s="211"/>
      <c r="P833" s="211"/>
      <c r="Q833" s="211"/>
      <c r="R833" s="211"/>
      <c r="S833" s="133"/>
      <c r="AR833" s="212"/>
      <c r="AS833" s="56"/>
      <c r="AT833" s="213"/>
      <c r="AU833" s="212"/>
      <c r="AV833" s="212"/>
      <c r="AW833" s="212"/>
    </row>
    <row r="834">
      <c r="H834" s="211"/>
      <c r="I834" s="211"/>
      <c r="J834" s="211"/>
      <c r="K834" s="211"/>
      <c r="L834" s="211"/>
      <c r="M834" s="211"/>
      <c r="N834" s="211"/>
      <c r="O834" s="211"/>
      <c r="P834" s="211"/>
      <c r="Q834" s="211"/>
      <c r="R834" s="211"/>
      <c r="S834" s="133"/>
      <c r="AR834" s="212"/>
      <c r="AS834" s="56"/>
      <c r="AT834" s="213"/>
      <c r="AU834" s="212"/>
      <c r="AV834" s="212"/>
      <c r="AW834" s="212"/>
    </row>
    <row r="835">
      <c r="H835" s="211"/>
      <c r="I835" s="211"/>
      <c r="J835" s="211"/>
      <c r="K835" s="211"/>
      <c r="L835" s="211"/>
      <c r="M835" s="211"/>
      <c r="N835" s="211"/>
      <c r="O835" s="211"/>
      <c r="P835" s="211"/>
      <c r="Q835" s="211"/>
      <c r="R835" s="211"/>
      <c r="S835" s="133"/>
      <c r="AR835" s="212"/>
      <c r="AS835" s="56"/>
      <c r="AT835" s="213"/>
      <c r="AU835" s="212"/>
      <c r="AV835" s="212"/>
      <c r="AW835" s="212"/>
    </row>
    <row r="836">
      <c r="H836" s="211"/>
      <c r="I836" s="211"/>
      <c r="J836" s="211"/>
      <c r="K836" s="211"/>
      <c r="L836" s="211"/>
      <c r="M836" s="211"/>
      <c r="N836" s="211"/>
      <c r="O836" s="211"/>
      <c r="P836" s="211"/>
      <c r="Q836" s="211"/>
      <c r="R836" s="211"/>
      <c r="S836" s="133"/>
      <c r="AR836" s="212"/>
      <c r="AS836" s="56"/>
      <c r="AT836" s="213"/>
      <c r="AU836" s="212"/>
      <c r="AV836" s="212"/>
      <c r="AW836" s="212"/>
    </row>
    <row r="837">
      <c r="H837" s="211"/>
      <c r="I837" s="211"/>
      <c r="J837" s="211"/>
      <c r="K837" s="211"/>
      <c r="L837" s="211"/>
      <c r="M837" s="211"/>
      <c r="N837" s="211"/>
      <c r="O837" s="211"/>
      <c r="P837" s="211"/>
      <c r="Q837" s="211"/>
      <c r="R837" s="211"/>
      <c r="S837" s="133"/>
      <c r="AR837" s="212"/>
      <c r="AS837" s="56"/>
      <c r="AT837" s="213"/>
      <c r="AU837" s="212"/>
      <c r="AV837" s="212"/>
      <c r="AW837" s="212"/>
    </row>
    <row r="838">
      <c r="H838" s="211"/>
      <c r="I838" s="211"/>
      <c r="J838" s="211"/>
      <c r="K838" s="211"/>
      <c r="L838" s="211"/>
      <c r="M838" s="211"/>
      <c r="N838" s="211"/>
      <c r="O838" s="211"/>
      <c r="P838" s="211"/>
      <c r="Q838" s="211"/>
      <c r="R838" s="211"/>
      <c r="S838" s="133"/>
      <c r="AR838" s="212"/>
      <c r="AS838" s="56"/>
      <c r="AT838" s="213"/>
      <c r="AU838" s="212"/>
      <c r="AV838" s="212"/>
      <c r="AW838" s="212"/>
    </row>
    <row r="839">
      <c r="H839" s="211"/>
      <c r="I839" s="211"/>
      <c r="J839" s="211"/>
      <c r="K839" s="211"/>
      <c r="L839" s="211"/>
      <c r="M839" s="211"/>
      <c r="N839" s="211"/>
      <c r="O839" s="211"/>
      <c r="P839" s="211"/>
      <c r="Q839" s="211"/>
      <c r="R839" s="211"/>
      <c r="S839" s="133"/>
      <c r="AR839" s="212"/>
      <c r="AS839" s="56"/>
      <c r="AT839" s="213"/>
      <c r="AU839" s="212"/>
      <c r="AV839" s="212"/>
      <c r="AW839" s="212"/>
    </row>
    <row r="840">
      <c r="H840" s="211"/>
      <c r="I840" s="211"/>
      <c r="J840" s="211"/>
      <c r="K840" s="211"/>
      <c r="L840" s="211"/>
      <c r="M840" s="211"/>
      <c r="N840" s="211"/>
      <c r="O840" s="211"/>
      <c r="P840" s="211"/>
      <c r="Q840" s="211"/>
      <c r="R840" s="211"/>
      <c r="S840" s="133"/>
      <c r="AR840" s="212"/>
      <c r="AS840" s="56"/>
      <c r="AT840" s="213"/>
      <c r="AU840" s="212"/>
      <c r="AV840" s="212"/>
      <c r="AW840" s="212"/>
    </row>
    <row r="841">
      <c r="H841" s="211"/>
      <c r="I841" s="211"/>
      <c r="J841" s="211"/>
      <c r="K841" s="211"/>
      <c r="L841" s="211"/>
      <c r="M841" s="211"/>
      <c r="N841" s="211"/>
      <c r="O841" s="211"/>
      <c r="P841" s="211"/>
      <c r="Q841" s="211"/>
      <c r="R841" s="211"/>
      <c r="S841" s="133"/>
      <c r="AR841" s="212"/>
      <c r="AS841" s="56"/>
      <c r="AT841" s="213"/>
      <c r="AU841" s="212"/>
      <c r="AV841" s="212"/>
      <c r="AW841" s="212"/>
    </row>
    <row r="842">
      <c r="H842" s="211"/>
      <c r="I842" s="211"/>
      <c r="J842" s="211"/>
      <c r="K842" s="211"/>
      <c r="L842" s="211"/>
      <c r="M842" s="211"/>
      <c r="N842" s="211"/>
      <c r="O842" s="211"/>
      <c r="P842" s="211"/>
      <c r="Q842" s="211"/>
      <c r="R842" s="211"/>
      <c r="S842" s="133"/>
      <c r="AR842" s="212"/>
      <c r="AS842" s="56"/>
      <c r="AT842" s="213"/>
      <c r="AU842" s="212"/>
      <c r="AV842" s="212"/>
      <c r="AW842" s="212"/>
    </row>
    <row r="843">
      <c r="H843" s="211"/>
      <c r="I843" s="211"/>
      <c r="J843" s="211"/>
      <c r="K843" s="211"/>
      <c r="L843" s="211"/>
      <c r="M843" s="211"/>
      <c r="N843" s="211"/>
      <c r="O843" s="211"/>
      <c r="P843" s="211"/>
      <c r="Q843" s="211"/>
      <c r="R843" s="211"/>
      <c r="S843" s="133"/>
      <c r="AR843" s="212"/>
      <c r="AS843" s="56"/>
      <c r="AT843" s="213"/>
      <c r="AU843" s="212"/>
      <c r="AV843" s="212"/>
      <c r="AW843" s="212"/>
    </row>
    <row r="844">
      <c r="H844" s="211"/>
      <c r="I844" s="211"/>
      <c r="J844" s="211"/>
      <c r="K844" s="211"/>
      <c r="L844" s="211"/>
      <c r="M844" s="211"/>
      <c r="N844" s="211"/>
      <c r="O844" s="211"/>
      <c r="P844" s="211"/>
      <c r="Q844" s="211"/>
      <c r="R844" s="211"/>
      <c r="S844" s="133"/>
      <c r="AR844" s="212"/>
      <c r="AS844" s="56"/>
      <c r="AT844" s="213"/>
      <c r="AU844" s="212"/>
      <c r="AV844" s="212"/>
      <c r="AW844" s="212"/>
    </row>
    <row r="845">
      <c r="H845" s="211"/>
      <c r="I845" s="211"/>
      <c r="J845" s="211"/>
      <c r="K845" s="211"/>
      <c r="L845" s="211"/>
      <c r="M845" s="211"/>
      <c r="N845" s="211"/>
      <c r="O845" s="211"/>
      <c r="P845" s="211"/>
      <c r="Q845" s="211"/>
      <c r="R845" s="211"/>
      <c r="S845" s="133"/>
      <c r="AR845" s="212"/>
      <c r="AS845" s="56"/>
      <c r="AT845" s="213"/>
      <c r="AU845" s="212"/>
      <c r="AV845" s="212"/>
      <c r="AW845" s="212"/>
    </row>
    <row r="846">
      <c r="H846" s="211"/>
      <c r="I846" s="211"/>
      <c r="J846" s="211"/>
      <c r="K846" s="211"/>
      <c r="L846" s="211"/>
      <c r="M846" s="211"/>
      <c r="N846" s="211"/>
      <c r="O846" s="211"/>
      <c r="P846" s="211"/>
      <c r="Q846" s="211"/>
      <c r="R846" s="211"/>
      <c r="S846" s="133"/>
      <c r="AR846" s="212"/>
      <c r="AS846" s="56"/>
      <c r="AT846" s="213"/>
      <c r="AU846" s="212"/>
      <c r="AV846" s="212"/>
      <c r="AW846" s="212"/>
    </row>
    <row r="847">
      <c r="H847" s="211"/>
      <c r="I847" s="211"/>
      <c r="J847" s="211"/>
      <c r="K847" s="211"/>
      <c r="L847" s="211"/>
      <c r="M847" s="211"/>
      <c r="N847" s="211"/>
      <c r="O847" s="211"/>
      <c r="P847" s="211"/>
      <c r="Q847" s="211"/>
      <c r="R847" s="211"/>
      <c r="S847" s="133"/>
      <c r="AR847" s="212"/>
      <c r="AS847" s="56"/>
      <c r="AT847" s="213"/>
      <c r="AU847" s="212"/>
      <c r="AV847" s="212"/>
      <c r="AW847" s="212"/>
    </row>
    <row r="848">
      <c r="H848" s="211"/>
      <c r="I848" s="211"/>
      <c r="J848" s="211"/>
      <c r="K848" s="211"/>
      <c r="L848" s="211"/>
      <c r="M848" s="211"/>
      <c r="N848" s="211"/>
      <c r="O848" s="211"/>
      <c r="P848" s="211"/>
      <c r="Q848" s="211"/>
      <c r="R848" s="211"/>
      <c r="S848" s="133"/>
      <c r="AR848" s="212"/>
      <c r="AS848" s="56"/>
      <c r="AT848" s="213"/>
      <c r="AU848" s="212"/>
      <c r="AV848" s="212"/>
      <c r="AW848" s="212"/>
    </row>
    <row r="849">
      <c r="H849" s="211"/>
      <c r="I849" s="211"/>
      <c r="J849" s="211"/>
      <c r="K849" s="211"/>
      <c r="L849" s="211"/>
      <c r="M849" s="211"/>
      <c r="N849" s="211"/>
      <c r="O849" s="211"/>
      <c r="P849" s="211"/>
      <c r="Q849" s="211"/>
      <c r="R849" s="211"/>
      <c r="S849" s="133"/>
      <c r="AR849" s="212"/>
      <c r="AS849" s="56"/>
      <c r="AT849" s="213"/>
      <c r="AU849" s="212"/>
      <c r="AV849" s="212"/>
      <c r="AW849" s="212"/>
    </row>
    <row r="850">
      <c r="H850" s="211"/>
      <c r="I850" s="211"/>
      <c r="J850" s="211"/>
      <c r="K850" s="211"/>
      <c r="L850" s="211"/>
      <c r="M850" s="211"/>
      <c r="N850" s="211"/>
      <c r="O850" s="211"/>
      <c r="P850" s="211"/>
      <c r="Q850" s="211"/>
      <c r="R850" s="211"/>
      <c r="S850" s="133"/>
      <c r="AR850" s="212"/>
      <c r="AS850" s="56"/>
      <c r="AT850" s="213"/>
      <c r="AU850" s="212"/>
      <c r="AV850" s="212"/>
      <c r="AW850" s="212"/>
    </row>
    <row r="851">
      <c r="H851" s="211"/>
      <c r="I851" s="211"/>
      <c r="J851" s="211"/>
      <c r="K851" s="211"/>
      <c r="L851" s="211"/>
      <c r="M851" s="211"/>
      <c r="N851" s="211"/>
      <c r="O851" s="211"/>
      <c r="P851" s="211"/>
      <c r="Q851" s="211"/>
      <c r="R851" s="211"/>
      <c r="S851" s="133"/>
      <c r="AR851" s="212"/>
      <c r="AS851" s="56"/>
      <c r="AT851" s="213"/>
      <c r="AU851" s="212"/>
      <c r="AV851" s="212"/>
      <c r="AW851" s="212"/>
    </row>
    <row r="852">
      <c r="H852" s="211"/>
      <c r="I852" s="211"/>
      <c r="J852" s="211"/>
      <c r="K852" s="211"/>
      <c r="L852" s="211"/>
      <c r="M852" s="211"/>
      <c r="N852" s="211"/>
      <c r="O852" s="211"/>
      <c r="P852" s="211"/>
      <c r="Q852" s="211"/>
      <c r="R852" s="211"/>
      <c r="S852" s="133"/>
      <c r="AR852" s="212"/>
      <c r="AS852" s="56"/>
      <c r="AT852" s="213"/>
      <c r="AU852" s="212"/>
      <c r="AV852" s="212"/>
      <c r="AW852" s="212"/>
    </row>
    <row r="853">
      <c r="H853" s="211"/>
      <c r="I853" s="211"/>
      <c r="J853" s="211"/>
      <c r="K853" s="211"/>
      <c r="L853" s="211"/>
      <c r="M853" s="211"/>
      <c r="N853" s="211"/>
      <c r="O853" s="211"/>
      <c r="P853" s="211"/>
      <c r="Q853" s="211"/>
      <c r="R853" s="211"/>
      <c r="S853" s="133"/>
      <c r="AR853" s="212"/>
      <c r="AS853" s="56"/>
      <c r="AT853" s="213"/>
      <c r="AU853" s="212"/>
      <c r="AV853" s="212"/>
      <c r="AW853" s="212"/>
    </row>
    <row r="854">
      <c r="H854" s="211"/>
      <c r="I854" s="211"/>
      <c r="J854" s="211"/>
      <c r="K854" s="211"/>
      <c r="L854" s="211"/>
      <c r="M854" s="211"/>
      <c r="N854" s="211"/>
      <c r="O854" s="211"/>
      <c r="P854" s="211"/>
      <c r="Q854" s="211"/>
      <c r="R854" s="211"/>
      <c r="S854" s="133"/>
      <c r="AR854" s="212"/>
      <c r="AS854" s="56"/>
      <c r="AT854" s="213"/>
      <c r="AU854" s="212"/>
      <c r="AV854" s="212"/>
      <c r="AW854" s="212"/>
    </row>
    <row r="855">
      <c r="H855" s="211"/>
      <c r="I855" s="211"/>
      <c r="J855" s="211"/>
      <c r="K855" s="211"/>
      <c r="L855" s="211"/>
      <c r="M855" s="211"/>
      <c r="N855" s="211"/>
      <c r="O855" s="211"/>
      <c r="P855" s="211"/>
      <c r="Q855" s="211"/>
      <c r="R855" s="211"/>
      <c r="S855" s="133"/>
      <c r="AR855" s="212"/>
      <c r="AS855" s="56"/>
      <c r="AT855" s="213"/>
      <c r="AU855" s="212"/>
      <c r="AV855" s="212"/>
      <c r="AW855" s="212"/>
    </row>
    <row r="856">
      <c r="H856" s="211"/>
      <c r="I856" s="211"/>
      <c r="J856" s="211"/>
      <c r="K856" s="211"/>
      <c r="L856" s="211"/>
      <c r="M856" s="211"/>
      <c r="N856" s="211"/>
      <c r="O856" s="211"/>
      <c r="P856" s="211"/>
      <c r="Q856" s="211"/>
      <c r="R856" s="211"/>
      <c r="S856" s="133"/>
      <c r="AR856" s="212"/>
      <c r="AS856" s="56"/>
      <c r="AT856" s="213"/>
      <c r="AU856" s="212"/>
      <c r="AV856" s="212"/>
      <c r="AW856" s="212"/>
    </row>
    <row r="857">
      <c r="H857" s="211"/>
      <c r="I857" s="211"/>
      <c r="J857" s="211"/>
      <c r="K857" s="211"/>
      <c r="L857" s="211"/>
      <c r="M857" s="211"/>
      <c r="N857" s="211"/>
      <c r="O857" s="211"/>
      <c r="P857" s="211"/>
      <c r="Q857" s="211"/>
      <c r="R857" s="211"/>
      <c r="S857" s="133"/>
      <c r="AR857" s="212"/>
      <c r="AS857" s="56"/>
      <c r="AT857" s="213"/>
      <c r="AU857" s="212"/>
      <c r="AV857" s="212"/>
      <c r="AW857" s="212"/>
    </row>
    <row r="858">
      <c r="H858" s="211"/>
      <c r="I858" s="211"/>
      <c r="J858" s="211"/>
      <c r="K858" s="211"/>
      <c r="L858" s="211"/>
      <c r="M858" s="211"/>
      <c r="N858" s="211"/>
      <c r="O858" s="211"/>
      <c r="P858" s="211"/>
      <c r="Q858" s="211"/>
      <c r="R858" s="211"/>
      <c r="S858" s="133"/>
      <c r="AR858" s="212"/>
      <c r="AS858" s="56"/>
      <c r="AT858" s="213"/>
      <c r="AU858" s="212"/>
      <c r="AV858" s="212"/>
      <c r="AW858" s="212"/>
    </row>
    <row r="859">
      <c r="H859" s="211"/>
      <c r="I859" s="211"/>
      <c r="J859" s="211"/>
      <c r="K859" s="211"/>
      <c r="L859" s="211"/>
      <c r="M859" s="211"/>
      <c r="N859" s="211"/>
      <c r="O859" s="211"/>
      <c r="P859" s="211"/>
      <c r="Q859" s="211"/>
      <c r="R859" s="211"/>
      <c r="S859" s="133"/>
      <c r="AR859" s="212"/>
      <c r="AS859" s="56"/>
      <c r="AT859" s="213"/>
      <c r="AU859" s="212"/>
      <c r="AV859" s="212"/>
      <c r="AW859" s="212"/>
    </row>
    <row r="860">
      <c r="H860" s="211"/>
      <c r="I860" s="211"/>
      <c r="J860" s="211"/>
      <c r="K860" s="211"/>
      <c r="L860" s="211"/>
      <c r="M860" s="211"/>
      <c r="N860" s="211"/>
      <c r="O860" s="211"/>
      <c r="P860" s="211"/>
      <c r="Q860" s="211"/>
      <c r="R860" s="211"/>
      <c r="S860" s="133"/>
      <c r="AR860" s="212"/>
      <c r="AS860" s="56"/>
      <c r="AT860" s="213"/>
      <c r="AU860" s="212"/>
      <c r="AV860" s="212"/>
      <c r="AW860" s="212"/>
    </row>
    <row r="861">
      <c r="H861" s="211"/>
      <c r="I861" s="211"/>
      <c r="J861" s="211"/>
      <c r="K861" s="211"/>
      <c r="L861" s="211"/>
      <c r="M861" s="211"/>
      <c r="N861" s="211"/>
      <c r="O861" s="211"/>
      <c r="P861" s="211"/>
      <c r="Q861" s="211"/>
      <c r="R861" s="211"/>
      <c r="S861" s="133"/>
      <c r="AR861" s="212"/>
      <c r="AS861" s="56"/>
      <c r="AT861" s="213"/>
      <c r="AU861" s="212"/>
      <c r="AV861" s="212"/>
      <c r="AW861" s="212"/>
    </row>
    <row r="862">
      <c r="H862" s="211"/>
      <c r="I862" s="211"/>
      <c r="J862" s="211"/>
      <c r="K862" s="211"/>
      <c r="L862" s="211"/>
      <c r="M862" s="211"/>
      <c r="N862" s="211"/>
      <c r="O862" s="211"/>
      <c r="P862" s="211"/>
      <c r="Q862" s="211"/>
      <c r="R862" s="211"/>
      <c r="S862" s="133"/>
      <c r="AR862" s="212"/>
      <c r="AS862" s="56"/>
      <c r="AT862" s="213"/>
      <c r="AU862" s="212"/>
      <c r="AV862" s="212"/>
      <c r="AW862" s="212"/>
    </row>
    <row r="863">
      <c r="H863" s="211"/>
      <c r="I863" s="211"/>
      <c r="J863" s="211"/>
      <c r="K863" s="211"/>
      <c r="L863" s="211"/>
      <c r="M863" s="211"/>
      <c r="N863" s="211"/>
      <c r="O863" s="211"/>
      <c r="P863" s="211"/>
      <c r="Q863" s="211"/>
      <c r="R863" s="211"/>
      <c r="S863" s="133"/>
      <c r="AR863" s="212"/>
      <c r="AS863" s="56"/>
      <c r="AT863" s="213"/>
      <c r="AU863" s="212"/>
      <c r="AV863" s="212"/>
      <c r="AW863" s="212"/>
    </row>
    <row r="864">
      <c r="H864" s="211"/>
      <c r="I864" s="211"/>
      <c r="J864" s="211"/>
      <c r="K864" s="211"/>
      <c r="L864" s="211"/>
      <c r="M864" s="211"/>
      <c r="N864" s="211"/>
      <c r="O864" s="211"/>
      <c r="P864" s="211"/>
      <c r="Q864" s="211"/>
      <c r="R864" s="211"/>
      <c r="S864" s="133"/>
      <c r="AR864" s="212"/>
      <c r="AS864" s="56"/>
      <c r="AT864" s="213"/>
      <c r="AU864" s="212"/>
      <c r="AV864" s="212"/>
      <c r="AW864" s="212"/>
    </row>
    <row r="865">
      <c r="H865" s="211"/>
      <c r="I865" s="211"/>
      <c r="J865" s="211"/>
      <c r="K865" s="211"/>
      <c r="L865" s="211"/>
      <c r="M865" s="211"/>
      <c r="N865" s="211"/>
      <c r="O865" s="211"/>
      <c r="P865" s="211"/>
      <c r="Q865" s="211"/>
      <c r="R865" s="211"/>
      <c r="S865" s="133"/>
      <c r="AR865" s="212"/>
      <c r="AS865" s="56"/>
      <c r="AT865" s="213"/>
      <c r="AU865" s="212"/>
      <c r="AV865" s="212"/>
      <c r="AW865" s="212"/>
    </row>
    <row r="866">
      <c r="H866" s="211"/>
      <c r="I866" s="211"/>
      <c r="J866" s="211"/>
      <c r="K866" s="211"/>
      <c r="L866" s="211"/>
      <c r="M866" s="211"/>
      <c r="N866" s="211"/>
      <c r="O866" s="211"/>
      <c r="P866" s="211"/>
      <c r="Q866" s="211"/>
      <c r="R866" s="211"/>
      <c r="S866" s="133"/>
      <c r="AR866" s="212"/>
      <c r="AS866" s="56"/>
      <c r="AT866" s="213"/>
      <c r="AU866" s="212"/>
      <c r="AV866" s="212"/>
      <c r="AW866" s="212"/>
    </row>
    <row r="867">
      <c r="H867" s="211"/>
      <c r="I867" s="211"/>
      <c r="J867" s="211"/>
      <c r="K867" s="211"/>
      <c r="L867" s="211"/>
      <c r="M867" s="211"/>
      <c r="N867" s="211"/>
      <c r="O867" s="211"/>
      <c r="P867" s="211"/>
      <c r="Q867" s="211"/>
      <c r="R867" s="211"/>
      <c r="S867" s="133"/>
      <c r="AR867" s="212"/>
      <c r="AS867" s="56"/>
      <c r="AT867" s="213"/>
      <c r="AU867" s="212"/>
      <c r="AV867" s="212"/>
      <c r="AW867" s="212"/>
    </row>
    <row r="868">
      <c r="H868" s="211"/>
      <c r="I868" s="211"/>
      <c r="J868" s="211"/>
      <c r="K868" s="211"/>
      <c r="L868" s="211"/>
      <c r="M868" s="211"/>
      <c r="N868" s="211"/>
      <c r="O868" s="211"/>
      <c r="P868" s="211"/>
      <c r="Q868" s="211"/>
      <c r="R868" s="211"/>
      <c r="S868" s="133"/>
      <c r="AR868" s="212"/>
      <c r="AS868" s="56"/>
      <c r="AT868" s="213"/>
      <c r="AU868" s="212"/>
      <c r="AV868" s="212"/>
      <c r="AW868" s="212"/>
    </row>
    <row r="869">
      <c r="H869" s="211"/>
      <c r="I869" s="211"/>
      <c r="J869" s="211"/>
      <c r="K869" s="211"/>
      <c r="L869" s="211"/>
      <c r="M869" s="211"/>
      <c r="N869" s="211"/>
      <c r="O869" s="211"/>
      <c r="P869" s="211"/>
      <c r="Q869" s="211"/>
      <c r="R869" s="211"/>
      <c r="S869" s="133"/>
      <c r="AR869" s="212"/>
      <c r="AS869" s="56"/>
      <c r="AT869" s="213"/>
      <c r="AU869" s="212"/>
      <c r="AV869" s="212"/>
      <c r="AW869" s="212"/>
    </row>
    <row r="870">
      <c r="H870" s="211"/>
      <c r="I870" s="211"/>
      <c r="J870" s="211"/>
      <c r="K870" s="211"/>
      <c r="L870" s="211"/>
      <c r="M870" s="211"/>
      <c r="N870" s="211"/>
      <c r="O870" s="211"/>
      <c r="P870" s="211"/>
      <c r="Q870" s="211"/>
      <c r="R870" s="211"/>
      <c r="S870" s="133"/>
      <c r="AR870" s="212"/>
      <c r="AS870" s="56"/>
      <c r="AT870" s="213"/>
      <c r="AU870" s="212"/>
      <c r="AV870" s="212"/>
      <c r="AW870" s="212"/>
    </row>
    <row r="871">
      <c r="H871" s="211"/>
      <c r="I871" s="211"/>
      <c r="J871" s="211"/>
      <c r="K871" s="211"/>
      <c r="L871" s="211"/>
      <c r="M871" s="211"/>
      <c r="N871" s="211"/>
      <c r="O871" s="211"/>
      <c r="P871" s="211"/>
      <c r="Q871" s="211"/>
      <c r="R871" s="211"/>
      <c r="S871" s="133"/>
      <c r="AR871" s="212"/>
      <c r="AS871" s="56"/>
      <c r="AT871" s="213"/>
      <c r="AU871" s="212"/>
      <c r="AV871" s="212"/>
      <c r="AW871" s="212"/>
    </row>
    <row r="872">
      <c r="H872" s="211"/>
      <c r="I872" s="211"/>
      <c r="J872" s="211"/>
      <c r="K872" s="211"/>
      <c r="L872" s="211"/>
      <c r="M872" s="211"/>
      <c r="N872" s="211"/>
      <c r="O872" s="211"/>
      <c r="P872" s="211"/>
      <c r="Q872" s="211"/>
      <c r="R872" s="211"/>
      <c r="S872" s="133"/>
      <c r="AR872" s="212"/>
      <c r="AS872" s="56"/>
      <c r="AT872" s="213"/>
      <c r="AU872" s="212"/>
      <c r="AV872" s="212"/>
      <c r="AW872" s="212"/>
    </row>
    <row r="873">
      <c r="H873" s="211"/>
      <c r="I873" s="211"/>
      <c r="J873" s="211"/>
      <c r="K873" s="211"/>
      <c r="L873" s="211"/>
      <c r="M873" s="211"/>
      <c r="N873" s="211"/>
      <c r="O873" s="211"/>
      <c r="P873" s="211"/>
      <c r="Q873" s="211"/>
      <c r="R873" s="211"/>
      <c r="S873" s="133"/>
      <c r="AR873" s="212"/>
      <c r="AS873" s="56"/>
      <c r="AT873" s="213"/>
      <c r="AU873" s="212"/>
      <c r="AV873" s="212"/>
      <c r="AW873" s="212"/>
    </row>
    <row r="874">
      <c r="H874" s="211"/>
      <c r="I874" s="211"/>
      <c r="J874" s="211"/>
      <c r="K874" s="211"/>
      <c r="L874" s="211"/>
      <c r="M874" s="211"/>
      <c r="N874" s="211"/>
      <c r="O874" s="211"/>
      <c r="P874" s="211"/>
      <c r="Q874" s="211"/>
      <c r="R874" s="211"/>
      <c r="S874" s="133"/>
      <c r="AR874" s="212"/>
      <c r="AS874" s="56"/>
      <c r="AT874" s="213"/>
      <c r="AU874" s="212"/>
      <c r="AV874" s="212"/>
      <c r="AW874" s="212"/>
    </row>
    <row r="875">
      <c r="H875" s="211"/>
      <c r="I875" s="211"/>
      <c r="J875" s="211"/>
      <c r="K875" s="211"/>
      <c r="L875" s="211"/>
      <c r="M875" s="211"/>
      <c r="N875" s="211"/>
      <c r="O875" s="211"/>
      <c r="P875" s="211"/>
      <c r="Q875" s="211"/>
      <c r="R875" s="211"/>
      <c r="S875" s="133"/>
      <c r="AR875" s="212"/>
      <c r="AS875" s="56"/>
      <c r="AT875" s="213"/>
      <c r="AU875" s="212"/>
      <c r="AV875" s="212"/>
      <c r="AW875" s="212"/>
    </row>
    <row r="876">
      <c r="H876" s="211"/>
      <c r="I876" s="211"/>
      <c r="J876" s="211"/>
      <c r="K876" s="211"/>
      <c r="L876" s="211"/>
      <c r="M876" s="211"/>
      <c r="N876" s="211"/>
      <c r="O876" s="211"/>
      <c r="P876" s="211"/>
      <c r="Q876" s="211"/>
      <c r="R876" s="211"/>
      <c r="S876" s="133"/>
      <c r="AR876" s="212"/>
      <c r="AS876" s="56"/>
      <c r="AT876" s="213"/>
      <c r="AU876" s="212"/>
      <c r="AV876" s="212"/>
      <c r="AW876" s="212"/>
    </row>
    <row r="877">
      <c r="H877" s="211"/>
      <c r="I877" s="211"/>
      <c r="J877" s="211"/>
      <c r="K877" s="211"/>
      <c r="L877" s="211"/>
      <c r="M877" s="211"/>
      <c r="N877" s="211"/>
      <c r="O877" s="211"/>
      <c r="P877" s="211"/>
      <c r="Q877" s="211"/>
      <c r="R877" s="211"/>
      <c r="S877" s="133"/>
      <c r="AR877" s="212"/>
      <c r="AS877" s="56"/>
      <c r="AT877" s="213"/>
      <c r="AU877" s="212"/>
      <c r="AV877" s="212"/>
      <c r="AW877" s="212"/>
    </row>
    <row r="878">
      <c r="H878" s="211"/>
      <c r="I878" s="211"/>
      <c r="J878" s="211"/>
      <c r="K878" s="211"/>
      <c r="L878" s="211"/>
      <c r="M878" s="211"/>
      <c r="N878" s="211"/>
      <c r="O878" s="211"/>
      <c r="P878" s="211"/>
      <c r="Q878" s="211"/>
      <c r="R878" s="211"/>
      <c r="S878" s="133"/>
      <c r="AR878" s="212"/>
      <c r="AS878" s="56"/>
      <c r="AT878" s="213"/>
      <c r="AU878" s="212"/>
      <c r="AV878" s="212"/>
      <c r="AW878" s="212"/>
    </row>
    <row r="879">
      <c r="H879" s="211"/>
      <c r="I879" s="211"/>
      <c r="J879" s="211"/>
      <c r="K879" s="211"/>
      <c r="L879" s="211"/>
      <c r="M879" s="211"/>
      <c r="N879" s="211"/>
      <c r="O879" s="211"/>
      <c r="P879" s="211"/>
      <c r="Q879" s="211"/>
      <c r="R879" s="211"/>
      <c r="S879" s="133"/>
      <c r="AR879" s="212"/>
      <c r="AS879" s="56"/>
      <c r="AT879" s="213"/>
      <c r="AU879" s="212"/>
      <c r="AV879" s="212"/>
      <c r="AW879" s="212"/>
    </row>
    <row r="880">
      <c r="H880" s="211"/>
      <c r="I880" s="211"/>
      <c r="J880" s="211"/>
      <c r="K880" s="211"/>
      <c r="L880" s="211"/>
      <c r="M880" s="211"/>
      <c r="N880" s="211"/>
      <c r="O880" s="211"/>
      <c r="P880" s="211"/>
      <c r="Q880" s="211"/>
      <c r="R880" s="211"/>
      <c r="S880" s="133"/>
      <c r="AR880" s="212"/>
      <c r="AS880" s="56"/>
      <c r="AT880" s="213"/>
      <c r="AU880" s="212"/>
      <c r="AV880" s="212"/>
      <c r="AW880" s="212"/>
    </row>
    <row r="881">
      <c r="H881" s="211"/>
      <c r="I881" s="211"/>
      <c r="J881" s="211"/>
      <c r="K881" s="211"/>
      <c r="L881" s="211"/>
      <c r="M881" s="211"/>
      <c r="N881" s="211"/>
      <c r="O881" s="211"/>
      <c r="P881" s="211"/>
      <c r="Q881" s="211"/>
      <c r="R881" s="211"/>
      <c r="S881" s="133"/>
      <c r="AR881" s="212"/>
      <c r="AS881" s="56"/>
      <c r="AT881" s="213"/>
      <c r="AU881" s="212"/>
      <c r="AV881" s="212"/>
      <c r="AW881" s="212"/>
    </row>
    <row r="882">
      <c r="H882" s="211"/>
      <c r="I882" s="211"/>
      <c r="J882" s="211"/>
      <c r="K882" s="211"/>
      <c r="L882" s="211"/>
      <c r="M882" s="211"/>
      <c r="N882" s="211"/>
      <c r="O882" s="211"/>
      <c r="P882" s="211"/>
      <c r="Q882" s="211"/>
      <c r="R882" s="211"/>
      <c r="S882" s="133"/>
      <c r="AR882" s="212"/>
      <c r="AS882" s="56"/>
      <c r="AT882" s="213"/>
      <c r="AU882" s="212"/>
      <c r="AV882" s="212"/>
      <c r="AW882" s="212"/>
    </row>
    <row r="883">
      <c r="H883" s="211"/>
      <c r="I883" s="211"/>
      <c r="J883" s="211"/>
      <c r="K883" s="211"/>
      <c r="L883" s="211"/>
      <c r="M883" s="211"/>
      <c r="N883" s="211"/>
      <c r="O883" s="211"/>
      <c r="P883" s="211"/>
      <c r="Q883" s="211"/>
      <c r="R883" s="211"/>
      <c r="S883" s="133"/>
      <c r="AR883" s="212"/>
      <c r="AS883" s="56"/>
      <c r="AT883" s="213"/>
      <c r="AU883" s="212"/>
      <c r="AV883" s="212"/>
      <c r="AW883" s="212"/>
    </row>
    <row r="884">
      <c r="H884" s="211"/>
      <c r="I884" s="211"/>
      <c r="J884" s="211"/>
      <c r="K884" s="211"/>
      <c r="L884" s="211"/>
      <c r="M884" s="211"/>
      <c r="N884" s="211"/>
      <c r="O884" s="211"/>
      <c r="P884" s="211"/>
      <c r="Q884" s="211"/>
      <c r="R884" s="211"/>
      <c r="S884" s="133"/>
      <c r="AR884" s="212"/>
      <c r="AS884" s="56"/>
      <c r="AT884" s="213"/>
      <c r="AU884" s="212"/>
      <c r="AV884" s="212"/>
      <c r="AW884" s="212"/>
    </row>
    <row r="885">
      <c r="H885" s="211"/>
      <c r="I885" s="211"/>
      <c r="J885" s="211"/>
      <c r="K885" s="211"/>
      <c r="L885" s="211"/>
      <c r="M885" s="211"/>
      <c r="N885" s="211"/>
      <c r="O885" s="211"/>
      <c r="P885" s="211"/>
      <c r="Q885" s="211"/>
      <c r="R885" s="211"/>
      <c r="S885" s="133"/>
      <c r="AR885" s="212"/>
      <c r="AS885" s="56"/>
      <c r="AT885" s="213"/>
      <c r="AU885" s="212"/>
      <c r="AV885" s="212"/>
      <c r="AW885" s="212"/>
    </row>
    <row r="886">
      <c r="H886" s="211"/>
      <c r="I886" s="211"/>
      <c r="J886" s="211"/>
      <c r="K886" s="211"/>
      <c r="L886" s="211"/>
      <c r="M886" s="211"/>
      <c r="N886" s="211"/>
      <c r="O886" s="211"/>
      <c r="P886" s="211"/>
      <c r="Q886" s="211"/>
      <c r="R886" s="211"/>
      <c r="S886" s="133"/>
      <c r="AR886" s="212"/>
      <c r="AS886" s="56"/>
      <c r="AT886" s="213"/>
      <c r="AU886" s="212"/>
      <c r="AV886" s="212"/>
      <c r="AW886" s="212"/>
    </row>
    <row r="887">
      <c r="H887" s="211"/>
      <c r="I887" s="211"/>
      <c r="J887" s="211"/>
      <c r="K887" s="211"/>
      <c r="L887" s="211"/>
      <c r="M887" s="211"/>
      <c r="N887" s="211"/>
      <c r="O887" s="211"/>
      <c r="P887" s="211"/>
      <c r="Q887" s="211"/>
      <c r="R887" s="211"/>
      <c r="S887" s="133"/>
      <c r="AR887" s="212"/>
      <c r="AS887" s="56"/>
      <c r="AT887" s="213"/>
      <c r="AU887" s="212"/>
      <c r="AV887" s="212"/>
      <c r="AW887" s="212"/>
    </row>
    <row r="888">
      <c r="H888" s="211"/>
      <c r="I888" s="211"/>
      <c r="J888" s="211"/>
      <c r="K888" s="211"/>
      <c r="L888" s="211"/>
      <c r="M888" s="211"/>
      <c r="N888" s="211"/>
      <c r="O888" s="211"/>
      <c r="P888" s="211"/>
      <c r="Q888" s="211"/>
      <c r="R888" s="211"/>
      <c r="S888" s="133"/>
      <c r="AR888" s="212"/>
      <c r="AS888" s="56"/>
      <c r="AT888" s="213"/>
      <c r="AU888" s="212"/>
      <c r="AV888" s="212"/>
      <c r="AW888" s="212"/>
    </row>
    <row r="889">
      <c r="H889" s="211"/>
      <c r="I889" s="211"/>
      <c r="J889" s="211"/>
      <c r="K889" s="211"/>
      <c r="L889" s="211"/>
      <c r="M889" s="211"/>
      <c r="N889" s="211"/>
      <c r="O889" s="211"/>
      <c r="P889" s="211"/>
      <c r="Q889" s="211"/>
      <c r="R889" s="211"/>
      <c r="S889" s="133"/>
      <c r="AR889" s="212"/>
      <c r="AS889" s="56"/>
      <c r="AT889" s="213"/>
      <c r="AU889" s="212"/>
      <c r="AV889" s="212"/>
      <c r="AW889" s="212"/>
    </row>
    <row r="890">
      <c r="H890" s="211"/>
      <c r="I890" s="211"/>
      <c r="J890" s="211"/>
      <c r="K890" s="211"/>
      <c r="L890" s="211"/>
      <c r="M890" s="211"/>
      <c r="N890" s="211"/>
      <c r="O890" s="211"/>
      <c r="P890" s="211"/>
      <c r="Q890" s="211"/>
      <c r="R890" s="211"/>
      <c r="S890" s="133"/>
      <c r="AR890" s="212"/>
      <c r="AS890" s="56"/>
      <c r="AT890" s="213"/>
      <c r="AU890" s="212"/>
      <c r="AV890" s="212"/>
      <c r="AW890" s="212"/>
    </row>
    <row r="891">
      <c r="H891" s="211"/>
      <c r="I891" s="211"/>
      <c r="J891" s="211"/>
      <c r="K891" s="211"/>
      <c r="L891" s="211"/>
      <c r="M891" s="211"/>
      <c r="N891" s="211"/>
      <c r="O891" s="211"/>
      <c r="P891" s="211"/>
      <c r="Q891" s="211"/>
      <c r="R891" s="211"/>
      <c r="S891" s="133"/>
      <c r="AR891" s="212"/>
      <c r="AS891" s="56"/>
      <c r="AT891" s="213"/>
      <c r="AU891" s="212"/>
      <c r="AV891" s="212"/>
      <c r="AW891" s="212"/>
    </row>
    <row r="892">
      <c r="H892" s="211"/>
      <c r="I892" s="211"/>
      <c r="J892" s="211"/>
      <c r="K892" s="211"/>
      <c r="L892" s="211"/>
      <c r="M892" s="211"/>
      <c r="N892" s="211"/>
      <c r="O892" s="211"/>
      <c r="P892" s="211"/>
      <c r="Q892" s="211"/>
      <c r="R892" s="211"/>
      <c r="S892" s="133"/>
      <c r="AR892" s="212"/>
      <c r="AS892" s="56"/>
      <c r="AT892" s="213"/>
      <c r="AU892" s="212"/>
      <c r="AV892" s="212"/>
      <c r="AW892" s="212"/>
    </row>
    <row r="893">
      <c r="H893" s="211"/>
      <c r="I893" s="211"/>
      <c r="J893" s="211"/>
      <c r="K893" s="211"/>
      <c r="L893" s="211"/>
      <c r="M893" s="211"/>
      <c r="N893" s="211"/>
      <c r="O893" s="211"/>
      <c r="P893" s="211"/>
      <c r="Q893" s="211"/>
      <c r="R893" s="211"/>
      <c r="S893" s="133"/>
      <c r="AR893" s="212"/>
      <c r="AS893" s="56"/>
      <c r="AT893" s="213"/>
      <c r="AU893" s="212"/>
      <c r="AV893" s="212"/>
      <c r="AW893" s="212"/>
    </row>
    <row r="894">
      <c r="H894" s="211"/>
      <c r="I894" s="211"/>
      <c r="J894" s="211"/>
      <c r="K894" s="211"/>
      <c r="L894" s="211"/>
      <c r="M894" s="211"/>
      <c r="N894" s="211"/>
      <c r="O894" s="211"/>
      <c r="P894" s="211"/>
      <c r="Q894" s="211"/>
      <c r="R894" s="211"/>
      <c r="S894" s="133"/>
      <c r="AR894" s="212"/>
      <c r="AS894" s="56"/>
      <c r="AT894" s="213"/>
      <c r="AU894" s="212"/>
      <c r="AV894" s="212"/>
      <c r="AW894" s="212"/>
    </row>
    <row r="895">
      <c r="H895" s="211"/>
      <c r="I895" s="211"/>
      <c r="J895" s="211"/>
      <c r="K895" s="211"/>
      <c r="L895" s="211"/>
      <c r="M895" s="211"/>
      <c r="N895" s="211"/>
      <c r="O895" s="211"/>
      <c r="P895" s="211"/>
      <c r="Q895" s="211"/>
      <c r="R895" s="211"/>
      <c r="S895" s="133"/>
      <c r="AR895" s="212"/>
      <c r="AS895" s="56"/>
      <c r="AT895" s="213"/>
      <c r="AU895" s="212"/>
      <c r="AV895" s="212"/>
      <c r="AW895" s="212"/>
    </row>
    <row r="896">
      <c r="H896" s="211"/>
      <c r="I896" s="211"/>
      <c r="J896" s="211"/>
      <c r="K896" s="211"/>
      <c r="L896" s="211"/>
      <c r="M896" s="211"/>
      <c r="N896" s="211"/>
      <c r="O896" s="211"/>
      <c r="P896" s="211"/>
      <c r="Q896" s="211"/>
      <c r="R896" s="211"/>
      <c r="S896" s="133"/>
      <c r="AR896" s="212"/>
      <c r="AS896" s="56"/>
      <c r="AT896" s="213"/>
      <c r="AU896" s="212"/>
      <c r="AV896" s="212"/>
      <c r="AW896" s="212"/>
    </row>
    <row r="897">
      <c r="H897" s="211"/>
      <c r="I897" s="211"/>
      <c r="J897" s="211"/>
      <c r="K897" s="211"/>
      <c r="L897" s="211"/>
      <c r="M897" s="211"/>
      <c r="N897" s="211"/>
      <c r="O897" s="211"/>
      <c r="P897" s="211"/>
      <c r="Q897" s="211"/>
      <c r="R897" s="211"/>
      <c r="S897" s="133"/>
      <c r="AR897" s="212"/>
      <c r="AS897" s="56"/>
      <c r="AT897" s="213"/>
      <c r="AU897" s="212"/>
      <c r="AV897" s="212"/>
      <c r="AW897" s="212"/>
    </row>
    <row r="898">
      <c r="H898" s="211"/>
      <c r="I898" s="211"/>
      <c r="J898" s="211"/>
      <c r="K898" s="211"/>
      <c r="L898" s="211"/>
      <c r="M898" s="211"/>
      <c r="N898" s="211"/>
      <c r="O898" s="211"/>
      <c r="P898" s="211"/>
      <c r="Q898" s="211"/>
      <c r="R898" s="211"/>
      <c r="S898" s="133"/>
      <c r="AR898" s="212"/>
      <c r="AS898" s="56"/>
      <c r="AT898" s="213"/>
      <c r="AU898" s="212"/>
      <c r="AV898" s="212"/>
      <c r="AW898" s="212"/>
    </row>
    <row r="899">
      <c r="H899" s="211"/>
      <c r="I899" s="211"/>
      <c r="J899" s="211"/>
      <c r="K899" s="211"/>
      <c r="L899" s="211"/>
      <c r="M899" s="211"/>
      <c r="N899" s="211"/>
      <c r="O899" s="211"/>
      <c r="P899" s="211"/>
      <c r="Q899" s="211"/>
      <c r="R899" s="211"/>
      <c r="S899" s="133"/>
      <c r="AR899" s="212"/>
      <c r="AS899" s="56"/>
      <c r="AT899" s="213"/>
      <c r="AU899" s="212"/>
      <c r="AV899" s="212"/>
      <c r="AW899" s="212"/>
    </row>
    <row r="900">
      <c r="H900" s="211"/>
      <c r="I900" s="211"/>
      <c r="J900" s="211"/>
      <c r="K900" s="211"/>
      <c r="L900" s="211"/>
      <c r="M900" s="211"/>
      <c r="N900" s="211"/>
      <c r="O900" s="211"/>
      <c r="P900" s="211"/>
      <c r="Q900" s="211"/>
      <c r="R900" s="211"/>
      <c r="S900" s="133"/>
      <c r="AR900" s="212"/>
      <c r="AS900" s="56"/>
      <c r="AT900" s="213"/>
      <c r="AU900" s="212"/>
      <c r="AV900" s="212"/>
      <c r="AW900" s="212"/>
    </row>
    <row r="901">
      <c r="H901" s="211"/>
      <c r="I901" s="211"/>
      <c r="J901" s="211"/>
      <c r="K901" s="211"/>
      <c r="L901" s="211"/>
      <c r="M901" s="211"/>
      <c r="N901" s="211"/>
      <c r="O901" s="211"/>
      <c r="P901" s="211"/>
      <c r="Q901" s="211"/>
      <c r="R901" s="211"/>
      <c r="S901" s="133"/>
      <c r="AR901" s="212"/>
      <c r="AS901" s="56"/>
      <c r="AT901" s="213"/>
      <c r="AU901" s="212"/>
      <c r="AV901" s="212"/>
      <c r="AW901" s="212"/>
    </row>
    <row r="902">
      <c r="H902" s="211"/>
      <c r="I902" s="211"/>
      <c r="J902" s="211"/>
      <c r="K902" s="211"/>
      <c r="L902" s="211"/>
      <c r="M902" s="211"/>
      <c r="N902" s="211"/>
      <c r="O902" s="211"/>
      <c r="P902" s="211"/>
      <c r="Q902" s="211"/>
      <c r="R902" s="211"/>
      <c r="S902" s="133"/>
      <c r="AR902" s="212"/>
      <c r="AS902" s="56"/>
      <c r="AT902" s="213"/>
      <c r="AU902" s="212"/>
      <c r="AV902" s="212"/>
      <c r="AW902" s="212"/>
    </row>
    <row r="903">
      <c r="H903" s="211"/>
      <c r="I903" s="211"/>
      <c r="J903" s="211"/>
      <c r="K903" s="211"/>
      <c r="L903" s="211"/>
      <c r="M903" s="211"/>
      <c r="N903" s="211"/>
      <c r="O903" s="211"/>
      <c r="P903" s="211"/>
      <c r="Q903" s="211"/>
      <c r="R903" s="211"/>
      <c r="S903" s="133"/>
      <c r="AR903" s="212"/>
      <c r="AS903" s="56"/>
      <c r="AT903" s="213"/>
      <c r="AU903" s="212"/>
      <c r="AV903" s="212"/>
      <c r="AW903" s="212"/>
    </row>
    <row r="904">
      <c r="H904" s="211"/>
      <c r="I904" s="211"/>
      <c r="J904" s="211"/>
      <c r="K904" s="211"/>
      <c r="L904" s="211"/>
      <c r="M904" s="211"/>
      <c r="N904" s="211"/>
      <c r="O904" s="211"/>
      <c r="P904" s="211"/>
      <c r="Q904" s="211"/>
      <c r="R904" s="211"/>
      <c r="S904" s="133"/>
      <c r="AR904" s="212"/>
      <c r="AS904" s="56"/>
      <c r="AT904" s="213"/>
      <c r="AU904" s="212"/>
      <c r="AV904" s="212"/>
      <c r="AW904" s="212"/>
    </row>
    <row r="905">
      <c r="H905" s="211"/>
      <c r="I905" s="211"/>
      <c r="J905" s="211"/>
      <c r="K905" s="211"/>
      <c r="L905" s="211"/>
      <c r="M905" s="211"/>
      <c r="N905" s="211"/>
      <c r="O905" s="211"/>
      <c r="P905" s="211"/>
      <c r="Q905" s="211"/>
      <c r="R905" s="211"/>
      <c r="S905" s="133"/>
      <c r="AR905" s="212"/>
      <c r="AS905" s="56"/>
      <c r="AT905" s="213"/>
      <c r="AU905" s="212"/>
      <c r="AV905" s="212"/>
      <c r="AW905" s="212"/>
    </row>
    <row r="906">
      <c r="H906" s="211"/>
      <c r="I906" s="211"/>
      <c r="J906" s="211"/>
      <c r="K906" s="211"/>
      <c r="L906" s="211"/>
      <c r="M906" s="211"/>
      <c r="N906" s="211"/>
      <c r="O906" s="211"/>
      <c r="P906" s="211"/>
      <c r="Q906" s="211"/>
      <c r="R906" s="211"/>
      <c r="S906" s="133"/>
      <c r="AR906" s="212"/>
      <c r="AS906" s="56"/>
      <c r="AT906" s="213"/>
      <c r="AU906" s="212"/>
      <c r="AV906" s="212"/>
      <c r="AW906" s="212"/>
    </row>
    <row r="907">
      <c r="H907" s="211"/>
      <c r="I907" s="211"/>
      <c r="J907" s="211"/>
      <c r="K907" s="211"/>
      <c r="L907" s="211"/>
      <c r="M907" s="211"/>
      <c r="N907" s="211"/>
      <c r="O907" s="211"/>
      <c r="P907" s="211"/>
      <c r="Q907" s="211"/>
      <c r="R907" s="211"/>
      <c r="S907" s="133"/>
      <c r="AR907" s="212"/>
      <c r="AS907" s="56"/>
      <c r="AT907" s="213"/>
      <c r="AU907" s="212"/>
      <c r="AV907" s="212"/>
      <c r="AW907" s="212"/>
    </row>
    <row r="908">
      <c r="H908" s="211"/>
      <c r="I908" s="211"/>
      <c r="J908" s="211"/>
      <c r="K908" s="211"/>
      <c r="L908" s="211"/>
      <c r="M908" s="211"/>
      <c r="N908" s="211"/>
      <c r="O908" s="211"/>
      <c r="P908" s="211"/>
      <c r="Q908" s="211"/>
      <c r="R908" s="211"/>
      <c r="S908" s="133"/>
      <c r="AR908" s="212"/>
      <c r="AS908" s="56"/>
      <c r="AT908" s="213"/>
      <c r="AU908" s="212"/>
      <c r="AV908" s="212"/>
      <c r="AW908" s="212"/>
    </row>
    <row r="909">
      <c r="H909" s="211"/>
      <c r="I909" s="211"/>
      <c r="J909" s="211"/>
      <c r="K909" s="211"/>
      <c r="L909" s="211"/>
      <c r="M909" s="211"/>
      <c r="N909" s="211"/>
      <c r="O909" s="211"/>
      <c r="P909" s="211"/>
      <c r="Q909" s="211"/>
      <c r="R909" s="211"/>
      <c r="S909" s="133"/>
      <c r="AR909" s="212"/>
      <c r="AS909" s="56"/>
      <c r="AT909" s="213"/>
      <c r="AU909" s="212"/>
      <c r="AV909" s="212"/>
      <c r="AW909" s="212"/>
    </row>
    <row r="910">
      <c r="H910" s="211"/>
      <c r="I910" s="211"/>
      <c r="J910" s="211"/>
      <c r="K910" s="211"/>
      <c r="L910" s="211"/>
      <c r="M910" s="211"/>
      <c r="N910" s="211"/>
      <c r="O910" s="211"/>
      <c r="P910" s="211"/>
      <c r="Q910" s="211"/>
      <c r="R910" s="211"/>
      <c r="S910" s="133"/>
      <c r="AR910" s="212"/>
      <c r="AS910" s="56"/>
      <c r="AT910" s="213"/>
      <c r="AU910" s="212"/>
      <c r="AV910" s="212"/>
      <c r="AW910" s="212"/>
    </row>
    <row r="911">
      <c r="H911" s="211"/>
      <c r="I911" s="211"/>
      <c r="J911" s="211"/>
      <c r="K911" s="211"/>
      <c r="L911" s="211"/>
      <c r="M911" s="211"/>
      <c r="N911" s="211"/>
      <c r="O911" s="211"/>
      <c r="P911" s="211"/>
      <c r="Q911" s="211"/>
      <c r="R911" s="211"/>
      <c r="S911" s="133"/>
      <c r="AR911" s="212"/>
      <c r="AS911" s="56"/>
      <c r="AT911" s="213"/>
      <c r="AU911" s="212"/>
      <c r="AV911" s="212"/>
      <c r="AW911" s="212"/>
    </row>
    <row r="912">
      <c r="H912" s="211"/>
      <c r="I912" s="211"/>
      <c r="J912" s="211"/>
      <c r="K912" s="211"/>
      <c r="L912" s="211"/>
      <c r="M912" s="211"/>
      <c r="N912" s="211"/>
      <c r="O912" s="211"/>
      <c r="P912" s="211"/>
      <c r="Q912" s="211"/>
      <c r="R912" s="211"/>
      <c r="S912" s="133"/>
      <c r="AR912" s="212"/>
      <c r="AS912" s="56"/>
      <c r="AT912" s="213"/>
      <c r="AU912" s="212"/>
      <c r="AV912" s="212"/>
      <c r="AW912" s="212"/>
    </row>
    <row r="913">
      <c r="H913" s="211"/>
      <c r="I913" s="211"/>
      <c r="J913" s="211"/>
      <c r="K913" s="211"/>
      <c r="L913" s="211"/>
      <c r="M913" s="211"/>
      <c r="N913" s="211"/>
      <c r="O913" s="211"/>
      <c r="P913" s="211"/>
      <c r="Q913" s="211"/>
      <c r="R913" s="211"/>
      <c r="S913" s="133"/>
      <c r="AR913" s="212"/>
      <c r="AS913" s="56"/>
      <c r="AT913" s="213"/>
      <c r="AU913" s="212"/>
      <c r="AV913" s="212"/>
      <c r="AW913" s="212"/>
    </row>
    <row r="914">
      <c r="H914" s="211"/>
      <c r="I914" s="211"/>
      <c r="J914" s="211"/>
      <c r="K914" s="211"/>
      <c r="L914" s="211"/>
      <c r="M914" s="211"/>
      <c r="N914" s="211"/>
      <c r="O914" s="211"/>
      <c r="P914" s="211"/>
      <c r="Q914" s="211"/>
      <c r="R914" s="211"/>
      <c r="S914" s="133"/>
      <c r="AR914" s="212"/>
      <c r="AS914" s="56"/>
      <c r="AT914" s="213"/>
      <c r="AU914" s="212"/>
      <c r="AV914" s="212"/>
      <c r="AW914" s="212"/>
    </row>
    <row r="915">
      <c r="H915" s="211"/>
      <c r="I915" s="211"/>
      <c r="J915" s="211"/>
      <c r="K915" s="211"/>
      <c r="L915" s="211"/>
      <c r="M915" s="211"/>
      <c r="N915" s="211"/>
      <c r="O915" s="211"/>
      <c r="P915" s="211"/>
      <c r="Q915" s="211"/>
      <c r="R915" s="211"/>
      <c r="S915" s="133"/>
      <c r="AR915" s="212"/>
      <c r="AS915" s="56"/>
      <c r="AT915" s="213"/>
      <c r="AU915" s="212"/>
      <c r="AV915" s="212"/>
      <c r="AW915" s="212"/>
    </row>
    <row r="916">
      <c r="H916" s="211"/>
      <c r="I916" s="211"/>
      <c r="J916" s="211"/>
      <c r="K916" s="211"/>
      <c r="L916" s="211"/>
      <c r="M916" s="211"/>
      <c r="N916" s="211"/>
      <c r="O916" s="211"/>
      <c r="P916" s="211"/>
      <c r="Q916" s="211"/>
      <c r="R916" s="211"/>
      <c r="S916" s="133"/>
      <c r="AR916" s="212"/>
      <c r="AS916" s="56"/>
      <c r="AT916" s="213"/>
      <c r="AU916" s="212"/>
      <c r="AV916" s="212"/>
      <c r="AW916" s="212"/>
    </row>
    <row r="917">
      <c r="H917" s="211"/>
      <c r="I917" s="211"/>
      <c r="J917" s="211"/>
      <c r="K917" s="211"/>
      <c r="L917" s="211"/>
      <c r="M917" s="211"/>
      <c r="N917" s="211"/>
      <c r="O917" s="211"/>
      <c r="P917" s="211"/>
      <c r="Q917" s="211"/>
      <c r="R917" s="211"/>
      <c r="S917" s="133"/>
      <c r="AR917" s="212"/>
      <c r="AS917" s="56"/>
      <c r="AT917" s="213"/>
      <c r="AU917" s="212"/>
      <c r="AV917" s="212"/>
      <c r="AW917" s="212"/>
    </row>
    <row r="918">
      <c r="H918" s="211"/>
      <c r="I918" s="211"/>
      <c r="J918" s="211"/>
      <c r="K918" s="211"/>
      <c r="L918" s="211"/>
      <c r="M918" s="211"/>
      <c r="N918" s="211"/>
      <c r="O918" s="211"/>
      <c r="P918" s="211"/>
      <c r="Q918" s="211"/>
      <c r="R918" s="211"/>
      <c r="S918" s="133"/>
      <c r="AR918" s="212"/>
      <c r="AS918" s="56"/>
      <c r="AT918" s="213"/>
      <c r="AU918" s="212"/>
      <c r="AV918" s="212"/>
      <c r="AW918" s="212"/>
    </row>
    <row r="919">
      <c r="H919" s="211"/>
      <c r="I919" s="211"/>
      <c r="J919" s="211"/>
      <c r="K919" s="211"/>
      <c r="L919" s="211"/>
      <c r="M919" s="211"/>
      <c r="N919" s="211"/>
      <c r="O919" s="211"/>
      <c r="P919" s="211"/>
      <c r="Q919" s="211"/>
      <c r="R919" s="211"/>
      <c r="S919" s="133"/>
      <c r="AR919" s="212"/>
      <c r="AS919" s="56"/>
      <c r="AT919" s="213"/>
      <c r="AU919" s="212"/>
      <c r="AV919" s="212"/>
      <c r="AW919" s="212"/>
    </row>
    <row r="920">
      <c r="H920" s="211"/>
      <c r="I920" s="211"/>
      <c r="J920" s="211"/>
      <c r="K920" s="211"/>
      <c r="L920" s="211"/>
      <c r="M920" s="211"/>
      <c r="N920" s="211"/>
      <c r="O920" s="211"/>
      <c r="P920" s="211"/>
      <c r="Q920" s="211"/>
      <c r="R920" s="211"/>
      <c r="S920" s="133"/>
      <c r="AR920" s="212"/>
      <c r="AS920" s="56"/>
      <c r="AT920" s="213"/>
      <c r="AU920" s="212"/>
      <c r="AV920" s="212"/>
      <c r="AW920" s="212"/>
    </row>
    <row r="921">
      <c r="H921" s="211"/>
      <c r="I921" s="211"/>
      <c r="J921" s="211"/>
      <c r="K921" s="211"/>
      <c r="L921" s="211"/>
      <c r="M921" s="211"/>
      <c r="N921" s="211"/>
      <c r="O921" s="211"/>
      <c r="P921" s="211"/>
      <c r="Q921" s="211"/>
      <c r="R921" s="211"/>
      <c r="S921" s="133"/>
      <c r="AR921" s="212"/>
      <c r="AS921" s="56"/>
      <c r="AT921" s="213"/>
      <c r="AU921" s="212"/>
      <c r="AV921" s="212"/>
      <c r="AW921" s="212"/>
    </row>
    <row r="922">
      <c r="H922" s="211"/>
      <c r="I922" s="211"/>
      <c r="J922" s="211"/>
      <c r="K922" s="211"/>
      <c r="L922" s="211"/>
      <c r="M922" s="211"/>
      <c r="N922" s="211"/>
      <c r="O922" s="211"/>
      <c r="P922" s="211"/>
      <c r="Q922" s="211"/>
      <c r="R922" s="211"/>
      <c r="S922" s="133"/>
      <c r="AR922" s="212"/>
      <c r="AS922" s="56"/>
      <c r="AT922" s="213"/>
      <c r="AU922" s="212"/>
      <c r="AV922" s="212"/>
      <c r="AW922" s="212"/>
    </row>
    <row r="923">
      <c r="H923" s="211"/>
      <c r="I923" s="211"/>
      <c r="J923" s="211"/>
      <c r="K923" s="211"/>
      <c r="L923" s="211"/>
      <c r="M923" s="211"/>
      <c r="N923" s="211"/>
      <c r="O923" s="211"/>
      <c r="P923" s="211"/>
      <c r="Q923" s="211"/>
      <c r="R923" s="211"/>
      <c r="S923" s="133"/>
      <c r="AR923" s="212"/>
      <c r="AS923" s="56"/>
      <c r="AT923" s="213"/>
      <c r="AU923" s="212"/>
      <c r="AV923" s="212"/>
      <c r="AW923" s="212"/>
    </row>
    <row r="924">
      <c r="H924" s="211"/>
      <c r="I924" s="211"/>
      <c r="J924" s="211"/>
      <c r="K924" s="211"/>
      <c r="L924" s="211"/>
      <c r="M924" s="211"/>
      <c r="N924" s="211"/>
      <c r="O924" s="211"/>
      <c r="P924" s="211"/>
      <c r="Q924" s="211"/>
      <c r="R924" s="211"/>
      <c r="S924" s="133"/>
      <c r="AR924" s="212"/>
      <c r="AS924" s="56"/>
      <c r="AT924" s="213"/>
      <c r="AU924" s="212"/>
      <c r="AV924" s="212"/>
      <c r="AW924" s="212"/>
    </row>
    <row r="925">
      <c r="H925" s="211"/>
      <c r="I925" s="211"/>
      <c r="J925" s="211"/>
      <c r="K925" s="211"/>
      <c r="L925" s="211"/>
      <c r="M925" s="211"/>
      <c r="N925" s="211"/>
      <c r="O925" s="211"/>
      <c r="P925" s="211"/>
      <c r="Q925" s="211"/>
      <c r="R925" s="211"/>
      <c r="S925" s="133"/>
      <c r="AR925" s="212"/>
      <c r="AS925" s="56"/>
      <c r="AT925" s="213"/>
      <c r="AU925" s="212"/>
      <c r="AV925" s="212"/>
      <c r="AW925" s="212"/>
    </row>
    <row r="926">
      <c r="H926" s="211"/>
      <c r="I926" s="211"/>
      <c r="J926" s="211"/>
      <c r="K926" s="211"/>
      <c r="L926" s="211"/>
      <c r="M926" s="211"/>
      <c r="N926" s="211"/>
      <c r="O926" s="211"/>
      <c r="P926" s="211"/>
      <c r="Q926" s="211"/>
      <c r="R926" s="211"/>
      <c r="S926" s="133"/>
      <c r="AR926" s="212"/>
      <c r="AS926" s="56"/>
      <c r="AT926" s="213"/>
      <c r="AU926" s="212"/>
      <c r="AV926" s="212"/>
      <c r="AW926" s="212"/>
    </row>
    <row r="927">
      <c r="H927" s="211"/>
      <c r="I927" s="211"/>
      <c r="J927" s="211"/>
      <c r="K927" s="211"/>
      <c r="L927" s="211"/>
      <c r="M927" s="211"/>
      <c r="N927" s="211"/>
      <c r="O927" s="211"/>
      <c r="P927" s="211"/>
      <c r="Q927" s="211"/>
      <c r="R927" s="211"/>
      <c r="S927" s="133"/>
      <c r="AR927" s="212"/>
      <c r="AS927" s="56"/>
      <c r="AT927" s="213"/>
      <c r="AU927" s="212"/>
      <c r="AV927" s="212"/>
      <c r="AW927" s="212"/>
    </row>
    <row r="928">
      <c r="H928" s="211"/>
      <c r="I928" s="211"/>
      <c r="J928" s="211"/>
      <c r="K928" s="211"/>
      <c r="L928" s="211"/>
      <c r="M928" s="211"/>
      <c r="N928" s="211"/>
      <c r="O928" s="211"/>
      <c r="P928" s="211"/>
      <c r="Q928" s="211"/>
      <c r="R928" s="211"/>
      <c r="S928" s="133"/>
      <c r="AR928" s="212"/>
      <c r="AS928" s="56"/>
      <c r="AT928" s="213"/>
      <c r="AU928" s="212"/>
      <c r="AV928" s="212"/>
      <c r="AW928" s="212"/>
    </row>
    <row r="929">
      <c r="H929" s="211"/>
      <c r="I929" s="211"/>
      <c r="J929" s="211"/>
      <c r="K929" s="211"/>
      <c r="L929" s="211"/>
      <c r="M929" s="211"/>
      <c r="N929" s="211"/>
      <c r="O929" s="211"/>
      <c r="P929" s="211"/>
      <c r="Q929" s="211"/>
      <c r="R929" s="211"/>
      <c r="S929" s="133"/>
      <c r="AR929" s="212"/>
      <c r="AS929" s="56"/>
      <c r="AT929" s="213"/>
      <c r="AU929" s="212"/>
      <c r="AV929" s="212"/>
      <c r="AW929" s="212"/>
    </row>
    <row r="930">
      <c r="H930" s="211"/>
      <c r="I930" s="211"/>
      <c r="J930" s="211"/>
      <c r="K930" s="211"/>
      <c r="L930" s="211"/>
      <c r="M930" s="211"/>
      <c r="N930" s="211"/>
      <c r="O930" s="211"/>
      <c r="P930" s="211"/>
      <c r="Q930" s="211"/>
      <c r="R930" s="211"/>
      <c r="S930" s="133"/>
      <c r="AR930" s="212"/>
      <c r="AS930" s="56"/>
      <c r="AT930" s="213"/>
      <c r="AU930" s="212"/>
      <c r="AV930" s="212"/>
      <c r="AW930" s="212"/>
    </row>
    <row r="931">
      <c r="H931" s="211"/>
      <c r="I931" s="211"/>
      <c r="J931" s="211"/>
      <c r="K931" s="211"/>
      <c r="L931" s="211"/>
      <c r="M931" s="211"/>
      <c r="N931" s="211"/>
      <c r="O931" s="211"/>
      <c r="P931" s="211"/>
      <c r="Q931" s="211"/>
      <c r="R931" s="211"/>
      <c r="S931" s="133"/>
      <c r="AR931" s="212"/>
      <c r="AS931" s="56"/>
      <c r="AT931" s="213"/>
      <c r="AU931" s="212"/>
      <c r="AV931" s="212"/>
      <c r="AW931" s="212"/>
    </row>
    <row r="932">
      <c r="H932" s="211"/>
      <c r="I932" s="211"/>
      <c r="J932" s="211"/>
      <c r="K932" s="211"/>
      <c r="L932" s="211"/>
      <c r="M932" s="211"/>
      <c r="N932" s="211"/>
      <c r="O932" s="211"/>
      <c r="P932" s="211"/>
      <c r="Q932" s="211"/>
      <c r="R932" s="211"/>
      <c r="S932" s="133"/>
      <c r="AR932" s="212"/>
      <c r="AS932" s="56"/>
      <c r="AT932" s="213"/>
      <c r="AU932" s="212"/>
      <c r="AV932" s="212"/>
      <c r="AW932" s="212"/>
    </row>
    <row r="933">
      <c r="H933" s="211"/>
      <c r="I933" s="211"/>
      <c r="J933" s="211"/>
      <c r="K933" s="211"/>
      <c r="L933" s="211"/>
      <c r="M933" s="211"/>
      <c r="N933" s="211"/>
      <c r="O933" s="211"/>
      <c r="P933" s="211"/>
      <c r="Q933" s="211"/>
      <c r="R933" s="211"/>
      <c r="S933" s="133"/>
      <c r="AR933" s="212"/>
      <c r="AS933" s="56"/>
      <c r="AT933" s="213"/>
      <c r="AU933" s="212"/>
      <c r="AV933" s="212"/>
      <c r="AW933" s="212"/>
    </row>
    <row r="934">
      <c r="H934" s="211"/>
      <c r="I934" s="211"/>
      <c r="J934" s="211"/>
      <c r="K934" s="211"/>
      <c r="L934" s="211"/>
      <c r="M934" s="211"/>
      <c r="N934" s="211"/>
      <c r="O934" s="211"/>
      <c r="P934" s="211"/>
      <c r="Q934" s="211"/>
      <c r="R934" s="211"/>
      <c r="S934" s="133"/>
      <c r="AR934" s="212"/>
      <c r="AS934" s="56"/>
      <c r="AT934" s="213"/>
      <c r="AU934" s="212"/>
      <c r="AV934" s="212"/>
      <c r="AW934" s="212"/>
    </row>
    <row r="935">
      <c r="H935" s="211"/>
      <c r="I935" s="211"/>
      <c r="J935" s="211"/>
      <c r="K935" s="211"/>
      <c r="L935" s="211"/>
      <c r="M935" s="211"/>
      <c r="N935" s="211"/>
      <c r="O935" s="211"/>
      <c r="P935" s="211"/>
      <c r="Q935" s="211"/>
      <c r="R935" s="211"/>
      <c r="S935" s="133"/>
      <c r="AR935" s="212"/>
      <c r="AS935" s="56"/>
      <c r="AT935" s="213"/>
      <c r="AU935" s="212"/>
      <c r="AV935" s="212"/>
      <c r="AW935" s="212"/>
    </row>
    <row r="936">
      <c r="H936" s="211"/>
      <c r="I936" s="211"/>
      <c r="J936" s="211"/>
      <c r="K936" s="211"/>
      <c r="L936" s="211"/>
      <c r="M936" s="211"/>
      <c r="N936" s="211"/>
      <c r="O936" s="211"/>
      <c r="P936" s="211"/>
      <c r="Q936" s="211"/>
      <c r="R936" s="211"/>
      <c r="S936" s="133"/>
      <c r="AR936" s="212"/>
      <c r="AS936" s="56"/>
      <c r="AT936" s="213"/>
      <c r="AU936" s="212"/>
      <c r="AV936" s="212"/>
      <c r="AW936" s="212"/>
    </row>
    <row r="937">
      <c r="H937" s="211"/>
      <c r="I937" s="211"/>
      <c r="J937" s="211"/>
      <c r="K937" s="211"/>
      <c r="L937" s="211"/>
      <c r="M937" s="211"/>
      <c r="N937" s="211"/>
      <c r="O937" s="211"/>
      <c r="P937" s="211"/>
      <c r="Q937" s="211"/>
      <c r="R937" s="211"/>
      <c r="S937" s="133"/>
      <c r="AR937" s="212"/>
      <c r="AS937" s="56"/>
      <c r="AT937" s="213"/>
      <c r="AU937" s="212"/>
      <c r="AV937" s="212"/>
      <c r="AW937" s="212"/>
    </row>
    <row r="938">
      <c r="H938" s="211"/>
      <c r="I938" s="211"/>
      <c r="J938" s="211"/>
      <c r="K938" s="211"/>
      <c r="L938" s="211"/>
      <c r="M938" s="211"/>
      <c r="N938" s="211"/>
      <c r="O938" s="211"/>
      <c r="P938" s="211"/>
      <c r="Q938" s="211"/>
      <c r="R938" s="211"/>
      <c r="S938" s="133"/>
      <c r="AR938" s="212"/>
      <c r="AS938" s="56"/>
      <c r="AT938" s="213"/>
      <c r="AU938" s="212"/>
      <c r="AV938" s="212"/>
      <c r="AW938" s="212"/>
    </row>
    <row r="939">
      <c r="H939" s="211"/>
      <c r="I939" s="211"/>
      <c r="J939" s="211"/>
      <c r="K939" s="211"/>
      <c r="L939" s="211"/>
      <c r="M939" s="211"/>
      <c r="N939" s="211"/>
      <c r="O939" s="211"/>
      <c r="P939" s="211"/>
      <c r="Q939" s="211"/>
      <c r="R939" s="211"/>
      <c r="S939" s="133"/>
      <c r="AR939" s="212"/>
      <c r="AS939" s="56"/>
      <c r="AT939" s="213"/>
      <c r="AU939" s="212"/>
      <c r="AV939" s="212"/>
      <c r="AW939" s="212"/>
    </row>
    <row r="940">
      <c r="H940" s="211"/>
      <c r="I940" s="211"/>
      <c r="J940" s="211"/>
      <c r="K940" s="211"/>
      <c r="L940" s="211"/>
      <c r="M940" s="211"/>
      <c r="N940" s="211"/>
      <c r="O940" s="211"/>
      <c r="P940" s="211"/>
      <c r="Q940" s="211"/>
      <c r="R940" s="211"/>
      <c r="S940" s="133"/>
      <c r="AR940" s="212"/>
      <c r="AS940" s="56"/>
      <c r="AT940" s="213"/>
      <c r="AU940" s="212"/>
      <c r="AV940" s="212"/>
      <c r="AW940" s="212"/>
    </row>
    <row r="941">
      <c r="H941" s="211"/>
      <c r="I941" s="211"/>
      <c r="J941" s="211"/>
      <c r="K941" s="211"/>
      <c r="L941" s="211"/>
      <c r="M941" s="211"/>
      <c r="N941" s="211"/>
      <c r="O941" s="211"/>
      <c r="P941" s="211"/>
      <c r="Q941" s="211"/>
      <c r="R941" s="211"/>
      <c r="S941" s="133"/>
      <c r="AR941" s="212"/>
      <c r="AS941" s="56"/>
      <c r="AT941" s="213"/>
      <c r="AU941" s="212"/>
      <c r="AV941" s="212"/>
      <c r="AW941" s="212"/>
    </row>
    <row r="942">
      <c r="H942" s="211"/>
      <c r="I942" s="211"/>
      <c r="J942" s="211"/>
      <c r="K942" s="211"/>
      <c r="L942" s="211"/>
      <c r="M942" s="211"/>
      <c r="N942" s="211"/>
      <c r="O942" s="211"/>
      <c r="P942" s="211"/>
      <c r="Q942" s="211"/>
      <c r="R942" s="211"/>
      <c r="S942" s="133"/>
      <c r="AR942" s="212"/>
      <c r="AS942" s="56"/>
      <c r="AT942" s="213"/>
      <c r="AU942" s="212"/>
      <c r="AV942" s="212"/>
      <c r="AW942" s="212"/>
    </row>
    <row r="943">
      <c r="H943" s="211"/>
      <c r="I943" s="211"/>
      <c r="J943" s="211"/>
      <c r="K943" s="211"/>
      <c r="L943" s="211"/>
      <c r="M943" s="211"/>
      <c r="N943" s="211"/>
      <c r="O943" s="211"/>
      <c r="P943" s="211"/>
      <c r="Q943" s="211"/>
      <c r="R943" s="211"/>
      <c r="S943" s="133"/>
      <c r="AR943" s="212"/>
      <c r="AS943" s="56"/>
      <c r="AT943" s="213"/>
      <c r="AU943" s="212"/>
      <c r="AV943" s="212"/>
      <c r="AW943" s="212"/>
    </row>
    <row r="944">
      <c r="H944" s="211"/>
      <c r="I944" s="211"/>
      <c r="J944" s="211"/>
      <c r="K944" s="211"/>
      <c r="L944" s="211"/>
      <c r="M944" s="211"/>
      <c r="N944" s="211"/>
      <c r="O944" s="211"/>
      <c r="P944" s="211"/>
      <c r="Q944" s="211"/>
      <c r="R944" s="211"/>
      <c r="S944" s="133"/>
      <c r="AR944" s="212"/>
      <c r="AS944" s="56"/>
      <c r="AT944" s="213"/>
      <c r="AU944" s="212"/>
      <c r="AV944" s="212"/>
      <c r="AW944" s="212"/>
    </row>
    <row r="945">
      <c r="H945" s="211"/>
      <c r="I945" s="211"/>
      <c r="J945" s="211"/>
      <c r="K945" s="211"/>
      <c r="L945" s="211"/>
      <c r="M945" s="211"/>
      <c r="N945" s="211"/>
      <c r="O945" s="211"/>
      <c r="P945" s="211"/>
      <c r="Q945" s="211"/>
      <c r="R945" s="211"/>
      <c r="S945" s="133"/>
      <c r="AR945" s="212"/>
      <c r="AS945" s="56"/>
      <c r="AT945" s="213"/>
      <c r="AU945" s="212"/>
      <c r="AV945" s="212"/>
      <c r="AW945" s="212"/>
    </row>
    <row r="946">
      <c r="H946" s="211"/>
      <c r="I946" s="211"/>
      <c r="J946" s="211"/>
      <c r="K946" s="211"/>
      <c r="L946" s="211"/>
      <c r="M946" s="211"/>
      <c r="N946" s="211"/>
      <c r="O946" s="211"/>
      <c r="P946" s="211"/>
      <c r="Q946" s="211"/>
      <c r="R946" s="211"/>
      <c r="S946" s="133"/>
      <c r="AR946" s="212"/>
      <c r="AS946" s="56"/>
      <c r="AT946" s="213"/>
      <c r="AU946" s="212"/>
      <c r="AV946" s="212"/>
      <c r="AW946" s="212"/>
    </row>
    <row r="947">
      <c r="H947" s="211"/>
      <c r="I947" s="211"/>
      <c r="J947" s="211"/>
      <c r="K947" s="211"/>
      <c r="L947" s="211"/>
      <c r="M947" s="211"/>
      <c r="N947" s="211"/>
      <c r="O947" s="211"/>
      <c r="P947" s="211"/>
      <c r="Q947" s="211"/>
      <c r="R947" s="211"/>
      <c r="S947" s="133"/>
      <c r="AR947" s="212"/>
      <c r="AS947" s="56"/>
      <c r="AT947" s="213"/>
      <c r="AU947" s="212"/>
      <c r="AV947" s="212"/>
      <c r="AW947" s="212"/>
    </row>
    <row r="948">
      <c r="H948" s="211"/>
      <c r="I948" s="211"/>
      <c r="J948" s="211"/>
      <c r="K948" s="211"/>
      <c r="L948" s="211"/>
      <c r="M948" s="211"/>
      <c r="N948" s="211"/>
      <c r="O948" s="211"/>
      <c r="P948" s="211"/>
      <c r="Q948" s="211"/>
      <c r="R948" s="211"/>
      <c r="S948" s="133"/>
      <c r="AR948" s="212"/>
      <c r="AS948" s="56"/>
      <c r="AT948" s="213"/>
      <c r="AU948" s="212"/>
      <c r="AV948" s="212"/>
      <c r="AW948" s="212"/>
    </row>
    <row r="949">
      <c r="H949" s="211"/>
      <c r="I949" s="211"/>
      <c r="J949" s="211"/>
      <c r="K949" s="211"/>
      <c r="L949" s="211"/>
      <c r="M949" s="211"/>
      <c r="N949" s="211"/>
      <c r="O949" s="211"/>
      <c r="P949" s="211"/>
      <c r="Q949" s="211"/>
      <c r="R949" s="211"/>
      <c r="S949" s="133"/>
      <c r="AR949" s="212"/>
      <c r="AS949" s="56"/>
      <c r="AT949" s="213"/>
      <c r="AU949" s="212"/>
      <c r="AV949" s="212"/>
      <c r="AW949" s="212"/>
    </row>
    <row r="950">
      <c r="H950" s="211"/>
      <c r="I950" s="211"/>
      <c r="J950" s="211"/>
      <c r="K950" s="211"/>
      <c r="L950" s="211"/>
      <c r="M950" s="211"/>
      <c r="N950" s="211"/>
      <c r="O950" s="211"/>
      <c r="P950" s="211"/>
      <c r="Q950" s="211"/>
      <c r="R950" s="211"/>
      <c r="S950" s="133"/>
      <c r="AR950" s="212"/>
      <c r="AS950" s="56"/>
      <c r="AT950" s="213"/>
      <c r="AU950" s="212"/>
      <c r="AV950" s="212"/>
      <c r="AW950" s="212"/>
    </row>
    <row r="951">
      <c r="H951" s="211"/>
      <c r="I951" s="211"/>
      <c r="J951" s="211"/>
      <c r="K951" s="211"/>
      <c r="L951" s="211"/>
      <c r="M951" s="211"/>
      <c r="N951" s="211"/>
      <c r="O951" s="211"/>
      <c r="P951" s="211"/>
      <c r="Q951" s="211"/>
      <c r="R951" s="211"/>
      <c r="S951" s="133"/>
      <c r="AR951" s="212"/>
      <c r="AS951" s="56"/>
      <c r="AT951" s="213"/>
      <c r="AU951" s="212"/>
      <c r="AV951" s="212"/>
      <c r="AW951" s="212"/>
    </row>
    <row r="952">
      <c r="H952" s="211"/>
      <c r="I952" s="211"/>
      <c r="J952" s="211"/>
      <c r="K952" s="211"/>
      <c r="L952" s="211"/>
      <c r="M952" s="211"/>
      <c r="N952" s="211"/>
      <c r="O952" s="211"/>
      <c r="P952" s="211"/>
      <c r="Q952" s="211"/>
      <c r="R952" s="211"/>
      <c r="S952" s="133"/>
      <c r="AR952" s="212"/>
      <c r="AS952" s="56"/>
      <c r="AT952" s="213"/>
      <c r="AU952" s="212"/>
      <c r="AV952" s="212"/>
      <c r="AW952" s="212"/>
    </row>
    <row r="953">
      <c r="H953" s="211"/>
      <c r="I953" s="211"/>
      <c r="J953" s="211"/>
      <c r="K953" s="211"/>
      <c r="L953" s="211"/>
      <c r="M953" s="211"/>
      <c r="N953" s="211"/>
      <c r="O953" s="211"/>
      <c r="P953" s="211"/>
      <c r="Q953" s="211"/>
      <c r="R953" s="211"/>
      <c r="S953" s="133"/>
      <c r="AR953" s="212"/>
      <c r="AS953" s="56"/>
      <c r="AT953" s="213"/>
      <c r="AU953" s="212"/>
      <c r="AV953" s="212"/>
      <c r="AW953" s="212"/>
    </row>
    <row r="954">
      <c r="H954" s="211"/>
      <c r="I954" s="211"/>
      <c r="J954" s="211"/>
      <c r="K954" s="211"/>
      <c r="L954" s="211"/>
      <c r="M954" s="211"/>
      <c r="N954" s="211"/>
      <c r="O954" s="211"/>
      <c r="P954" s="211"/>
      <c r="Q954" s="211"/>
      <c r="R954" s="211"/>
      <c r="S954" s="133"/>
      <c r="AR954" s="212"/>
      <c r="AS954" s="56"/>
      <c r="AT954" s="213"/>
      <c r="AU954" s="212"/>
      <c r="AV954" s="212"/>
      <c r="AW954" s="212"/>
    </row>
    <row r="955">
      <c r="H955" s="211"/>
      <c r="I955" s="211"/>
      <c r="J955" s="211"/>
      <c r="K955" s="211"/>
      <c r="L955" s="211"/>
      <c r="M955" s="211"/>
      <c r="N955" s="211"/>
      <c r="O955" s="211"/>
      <c r="P955" s="211"/>
      <c r="Q955" s="211"/>
      <c r="R955" s="211"/>
      <c r="S955" s="133"/>
      <c r="AR955" s="212"/>
      <c r="AS955" s="56"/>
      <c r="AT955" s="213"/>
      <c r="AU955" s="212"/>
      <c r="AV955" s="212"/>
      <c r="AW955" s="212"/>
    </row>
    <row r="956">
      <c r="H956" s="211"/>
      <c r="I956" s="211"/>
      <c r="J956" s="211"/>
      <c r="K956" s="211"/>
      <c r="L956" s="211"/>
      <c r="M956" s="211"/>
      <c r="N956" s="211"/>
      <c r="O956" s="211"/>
      <c r="P956" s="211"/>
      <c r="Q956" s="211"/>
      <c r="R956" s="211"/>
      <c r="S956" s="133"/>
      <c r="AR956" s="212"/>
      <c r="AS956" s="56"/>
      <c r="AT956" s="213"/>
      <c r="AU956" s="212"/>
      <c r="AV956" s="212"/>
      <c r="AW956" s="212"/>
    </row>
    <row r="957">
      <c r="H957" s="211"/>
      <c r="I957" s="211"/>
      <c r="J957" s="211"/>
      <c r="K957" s="211"/>
      <c r="L957" s="211"/>
      <c r="M957" s="211"/>
      <c r="N957" s="211"/>
      <c r="O957" s="211"/>
      <c r="P957" s="211"/>
      <c r="Q957" s="211"/>
      <c r="R957" s="211"/>
      <c r="S957" s="133"/>
      <c r="AR957" s="212"/>
      <c r="AS957" s="56"/>
      <c r="AT957" s="213"/>
      <c r="AU957" s="212"/>
      <c r="AV957" s="212"/>
      <c r="AW957" s="212"/>
    </row>
    <row r="958">
      <c r="H958" s="211"/>
      <c r="I958" s="211"/>
      <c r="J958" s="211"/>
      <c r="K958" s="211"/>
      <c r="L958" s="211"/>
      <c r="M958" s="211"/>
      <c r="N958" s="211"/>
      <c r="O958" s="211"/>
      <c r="P958" s="211"/>
      <c r="Q958" s="211"/>
      <c r="R958" s="211"/>
      <c r="S958" s="133"/>
      <c r="AR958" s="212"/>
      <c r="AS958" s="56"/>
      <c r="AT958" s="213"/>
      <c r="AU958" s="212"/>
      <c r="AV958" s="212"/>
      <c r="AW958" s="212"/>
    </row>
    <row r="959">
      <c r="H959" s="211"/>
      <c r="I959" s="211"/>
      <c r="J959" s="211"/>
      <c r="K959" s="211"/>
      <c r="L959" s="211"/>
      <c r="M959" s="211"/>
      <c r="N959" s="211"/>
      <c r="O959" s="211"/>
      <c r="P959" s="211"/>
      <c r="Q959" s="211"/>
      <c r="R959" s="211"/>
      <c r="S959" s="133"/>
      <c r="AR959" s="212"/>
      <c r="AS959" s="56"/>
      <c r="AT959" s="213"/>
      <c r="AU959" s="212"/>
      <c r="AV959" s="212"/>
      <c r="AW959" s="212"/>
    </row>
    <row r="960">
      <c r="H960" s="211"/>
      <c r="I960" s="211"/>
      <c r="J960" s="211"/>
      <c r="K960" s="211"/>
      <c r="L960" s="211"/>
      <c r="M960" s="211"/>
      <c r="N960" s="211"/>
      <c r="O960" s="211"/>
      <c r="P960" s="211"/>
      <c r="Q960" s="211"/>
      <c r="R960" s="211"/>
      <c r="S960" s="133"/>
      <c r="AR960" s="212"/>
      <c r="AS960" s="56"/>
      <c r="AT960" s="213"/>
      <c r="AU960" s="212"/>
      <c r="AV960" s="212"/>
      <c r="AW960" s="212"/>
    </row>
    <row r="961">
      <c r="H961" s="211"/>
      <c r="I961" s="211"/>
      <c r="J961" s="211"/>
      <c r="K961" s="211"/>
      <c r="L961" s="211"/>
      <c r="M961" s="211"/>
      <c r="N961" s="211"/>
      <c r="O961" s="211"/>
      <c r="P961" s="211"/>
      <c r="Q961" s="211"/>
      <c r="R961" s="211"/>
      <c r="S961" s="133"/>
      <c r="AR961" s="212"/>
      <c r="AS961" s="56"/>
      <c r="AT961" s="213"/>
      <c r="AU961" s="212"/>
      <c r="AV961" s="212"/>
      <c r="AW961" s="212"/>
    </row>
    <row r="962">
      <c r="H962" s="211"/>
      <c r="I962" s="211"/>
      <c r="J962" s="211"/>
      <c r="K962" s="211"/>
      <c r="L962" s="211"/>
      <c r="M962" s="211"/>
      <c r="N962" s="211"/>
      <c r="O962" s="211"/>
      <c r="P962" s="211"/>
      <c r="Q962" s="211"/>
      <c r="R962" s="211"/>
      <c r="S962" s="133"/>
      <c r="AR962" s="212"/>
      <c r="AS962" s="56"/>
      <c r="AT962" s="213"/>
      <c r="AU962" s="212"/>
      <c r="AV962" s="212"/>
      <c r="AW962" s="212"/>
    </row>
    <row r="963">
      <c r="H963" s="211"/>
      <c r="I963" s="211"/>
      <c r="J963" s="211"/>
      <c r="K963" s="211"/>
      <c r="L963" s="211"/>
      <c r="M963" s="211"/>
      <c r="N963" s="211"/>
      <c r="O963" s="211"/>
      <c r="P963" s="211"/>
      <c r="Q963" s="211"/>
      <c r="R963" s="211"/>
      <c r="S963" s="133"/>
      <c r="AR963" s="212"/>
      <c r="AS963" s="56"/>
      <c r="AT963" s="213"/>
      <c r="AU963" s="212"/>
      <c r="AV963" s="212"/>
      <c r="AW963" s="212"/>
    </row>
    <row r="964">
      <c r="H964" s="211"/>
      <c r="I964" s="211"/>
      <c r="J964" s="211"/>
      <c r="K964" s="211"/>
      <c r="L964" s="211"/>
      <c r="M964" s="211"/>
      <c r="N964" s="211"/>
      <c r="O964" s="211"/>
      <c r="P964" s="211"/>
      <c r="Q964" s="211"/>
      <c r="R964" s="211"/>
      <c r="S964" s="133"/>
      <c r="AR964" s="212"/>
      <c r="AS964" s="56"/>
      <c r="AT964" s="213"/>
      <c r="AU964" s="212"/>
      <c r="AV964" s="212"/>
      <c r="AW964" s="212"/>
    </row>
    <row r="965">
      <c r="H965" s="211"/>
      <c r="I965" s="211"/>
      <c r="J965" s="211"/>
      <c r="K965" s="211"/>
      <c r="L965" s="211"/>
      <c r="M965" s="211"/>
      <c r="N965" s="211"/>
      <c r="O965" s="211"/>
      <c r="P965" s="211"/>
      <c r="Q965" s="211"/>
      <c r="R965" s="211"/>
      <c r="S965" s="133"/>
      <c r="AR965" s="212"/>
      <c r="AS965" s="56"/>
      <c r="AT965" s="213"/>
      <c r="AU965" s="212"/>
      <c r="AV965" s="212"/>
      <c r="AW965" s="212"/>
    </row>
    <row r="966">
      <c r="H966" s="211"/>
      <c r="I966" s="211"/>
      <c r="J966" s="211"/>
      <c r="K966" s="211"/>
      <c r="L966" s="211"/>
      <c r="M966" s="211"/>
      <c r="N966" s="211"/>
      <c r="O966" s="211"/>
      <c r="P966" s="211"/>
      <c r="Q966" s="211"/>
      <c r="R966" s="211"/>
      <c r="S966" s="133"/>
      <c r="AR966" s="212"/>
      <c r="AS966" s="56"/>
      <c r="AT966" s="213"/>
      <c r="AU966" s="212"/>
      <c r="AV966" s="212"/>
      <c r="AW966" s="212"/>
    </row>
    <row r="967">
      <c r="H967" s="211"/>
      <c r="I967" s="211"/>
      <c r="J967" s="211"/>
      <c r="K967" s="211"/>
      <c r="L967" s="211"/>
      <c r="M967" s="211"/>
      <c r="N967" s="211"/>
      <c r="O967" s="211"/>
      <c r="P967" s="211"/>
      <c r="Q967" s="211"/>
      <c r="R967" s="211"/>
      <c r="S967" s="133"/>
      <c r="AR967" s="212"/>
      <c r="AS967" s="56"/>
      <c r="AT967" s="213"/>
      <c r="AU967" s="212"/>
      <c r="AV967" s="212"/>
      <c r="AW967" s="212"/>
    </row>
    <row r="968">
      <c r="H968" s="211"/>
      <c r="I968" s="211"/>
      <c r="J968" s="211"/>
      <c r="K968" s="211"/>
      <c r="L968" s="211"/>
      <c r="M968" s="211"/>
      <c r="N968" s="211"/>
      <c r="O968" s="211"/>
      <c r="P968" s="211"/>
      <c r="Q968" s="211"/>
      <c r="R968" s="211"/>
      <c r="S968" s="133"/>
      <c r="AR968" s="212"/>
      <c r="AS968" s="56"/>
      <c r="AT968" s="213"/>
      <c r="AU968" s="212"/>
      <c r="AV968" s="212"/>
      <c r="AW968" s="212"/>
    </row>
    <row r="969">
      <c r="H969" s="211"/>
      <c r="I969" s="211"/>
      <c r="J969" s="211"/>
      <c r="K969" s="211"/>
      <c r="L969" s="211"/>
      <c r="M969" s="211"/>
      <c r="N969" s="211"/>
      <c r="O969" s="211"/>
      <c r="P969" s="211"/>
      <c r="Q969" s="211"/>
      <c r="R969" s="211"/>
      <c r="S969" s="133"/>
      <c r="AR969" s="212"/>
      <c r="AS969" s="56"/>
      <c r="AT969" s="213"/>
      <c r="AU969" s="212"/>
      <c r="AV969" s="212"/>
      <c r="AW969" s="212"/>
    </row>
    <row r="970">
      <c r="H970" s="211"/>
      <c r="I970" s="211"/>
      <c r="J970" s="211"/>
      <c r="K970" s="211"/>
      <c r="L970" s="211"/>
      <c r="M970" s="211"/>
      <c r="N970" s="211"/>
      <c r="O970" s="211"/>
      <c r="P970" s="211"/>
      <c r="Q970" s="211"/>
      <c r="R970" s="211"/>
      <c r="S970" s="133"/>
      <c r="AR970" s="212"/>
      <c r="AS970" s="56"/>
      <c r="AT970" s="213"/>
      <c r="AU970" s="212"/>
      <c r="AV970" s="212"/>
      <c r="AW970" s="212"/>
    </row>
    <row r="971">
      <c r="H971" s="211"/>
      <c r="I971" s="211"/>
      <c r="J971" s="211"/>
      <c r="K971" s="211"/>
      <c r="L971" s="211"/>
      <c r="M971" s="211"/>
      <c r="N971" s="211"/>
      <c r="O971" s="211"/>
      <c r="P971" s="211"/>
      <c r="Q971" s="211"/>
      <c r="R971" s="211"/>
      <c r="S971" s="133"/>
      <c r="AR971" s="212"/>
      <c r="AS971" s="56"/>
      <c r="AT971" s="213"/>
      <c r="AU971" s="212"/>
      <c r="AV971" s="212"/>
      <c r="AW971" s="212"/>
    </row>
    <row r="972">
      <c r="H972" s="211"/>
      <c r="I972" s="211"/>
      <c r="J972" s="211"/>
      <c r="K972" s="211"/>
      <c r="L972" s="211"/>
      <c r="M972" s="211"/>
      <c r="N972" s="211"/>
      <c r="O972" s="211"/>
      <c r="P972" s="211"/>
      <c r="Q972" s="211"/>
      <c r="R972" s="211"/>
      <c r="S972" s="133"/>
      <c r="AR972" s="212"/>
      <c r="AS972" s="56"/>
      <c r="AT972" s="213"/>
      <c r="AU972" s="212"/>
      <c r="AV972" s="212"/>
      <c r="AW972" s="212"/>
    </row>
    <row r="973">
      <c r="H973" s="211"/>
      <c r="I973" s="211"/>
      <c r="J973" s="211"/>
      <c r="K973" s="211"/>
      <c r="L973" s="211"/>
      <c r="M973" s="211"/>
      <c r="N973" s="211"/>
      <c r="O973" s="211"/>
      <c r="P973" s="211"/>
      <c r="Q973" s="211"/>
      <c r="R973" s="211"/>
      <c r="S973" s="133"/>
      <c r="AR973" s="212"/>
      <c r="AS973" s="56"/>
      <c r="AT973" s="213"/>
      <c r="AU973" s="212"/>
      <c r="AV973" s="212"/>
      <c r="AW973" s="212"/>
    </row>
    <row r="974">
      <c r="H974" s="211"/>
      <c r="I974" s="211"/>
      <c r="J974" s="211"/>
      <c r="K974" s="211"/>
      <c r="L974" s="211"/>
      <c r="M974" s="211"/>
      <c r="N974" s="211"/>
      <c r="O974" s="211"/>
      <c r="P974" s="211"/>
      <c r="Q974" s="211"/>
      <c r="R974" s="211"/>
      <c r="S974" s="133"/>
      <c r="AR974" s="212"/>
      <c r="AS974" s="56"/>
      <c r="AT974" s="213"/>
      <c r="AU974" s="212"/>
      <c r="AV974" s="212"/>
      <c r="AW974" s="212"/>
    </row>
    <row r="975">
      <c r="H975" s="211"/>
      <c r="I975" s="211"/>
      <c r="J975" s="211"/>
      <c r="K975" s="211"/>
      <c r="L975" s="211"/>
      <c r="M975" s="211"/>
      <c r="N975" s="211"/>
      <c r="O975" s="211"/>
      <c r="P975" s="211"/>
      <c r="Q975" s="211"/>
      <c r="R975" s="211"/>
      <c r="S975" s="133"/>
      <c r="AR975" s="212"/>
      <c r="AS975" s="56"/>
      <c r="AT975" s="213"/>
      <c r="AU975" s="212"/>
      <c r="AV975" s="212"/>
      <c r="AW975" s="212"/>
    </row>
    <row r="976">
      <c r="H976" s="211"/>
      <c r="I976" s="211"/>
      <c r="J976" s="211"/>
      <c r="K976" s="211"/>
      <c r="L976" s="211"/>
      <c r="M976" s="211"/>
      <c r="N976" s="211"/>
      <c r="O976" s="211"/>
      <c r="P976" s="211"/>
      <c r="Q976" s="211"/>
      <c r="R976" s="211"/>
      <c r="S976" s="133"/>
      <c r="AR976" s="212"/>
      <c r="AS976" s="56"/>
      <c r="AT976" s="213"/>
      <c r="AU976" s="212"/>
      <c r="AV976" s="212"/>
      <c r="AW976" s="212"/>
    </row>
    <row r="977">
      <c r="H977" s="211"/>
      <c r="I977" s="211"/>
      <c r="J977" s="211"/>
      <c r="K977" s="211"/>
      <c r="L977" s="211"/>
      <c r="M977" s="211"/>
      <c r="N977" s="211"/>
      <c r="O977" s="211"/>
      <c r="P977" s="211"/>
      <c r="Q977" s="211"/>
      <c r="R977" s="211"/>
      <c r="S977" s="133"/>
      <c r="AR977" s="212"/>
      <c r="AS977" s="56"/>
      <c r="AT977" s="213"/>
      <c r="AU977" s="212"/>
      <c r="AV977" s="212"/>
      <c r="AW977" s="212"/>
    </row>
    <row r="978">
      <c r="H978" s="211"/>
      <c r="I978" s="211"/>
      <c r="J978" s="211"/>
      <c r="K978" s="211"/>
      <c r="L978" s="211"/>
      <c r="M978" s="211"/>
      <c r="N978" s="211"/>
      <c r="O978" s="211"/>
      <c r="P978" s="211"/>
      <c r="Q978" s="211"/>
      <c r="R978" s="211"/>
      <c r="S978" s="133"/>
      <c r="AR978" s="212"/>
      <c r="AS978" s="56"/>
      <c r="AT978" s="213"/>
      <c r="AU978" s="212"/>
      <c r="AV978" s="212"/>
      <c r="AW978" s="212"/>
    </row>
    <row r="979">
      <c r="H979" s="211"/>
      <c r="I979" s="211"/>
      <c r="J979" s="211"/>
      <c r="K979" s="211"/>
      <c r="L979" s="211"/>
      <c r="M979" s="211"/>
      <c r="N979" s="211"/>
      <c r="O979" s="211"/>
      <c r="P979" s="211"/>
      <c r="Q979" s="211"/>
      <c r="R979" s="211"/>
      <c r="S979" s="133"/>
      <c r="AR979" s="212"/>
      <c r="AS979" s="56"/>
      <c r="AT979" s="213"/>
      <c r="AU979" s="212"/>
      <c r="AV979" s="212"/>
      <c r="AW979" s="212"/>
    </row>
    <row r="980">
      <c r="H980" s="211"/>
      <c r="I980" s="211"/>
      <c r="J980" s="211"/>
      <c r="K980" s="211"/>
      <c r="L980" s="211"/>
      <c r="M980" s="211"/>
      <c r="N980" s="211"/>
      <c r="O980" s="211"/>
      <c r="P980" s="211"/>
      <c r="Q980" s="211"/>
      <c r="R980" s="211"/>
      <c r="S980" s="133"/>
      <c r="AR980" s="212"/>
      <c r="AS980" s="56"/>
      <c r="AT980" s="213"/>
      <c r="AU980" s="212"/>
      <c r="AV980" s="212"/>
      <c r="AW980" s="212"/>
    </row>
    <row r="981">
      <c r="H981" s="211"/>
      <c r="I981" s="211"/>
      <c r="J981" s="211"/>
      <c r="K981" s="211"/>
      <c r="L981" s="211"/>
      <c r="M981" s="211"/>
      <c r="N981" s="211"/>
      <c r="O981" s="211"/>
      <c r="P981" s="211"/>
      <c r="Q981" s="211"/>
      <c r="R981" s="211"/>
      <c r="S981" s="133"/>
      <c r="AR981" s="212"/>
      <c r="AS981" s="56"/>
      <c r="AT981" s="213"/>
      <c r="AU981" s="212"/>
      <c r="AV981" s="212"/>
      <c r="AW981" s="212"/>
    </row>
    <row r="982">
      <c r="H982" s="211"/>
      <c r="I982" s="211"/>
      <c r="J982" s="211"/>
      <c r="K982" s="211"/>
      <c r="L982" s="211"/>
      <c r="M982" s="211"/>
      <c r="N982" s="211"/>
      <c r="O982" s="211"/>
      <c r="P982" s="211"/>
      <c r="Q982" s="211"/>
      <c r="R982" s="211"/>
      <c r="S982" s="133"/>
      <c r="AR982" s="212"/>
      <c r="AS982" s="56"/>
      <c r="AT982" s="213"/>
      <c r="AU982" s="212"/>
      <c r="AV982" s="212"/>
      <c r="AW982" s="212"/>
    </row>
    <row r="983">
      <c r="H983" s="211"/>
      <c r="I983" s="211"/>
      <c r="J983" s="211"/>
      <c r="K983" s="211"/>
      <c r="L983" s="211"/>
      <c r="M983" s="211"/>
      <c r="N983" s="211"/>
      <c r="O983" s="211"/>
      <c r="P983" s="211"/>
      <c r="Q983" s="211"/>
      <c r="R983" s="211"/>
      <c r="S983" s="133"/>
      <c r="AR983" s="212"/>
      <c r="AS983" s="56"/>
      <c r="AT983" s="213"/>
      <c r="AU983" s="212"/>
      <c r="AV983" s="212"/>
      <c r="AW983" s="212"/>
    </row>
    <row r="984">
      <c r="H984" s="211"/>
      <c r="I984" s="211"/>
      <c r="J984" s="211"/>
      <c r="K984" s="211"/>
      <c r="L984" s="211"/>
      <c r="M984" s="211"/>
      <c r="N984" s="211"/>
      <c r="O984" s="211"/>
      <c r="P984" s="211"/>
      <c r="Q984" s="211"/>
      <c r="R984" s="211"/>
      <c r="S984" s="133"/>
      <c r="AR984" s="212"/>
      <c r="AS984" s="56"/>
      <c r="AT984" s="213"/>
      <c r="AU984" s="212"/>
      <c r="AV984" s="212"/>
      <c r="AW984" s="212"/>
    </row>
    <row r="985">
      <c r="H985" s="211"/>
      <c r="I985" s="211"/>
      <c r="J985" s="211"/>
      <c r="K985" s="211"/>
      <c r="L985" s="211"/>
      <c r="M985" s="211"/>
      <c r="N985" s="211"/>
      <c r="O985" s="211"/>
      <c r="P985" s="211"/>
      <c r="Q985" s="211"/>
      <c r="R985" s="211"/>
      <c r="S985" s="133"/>
      <c r="AR985" s="212"/>
      <c r="AS985" s="56"/>
      <c r="AT985" s="213"/>
      <c r="AU985" s="212"/>
      <c r="AV985" s="212"/>
      <c r="AW985" s="212"/>
    </row>
    <row r="986">
      <c r="H986" s="211"/>
      <c r="I986" s="211"/>
      <c r="J986" s="211"/>
      <c r="K986" s="211"/>
      <c r="L986" s="211"/>
      <c r="M986" s="211"/>
      <c r="N986" s="211"/>
      <c r="O986" s="211"/>
      <c r="P986" s="211"/>
      <c r="Q986" s="211"/>
      <c r="R986" s="211"/>
      <c r="S986" s="133"/>
      <c r="AR986" s="212"/>
      <c r="AS986" s="56"/>
      <c r="AT986" s="213"/>
      <c r="AU986" s="212"/>
      <c r="AV986" s="212"/>
      <c r="AW986" s="212"/>
    </row>
    <row r="987">
      <c r="H987" s="211"/>
      <c r="I987" s="211"/>
      <c r="J987" s="211"/>
      <c r="K987" s="211"/>
      <c r="L987" s="211"/>
      <c r="M987" s="211"/>
      <c r="N987" s="211"/>
      <c r="O987" s="211"/>
      <c r="P987" s="211"/>
      <c r="Q987" s="211"/>
      <c r="R987" s="211"/>
      <c r="S987" s="133"/>
      <c r="AR987" s="212"/>
      <c r="AS987" s="56"/>
      <c r="AT987" s="213"/>
      <c r="AU987" s="212"/>
      <c r="AV987" s="212"/>
      <c r="AW987" s="212"/>
    </row>
    <row r="988">
      <c r="H988" s="211"/>
      <c r="I988" s="211"/>
      <c r="J988" s="211"/>
      <c r="K988" s="211"/>
      <c r="L988" s="211"/>
      <c r="M988" s="211"/>
      <c r="N988" s="211"/>
      <c r="O988" s="211"/>
      <c r="P988" s="211"/>
      <c r="Q988" s="211"/>
      <c r="R988" s="211"/>
      <c r="S988" s="133"/>
      <c r="AR988" s="212"/>
      <c r="AS988" s="56"/>
      <c r="AT988" s="213"/>
      <c r="AU988" s="212"/>
      <c r="AV988" s="212"/>
      <c r="AW988" s="212"/>
    </row>
    <row r="989">
      <c r="H989" s="211"/>
      <c r="I989" s="211"/>
      <c r="J989" s="211"/>
      <c r="K989" s="211"/>
      <c r="L989" s="211"/>
      <c r="M989" s="211"/>
      <c r="N989" s="211"/>
      <c r="O989" s="211"/>
      <c r="P989" s="211"/>
      <c r="Q989" s="211"/>
      <c r="R989" s="211"/>
      <c r="S989" s="133"/>
      <c r="AR989" s="212"/>
      <c r="AS989" s="56"/>
      <c r="AT989" s="213"/>
      <c r="AU989" s="212"/>
      <c r="AV989" s="212"/>
      <c r="AW989" s="212"/>
    </row>
    <row r="990">
      <c r="H990" s="211"/>
      <c r="I990" s="211"/>
      <c r="J990" s="211"/>
      <c r="K990" s="211"/>
      <c r="L990" s="211"/>
      <c r="M990" s="211"/>
      <c r="N990" s="211"/>
      <c r="O990" s="211"/>
      <c r="P990" s="211"/>
      <c r="Q990" s="211"/>
      <c r="R990" s="211"/>
      <c r="S990" s="133"/>
      <c r="AR990" s="212"/>
      <c r="AS990" s="56"/>
      <c r="AT990" s="213"/>
      <c r="AU990" s="212"/>
      <c r="AV990" s="212"/>
      <c r="AW990" s="212"/>
    </row>
    <row r="991">
      <c r="H991" s="211"/>
      <c r="I991" s="211"/>
      <c r="J991" s="211"/>
      <c r="K991" s="211"/>
      <c r="L991" s="211"/>
      <c r="M991" s="211"/>
      <c r="N991" s="211"/>
      <c r="O991" s="211"/>
      <c r="P991" s="211"/>
      <c r="Q991" s="211"/>
      <c r="R991" s="211"/>
      <c r="S991" s="133"/>
      <c r="AR991" s="212"/>
      <c r="AS991" s="56"/>
      <c r="AT991" s="213"/>
      <c r="AU991" s="212"/>
      <c r="AV991" s="212"/>
      <c r="AW991" s="212"/>
    </row>
    <row r="992">
      <c r="H992" s="211"/>
      <c r="I992" s="211"/>
      <c r="J992" s="211"/>
      <c r="K992" s="211"/>
      <c r="L992" s="211"/>
      <c r="M992" s="211"/>
      <c r="N992" s="211"/>
      <c r="O992" s="211"/>
      <c r="P992" s="211"/>
      <c r="Q992" s="211"/>
      <c r="R992" s="211"/>
      <c r="S992" s="133"/>
      <c r="AR992" s="212"/>
      <c r="AS992" s="56"/>
      <c r="AT992" s="213"/>
      <c r="AU992" s="212"/>
      <c r="AV992" s="212"/>
      <c r="AW992" s="212"/>
    </row>
    <row r="993">
      <c r="H993" s="211"/>
      <c r="I993" s="211"/>
      <c r="J993" s="211"/>
      <c r="K993" s="211"/>
      <c r="L993" s="211"/>
      <c r="M993" s="211"/>
      <c r="N993" s="211"/>
      <c r="O993" s="211"/>
      <c r="P993" s="211"/>
      <c r="Q993" s="211"/>
      <c r="R993" s="211"/>
      <c r="S993" s="133"/>
      <c r="AR993" s="212"/>
      <c r="AS993" s="56"/>
      <c r="AT993" s="213"/>
      <c r="AU993" s="212"/>
      <c r="AV993" s="212"/>
      <c r="AW993" s="212"/>
    </row>
    <row r="994">
      <c r="H994" s="211"/>
      <c r="I994" s="211"/>
      <c r="J994" s="211"/>
      <c r="K994" s="211"/>
      <c r="L994" s="211"/>
      <c r="M994" s="211"/>
      <c r="N994" s="211"/>
      <c r="O994" s="211"/>
      <c r="P994" s="211"/>
      <c r="Q994" s="211"/>
      <c r="R994" s="211"/>
      <c r="S994" s="133"/>
      <c r="AR994" s="212"/>
      <c r="AS994" s="56"/>
      <c r="AT994" s="213"/>
      <c r="AU994" s="212"/>
      <c r="AV994" s="212"/>
      <c r="AW994" s="212"/>
    </row>
    <row r="995">
      <c r="H995" s="211"/>
      <c r="I995" s="211"/>
      <c r="J995" s="211"/>
      <c r="K995" s="211"/>
      <c r="L995" s="211"/>
      <c r="M995" s="211"/>
      <c r="N995" s="211"/>
      <c r="O995" s="211"/>
      <c r="P995" s="211"/>
      <c r="Q995" s="211"/>
      <c r="R995" s="211"/>
      <c r="S995" s="133"/>
      <c r="AR995" s="212"/>
      <c r="AS995" s="56"/>
      <c r="AT995" s="213"/>
      <c r="AU995" s="212"/>
      <c r="AV995" s="212"/>
      <c r="AW995" s="212"/>
    </row>
    <row r="996">
      <c r="H996" s="211"/>
      <c r="I996" s="211"/>
      <c r="J996" s="211"/>
      <c r="K996" s="211"/>
      <c r="L996" s="211"/>
      <c r="M996" s="211"/>
      <c r="N996" s="211"/>
      <c r="O996" s="211"/>
      <c r="P996" s="211"/>
      <c r="Q996" s="211"/>
      <c r="R996" s="211"/>
      <c r="S996" s="133"/>
      <c r="AR996" s="212"/>
      <c r="AS996" s="56"/>
      <c r="AT996" s="213"/>
      <c r="AU996" s="212"/>
      <c r="AV996" s="212"/>
      <c r="AW996" s="212"/>
    </row>
    <row r="997">
      <c r="H997" s="211"/>
      <c r="I997" s="211"/>
      <c r="J997" s="211"/>
      <c r="K997" s="211"/>
      <c r="L997" s="211"/>
      <c r="M997" s="211"/>
      <c r="N997" s="211"/>
      <c r="O997" s="211"/>
      <c r="P997" s="211"/>
      <c r="Q997" s="211"/>
      <c r="R997" s="211"/>
      <c r="S997" s="133"/>
      <c r="AR997" s="212"/>
      <c r="AS997" s="56"/>
      <c r="AT997" s="213"/>
      <c r="AU997" s="212"/>
      <c r="AV997" s="212"/>
      <c r="AW997" s="212"/>
    </row>
    <row r="998">
      <c r="H998" s="211"/>
      <c r="I998" s="211"/>
      <c r="J998" s="211"/>
      <c r="K998" s="211"/>
      <c r="L998" s="211"/>
      <c r="M998" s="211"/>
      <c r="N998" s="211"/>
      <c r="O998" s="211"/>
      <c r="P998" s="211"/>
      <c r="Q998" s="211"/>
      <c r="R998" s="211"/>
      <c r="S998" s="133"/>
      <c r="AR998" s="212"/>
      <c r="AS998" s="56"/>
      <c r="AT998" s="213"/>
      <c r="AU998" s="212"/>
      <c r="AV998" s="212"/>
      <c r="AW998" s="212"/>
    </row>
    <row r="999">
      <c r="H999" s="211"/>
      <c r="I999" s="211"/>
      <c r="J999" s="211"/>
      <c r="K999" s="211"/>
      <c r="L999" s="211"/>
      <c r="M999" s="211"/>
      <c r="N999" s="211"/>
      <c r="O999" s="211"/>
      <c r="P999" s="211"/>
      <c r="Q999" s="211"/>
      <c r="R999" s="211"/>
      <c r="S999" s="133"/>
      <c r="AR999" s="212"/>
      <c r="AS999" s="56"/>
      <c r="AT999" s="213"/>
      <c r="AU999" s="212"/>
      <c r="AV999" s="212"/>
      <c r="AW999" s="212"/>
    </row>
    <row r="1000">
      <c r="H1000" s="211"/>
      <c r="I1000" s="211"/>
      <c r="J1000" s="211"/>
      <c r="K1000" s="211"/>
      <c r="L1000" s="211"/>
      <c r="M1000" s="211"/>
      <c r="N1000" s="211"/>
      <c r="O1000" s="211"/>
      <c r="P1000" s="211"/>
      <c r="Q1000" s="211"/>
      <c r="R1000" s="211"/>
      <c r="S1000" s="133"/>
      <c r="AR1000" s="212"/>
      <c r="AS1000" s="56"/>
      <c r="AT1000" s="213"/>
      <c r="AU1000" s="212"/>
      <c r="AV1000" s="212"/>
      <c r="AW1000" s="212"/>
    </row>
    <row r="1001">
      <c r="H1001" s="211"/>
      <c r="I1001" s="211"/>
      <c r="J1001" s="211"/>
      <c r="K1001" s="211"/>
      <c r="L1001" s="211"/>
      <c r="M1001" s="211"/>
      <c r="N1001" s="211"/>
      <c r="O1001" s="211"/>
      <c r="P1001" s="211"/>
      <c r="Q1001" s="211"/>
      <c r="R1001" s="211"/>
      <c r="S1001" s="133"/>
      <c r="AR1001" s="212"/>
      <c r="AS1001" s="56"/>
      <c r="AT1001" s="213"/>
      <c r="AU1001" s="212"/>
      <c r="AV1001" s="212"/>
      <c r="AW1001" s="212"/>
    </row>
    <row r="1002">
      <c r="H1002" s="211"/>
      <c r="I1002" s="211"/>
      <c r="J1002" s="211"/>
      <c r="K1002" s="211"/>
      <c r="L1002" s="211"/>
      <c r="M1002" s="211"/>
      <c r="N1002" s="211"/>
      <c r="O1002" s="211"/>
      <c r="P1002" s="211"/>
      <c r="Q1002" s="211"/>
      <c r="R1002" s="211"/>
      <c r="S1002" s="133"/>
      <c r="AR1002" s="212"/>
      <c r="AS1002" s="56"/>
      <c r="AT1002" s="213"/>
      <c r="AU1002" s="212"/>
      <c r="AV1002" s="212"/>
      <c r="AW1002" s="212"/>
    </row>
    <row r="1003">
      <c r="H1003" s="211"/>
      <c r="I1003" s="211"/>
      <c r="J1003" s="211"/>
      <c r="K1003" s="211"/>
      <c r="L1003" s="211"/>
      <c r="M1003" s="211"/>
      <c r="N1003" s="211"/>
      <c r="O1003" s="211"/>
      <c r="P1003" s="211"/>
      <c r="Q1003" s="211"/>
      <c r="R1003" s="211"/>
      <c r="S1003" s="133"/>
      <c r="AR1003" s="212"/>
      <c r="AS1003" s="56"/>
      <c r="AT1003" s="213"/>
      <c r="AU1003" s="212"/>
      <c r="AV1003" s="212"/>
      <c r="AW1003" s="212"/>
    </row>
    <row r="1004">
      <c r="H1004" s="211"/>
      <c r="I1004" s="211"/>
      <c r="J1004" s="211"/>
      <c r="K1004" s="211"/>
      <c r="L1004" s="211"/>
      <c r="M1004" s="211"/>
      <c r="N1004" s="211"/>
      <c r="O1004" s="211"/>
      <c r="P1004" s="211"/>
      <c r="Q1004" s="211"/>
      <c r="R1004" s="211"/>
      <c r="S1004" s="133"/>
      <c r="AR1004" s="212"/>
      <c r="AS1004" s="56"/>
      <c r="AT1004" s="213"/>
      <c r="AU1004" s="212"/>
      <c r="AV1004" s="212"/>
      <c r="AW1004" s="212"/>
    </row>
    <row r="1005">
      <c r="H1005" s="211"/>
      <c r="I1005" s="211"/>
      <c r="J1005" s="211"/>
      <c r="K1005" s="211"/>
      <c r="L1005" s="211"/>
      <c r="M1005" s="211"/>
      <c r="N1005" s="211"/>
      <c r="O1005" s="211"/>
      <c r="P1005" s="211"/>
      <c r="Q1005" s="211"/>
      <c r="R1005" s="211"/>
      <c r="S1005" s="133"/>
      <c r="AR1005" s="212"/>
      <c r="AS1005" s="56"/>
      <c r="AT1005" s="213"/>
      <c r="AU1005" s="212"/>
      <c r="AV1005" s="212"/>
      <c r="AW1005" s="212"/>
    </row>
    <row r="1006">
      <c r="H1006" s="211"/>
      <c r="I1006" s="211"/>
      <c r="J1006" s="211"/>
      <c r="K1006" s="211"/>
      <c r="L1006" s="211"/>
      <c r="M1006" s="211"/>
      <c r="N1006" s="211"/>
      <c r="O1006" s="211"/>
      <c r="P1006" s="211"/>
      <c r="Q1006" s="211"/>
      <c r="R1006" s="211"/>
      <c r="S1006" s="133"/>
      <c r="AR1006" s="212"/>
      <c r="AS1006" s="56"/>
      <c r="AT1006" s="213"/>
      <c r="AU1006" s="212"/>
      <c r="AV1006" s="212"/>
      <c r="AW1006" s="212"/>
    </row>
    <row r="1007">
      <c r="H1007" s="211"/>
      <c r="I1007" s="211"/>
      <c r="J1007" s="211"/>
      <c r="K1007" s="211"/>
      <c r="L1007" s="211"/>
      <c r="M1007" s="211"/>
      <c r="N1007" s="211"/>
      <c r="O1007" s="211"/>
      <c r="P1007" s="211"/>
      <c r="Q1007" s="211"/>
      <c r="R1007" s="211"/>
      <c r="S1007" s="133"/>
      <c r="AR1007" s="212"/>
      <c r="AS1007" s="56"/>
      <c r="AT1007" s="213"/>
      <c r="AU1007" s="212"/>
      <c r="AV1007" s="212"/>
      <c r="AW1007" s="212"/>
    </row>
    <row r="1008">
      <c r="H1008" s="211"/>
      <c r="I1008" s="211"/>
      <c r="J1008" s="211"/>
      <c r="K1008" s="211"/>
      <c r="L1008" s="211"/>
      <c r="M1008" s="211"/>
      <c r="N1008" s="211"/>
      <c r="O1008" s="211"/>
      <c r="P1008" s="211"/>
      <c r="Q1008" s="211"/>
      <c r="R1008" s="211"/>
      <c r="S1008" s="133"/>
      <c r="AR1008" s="212"/>
      <c r="AS1008" s="56"/>
      <c r="AT1008" s="213"/>
      <c r="AU1008" s="212"/>
      <c r="AV1008" s="212"/>
      <c r="AW1008" s="212"/>
    </row>
    <row r="1009">
      <c r="H1009" s="211"/>
      <c r="I1009" s="211"/>
      <c r="J1009" s="211"/>
      <c r="K1009" s="211"/>
      <c r="L1009" s="211"/>
      <c r="M1009" s="211"/>
      <c r="N1009" s="211"/>
      <c r="O1009" s="211"/>
      <c r="P1009" s="211"/>
      <c r="Q1009" s="211"/>
      <c r="R1009" s="211"/>
      <c r="S1009" s="133"/>
      <c r="AR1009" s="212"/>
      <c r="AS1009" s="56"/>
      <c r="AT1009" s="213"/>
      <c r="AU1009" s="212"/>
      <c r="AV1009" s="212"/>
      <c r="AW1009" s="212"/>
    </row>
    <row r="1010">
      <c r="H1010" s="211"/>
      <c r="I1010" s="211"/>
      <c r="J1010" s="211"/>
      <c r="K1010" s="211"/>
      <c r="L1010" s="211"/>
      <c r="M1010" s="211"/>
      <c r="N1010" s="211"/>
      <c r="O1010" s="211"/>
      <c r="P1010" s="211"/>
      <c r="Q1010" s="211"/>
      <c r="R1010" s="211"/>
      <c r="S1010" s="133"/>
      <c r="AR1010" s="212"/>
      <c r="AS1010" s="56"/>
      <c r="AT1010" s="213"/>
      <c r="AU1010" s="212"/>
      <c r="AV1010" s="212"/>
      <c r="AW1010" s="212"/>
    </row>
    <row r="1011">
      <c r="H1011" s="211"/>
      <c r="I1011" s="211"/>
      <c r="J1011" s="211"/>
      <c r="K1011" s="211"/>
      <c r="L1011" s="211"/>
      <c r="M1011" s="211"/>
      <c r="N1011" s="211"/>
      <c r="O1011" s="211"/>
      <c r="P1011" s="211"/>
      <c r="Q1011" s="211"/>
      <c r="R1011" s="211"/>
      <c r="S1011" s="133"/>
      <c r="AR1011" s="212"/>
      <c r="AS1011" s="56"/>
      <c r="AT1011" s="213"/>
      <c r="AU1011" s="212"/>
      <c r="AV1011" s="212"/>
      <c r="AW1011" s="212"/>
    </row>
    <row r="1012">
      <c r="H1012" s="211"/>
      <c r="I1012" s="211"/>
      <c r="J1012" s="211"/>
      <c r="K1012" s="211"/>
      <c r="L1012" s="211"/>
      <c r="M1012" s="211"/>
      <c r="N1012" s="211"/>
      <c r="O1012" s="211"/>
      <c r="P1012" s="211"/>
      <c r="Q1012" s="211"/>
      <c r="R1012" s="211"/>
      <c r="S1012" s="133"/>
      <c r="AR1012" s="212"/>
      <c r="AS1012" s="56"/>
      <c r="AT1012" s="213"/>
      <c r="AU1012" s="212"/>
      <c r="AV1012" s="212"/>
      <c r="AW1012" s="212"/>
    </row>
    <row r="1013">
      <c r="H1013" s="211"/>
      <c r="I1013" s="211"/>
      <c r="J1013" s="211"/>
      <c r="K1013" s="211"/>
      <c r="L1013" s="211"/>
      <c r="M1013" s="211"/>
      <c r="N1013" s="211"/>
      <c r="O1013" s="211"/>
      <c r="P1013" s="211"/>
      <c r="Q1013" s="211"/>
      <c r="R1013" s="211"/>
      <c r="S1013" s="133"/>
      <c r="AR1013" s="212"/>
      <c r="AS1013" s="56"/>
      <c r="AT1013" s="213"/>
      <c r="AU1013" s="212"/>
      <c r="AV1013" s="212"/>
      <c r="AW1013" s="212"/>
    </row>
    <row r="1014">
      <c r="H1014" s="211"/>
      <c r="I1014" s="211"/>
      <c r="J1014" s="211"/>
      <c r="K1014" s="211"/>
      <c r="L1014" s="211"/>
      <c r="M1014" s="211"/>
      <c r="N1014" s="211"/>
      <c r="O1014" s="211"/>
      <c r="P1014" s="211"/>
      <c r="Q1014" s="211"/>
      <c r="R1014" s="211"/>
      <c r="S1014" s="133"/>
      <c r="AR1014" s="212"/>
      <c r="AS1014" s="56"/>
      <c r="AT1014" s="213"/>
      <c r="AU1014" s="212"/>
      <c r="AV1014" s="212"/>
      <c r="AW1014" s="212"/>
    </row>
    <row r="1015">
      <c r="H1015" s="211"/>
      <c r="I1015" s="211"/>
      <c r="J1015" s="211"/>
      <c r="K1015" s="211"/>
      <c r="L1015" s="211"/>
      <c r="M1015" s="211"/>
      <c r="N1015" s="211"/>
      <c r="O1015" s="211"/>
      <c r="P1015" s="211"/>
      <c r="Q1015" s="211"/>
      <c r="R1015" s="211"/>
      <c r="S1015" s="133"/>
      <c r="AR1015" s="212"/>
      <c r="AS1015" s="56"/>
      <c r="AT1015" s="213"/>
      <c r="AU1015" s="212"/>
      <c r="AV1015" s="212"/>
      <c r="AW1015" s="212"/>
    </row>
    <row r="1016">
      <c r="H1016" s="211"/>
      <c r="I1016" s="211"/>
      <c r="J1016" s="211"/>
      <c r="K1016" s="211"/>
      <c r="L1016" s="211"/>
      <c r="M1016" s="211"/>
      <c r="N1016" s="211"/>
      <c r="O1016" s="211"/>
      <c r="P1016" s="211"/>
      <c r="Q1016" s="211"/>
      <c r="R1016" s="211"/>
      <c r="S1016" s="133"/>
      <c r="AR1016" s="212"/>
      <c r="AS1016" s="56"/>
      <c r="AT1016" s="213"/>
      <c r="AU1016" s="212"/>
      <c r="AV1016" s="212"/>
      <c r="AW1016" s="212"/>
    </row>
    <row r="1017">
      <c r="H1017" s="211"/>
      <c r="I1017" s="211"/>
      <c r="J1017" s="211"/>
      <c r="K1017" s="211"/>
      <c r="L1017" s="211"/>
      <c r="M1017" s="211"/>
      <c r="N1017" s="211"/>
      <c r="O1017" s="211"/>
      <c r="P1017" s="211"/>
      <c r="Q1017" s="211"/>
      <c r="R1017" s="211"/>
      <c r="S1017" s="133"/>
      <c r="AR1017" s="212"/>
      <c r="AS1017" s="56"/>
      <c r="AT1017" s="213"/>
      <c r="AU1017" s="212"/>
      <c r="AV1017" s="212"/>
      <c r="AW1017" s="212"/>
    </row>
    <row r="1018">
      <c r="H1018" s="211"/>
      <c r="I1018" s="211"/>
      <c r="J1018" s="211"/>
      <c r="K1018" s="211"/>
      <c r="L1018" s="211"/>
      <c r="M1018" s="211"/>
      <c r="N1018" s="211"/>
      <c r="O1018" s="211"/>
      <c r="P1018" s="211"/>
      <c r="Q1018" s="211"/>
      <c r="R1018" s="211"/>
      <c r="S1018" s="133"/>
      <c r="AR1018" s="212"/>
      <c r="AS1018" s="56"/>
      <c r="AT1018" s="213"/>
      <c r="AU1018" s="212"/>
      <c r="AV1018" s="212"/>
      <c r="AW1018" s="212"/>
    </row>
    <row r="1019">
      <c r="H1019" s="211"/>
      <c r="I1019" s="211"/>
      <c r="J1019" s="211"/>
      <c r="K1019" s="211"/>
      <c r="L1019" s="211"/>
      <c r="M1019" s="211"/>
      <c r="N1019" s="211"/>
      <c r="O1019" s="211"/>
      <c r="P1019" s="211"/>
      <c r="Q1019" s="211"/>
      <c r="R1019" s="211"/>
      <c r="S1019" s="133"/>
      <c r="AR1019" s="212"/>
      <c r="AS1019" s="56"/>
      <c r="AT1019" s="213"/>
      <c r="AU1019" s="212"/>
      <c r="AV1019" s="212"/>
      <c r="AW1019" s="212"/>
    </row>
    <row r="1020">
      <c r="H1020" s="211"/>
      <c r="I1020" s="211"/>
      <c r="J1020" s="211"/>
      <c r="K1020" s="211"/>
      <c r="L1020" s="211"/>
      <c r="M1020" s="211"/>
      <c r="N1020" s="211"/>
      <c r="O1020" s="211"/>
      <c r="P1020" s="211"/>
      <c r="Q1020" s="211"/>
      <c r="R1020" s="211"/>
      <c r="S1020" s="133"/>
      <c r="AR1020" s="212"/>
      <c r="AS1020" s="56"/>
      <c r="AT1020" s="213"/>
      <c r="AU1020" s="212"/>
      <c r="AV1020" s="212"/>
      <c r="AW1020" s="212"/>
    </row>
    <row r="1021">
      <c r="H1021" s="211"/>
      <c r="I1021" s="211"/>
      <c r="J1021" s="211"/>
      <c r="K1021" s="211"/>
      <c r="L1021" s="211"/>
      <c r="M1021" s="211"/>
      <c r="N1021" s="211"/>
      <c r="O1021" s="211"/>
      <c r="P1021" s="211"/>
      <c r="Q1021" s="211"/>
      <c r="R1021" s="211"/>
      <c r="S1021" s="133"/>
      <c r="AR1021" s="212"/>
      <c r="AS1021" s="56"/>
      <c r="AT1021" s="213"/>
      <c r="AU1021" s="212"/>
      <c r="AV1021" s="212"/>
      <c r="AW1021" s="212"/>
    </row>
    <row r="1022">
      <c r="H1022" s="211"/>
      <c r="I1022" s="211"/>
      <c r="J1022" s="211"/>
      <c r="K1022" s="211"/>
      <c r="L1022" s="211"/>
      <c r="M1022" s="211"/>
      <c r="N1022" s="211"/>
      <c r="O1022" s="211"/>
      <c r="P1022" s="211"/>
      <c r="Q1022" s="211"/>
      <c r="R1022" s="211"/>
      <c r="S1022" s="133"/>
      <c r="AR1022" s="212"/>
      <c r="AS1022" s="56"/>
      <c r="AT1022" s="213"/>
      <c r="AU1022" s="212"/>
      <c r="AV1022" s="212"/>
      <c r="AW1022" s="212"/>
    </row>
    <row r="1023">
      <c r="H1023" s="211"/>
      <c r="I1023" s="211"/>
      <c r="J1023" s="211"/>
      <c r="K1023" s="211"/>
      <c r="L1023" s="211"/>
      <c r="M1023" s="211"/>
      <c r="N1023" s="211"/>
      <c r="O1023" s="211"/>
      <c r="P1023" s="211"/>
      <c r="Q1023" s="211"/>
      <c r="R1023" s="211"/>
      <c r="S1023" s="133"/>
      <c r="AR1023" s="212"/>
      <c r="AS1023" s="56"/>
      <c r="AT1023" s="213"/>
      <c r="AU1023" s="212"/>
      <c r="AV1023" s="212"/>
      <c r="AW1023" s="212"/>
    </row>
    <row r="1024">
      <c r="H1024" s="211"/>
      <c r="I1024" s="211"/>
      <c r="J1024" s="211"/>
      <c r="K1024" s="211"/>
      <c r="L1024" s="211"/>
      <c r="M1024" s="211"/>
      <c r="N1024" s="211"/>
      <c r="O1024" s="211"/>
      <c r="P1024" s="211"/>
      <c r="Q1024" s="211"/>
      <c r="R1024" s="211"/>
      <c r="S1024" s="133"/>
      <c r="AR1024" s="212"/>
      <c r="AS1024" s="56"/>
      <c r="AT1024" s="213"/>
      <c r="AU1024" s="212"/>
      <c r="AV1024" s="212"/>
      <c r="AW1024" s="212"/>
    </row>
    <row r="1025">
      <c r="H1025" s="211"/>
      <c r="I1025" s="211"/>
      <c r="J1025" s="211"/>
      <c r="K1025" s="211"/>
      <c r="L1025" s="211"/>
      <c r="M1025" s="211"/>
      <c r="N1025" s="211"/>
      <c r="O1025" s="211"/>
      <c r="P1025" s="211"/>
      <c r="Q1025" s="211"/>
      <c r="R1025" s="211"/>
      <c r="S1025" s="133"/>
      <c r="AR1025" s="212"/>
      <c r="AS1025" s="56"/>
      <c r="AT1025" s="213"/>
      <c r="AU1025" s="212"/>
      <c r="AV1025" s="212"/>
      <c r="AW1025" s="212"/>
    </row>
    <row r="1026">
      <c r="H1026" s="211"/>
      <c r="I1026" s="211"/>
      <c r="J1026" s="211"/>
      <c r="K1026" s="211"/>
      <c r="L1026" s="211"/>
      <c r="M1026" s="211"/>
      <c r="N1026" s="211"/>
      <c r="O1026" s="211"/>
      <c r="P1026" s="211"/>
      <c r="Q1026" s="211"/>
      <c r="R1026" s="211"/>
      <c r="S1026" s="133"/>
      <c r="AR1026" s="212"/>
      <c r="AS1026" s="56"/>
      <c r="AT1026" s="213"/>
      <c r="AU1026" s="212"/>
      <c r="AV1026" s="212"/>
      <c r="AW1026" s="212"/>
    </row>
    <row r="1027">
      <c r="H1027" s="211"/>
      <c r="I1027" s="211"/>
      <c r="J1027" s="211"/>
      <c r="K1027" s="211"/>
      <c r="L1027" s="211"/>
      <c r="M1027" s="211"/>
      <c r="N1027" s="211"/>
      <c r="O1027" s="211"/>
      <c r="P1027" s="211"/>
      <c r="Q1027" s="211"/>
      <c r="R1027" s="211"/>
      <c r="S1027" s="133"/>
      <c r="AR1027" s="212"/>
      <c r="AS1027" s="56"/>
      <c r="AT1027" s="213"/>
      <c r="AU1027" s="212"/>
      <c r="AV1027" s="212"/>
      <c r="AW1027" s="212"/>
    </row>
    <row r="1028">
      <c r="H1028" s="211"/>
      <c r="I1028" s="211"/>
      <c r="J1028" s="211"/>
      <c r="K1028" s="211"/>
      <c r="L1028" s="211"/>
      <c r="M1028" s="211"/>
      <c r="N1028" s="211"/>
      <c r="O1028" s="211"/>
      <c r="P1028" s="211"/>
      <c r="Q1028" s="211"/>
      <c r="R1028" s="211"/>
      <c r="S1028" s="133"/>
      <c r="AR1028" s="212"/>
      <c r="AS1028" s="56"/>
      <c r="AT1028" s="213"/>
      <c r="AU1028" s="212"/>
      <c r="AV1028" s="212"/>
      <c r="AW1028" s="212"/>
    </row>
    <row r="1029">
      <c r="H1029" s="211"/>
      <c r="I1029" s="211"/>
      <c r="J1029" s="211"/>
      <c r="K1029" s="211"/>
      <c r="L1029" s="211"/>
      <c r="M1029" s="211"/>
      <c r="N1029" s="211"/>
      <c r="O1029" s="211"/>
      <c r="P1029" s="211"/>
      <c r="Q1029" s="211"/>
      <c r="R1029" s="211"/>
      <c r="S1029" s="133"/>
      <c r="AR1029" s="212"/>
      <c r="AS1029" s="56"/>
      <c r="AT1029" s="213"/>
      <c r="AU1029" s="212"/>
      <c r="AV1029" s="212"/>
      <c r="AW1029" s="212"/>
    </row>
    <row r="1030">
      <c r="H1030" s="211"/>
      <c r="I1030" s="211"/>
      <c r="J1030" s="211"/>
      <c r="K1030" s="211"/>
      <c r="L1030" s="211"/>
      <c r="M1030" s="211"/>
      <c r="N1030" s="211"/>
      <c r="O1030" s="211"/>
      <c r="P1030" s="211"/>
      <c r="Q1030" s="211"/>
      <c r="R1030" s="211"/>
      <c r="S1030" s="133"/>
      <c r="AR1030" s="212"/>
      <c r="AS1030" s="56"/>
      <c r="AT1030" s="213"/>
      <c r="AU1030" s="212"/>
      <c r="AV1030" s="212"/>
      <c r="AW1030" s="212"/>
    </row>
    <row r="1031">
      <c r="H1031" s="211"/>
      <c r="I1031" s="211"/>
      <c r="J1031" s="211"/>
      <c r="K1031" s="211"/>
      <c r="L1031" s="211"/>
      <c r="M1031" s="211"/>
      <c r="N1031" s="211"/>
      <c r="O1031" s="211"/>
      <c r="P1031" s="211"/>
      <c r="Q1031" s="211"/>
      <c r="R1031" s="211"/>
      <c r="S1031" s="133"/>
      <c r="AR1031" s="212"/>
      <c r="AS1031" s="56"/>
      <c r="AT1031" s="213"/>
      <c r="AU1031" s="212"/>
      <c r="AV1031" s="212"/>
      <c r="AW1031" s="212"/>
    </row>
    <row r="1032">
      <c r="H1032" s="211"/>
      <c r="I1032" s="211"/>
      <c r="J1032" s="211"/>
      <c r="K1032" s="211"/>
      <c r="L1032" s="211"/>
      <c r="M1032" s="211"/>
      <c r="N1032" s="211"/>
      <c r="O1032" s="211"/>
      <c r="P1032" s="211"/>
      <c r="Q1032" s="211"/>
      <c r="R1032" s="211"/>
      <c r="S1032" s="133"/>
      <c r="AR1032" s="212"/>
      <c r="AS1032" s="56"/>
      <c r="AT1032" s="213"/>
      <c r="AU1032" s="212"/>
      <c r="AV1032" s="212"/>
      <c r="AW1032" s="212"/>
    </row>
    <row r="1033">
      <c r="H1033" s="211"/>
      <c r="I1033" s="211"/>
      <c r="J1033" s="211"/>
      <c r="K1033" s="211"/>
      <c r="L1033" s="211"/>
      <c r="M1033" s="211"/>
      <c r="N1033" s="211"/>
      <c r="O1033" s="211"/>
      <c r="P1033" s="211"/>
      <c r="Q1033" s="211"/>
      <c r="R1033" s="211"/>
      <c r="S1033" s="133"/>
      <c r="AR1033" s="212"/>
      <c r="AS1033" s="56"/>
      <c r="AT1033" s="213"/>
      <c r="AU1033" s="212"/>
      <c r="AV1033" s="212"/>
      <c r="AW1033" s="212"/>
    </row>
    <row r="1034">
      <c r="H1034" s="211"/>
      <c r="I1034" s="211"/>
      <c r="J1034" s="211"/>
      <c r="K1034" s="211"/>
      <c r="L1034" s="211"/>
      <c r="M1034" s="211"/>
      <c r="N1034" s="211"/>
      <c r="O1034" s="211"/>
      <c r="P1034" s="211"/>
      <c r="Q1034" s="211"/>
      <c r="R1034" s="211"/>
      <c r="S1034" s="133"/>
      <c r="AR1034" s="212"/>
      <c r="AS1034" s="56"/>
      <c r="AT1034" s="213"/>
      <c r="AU1034" s="212"/>
      <c r="AV1034" s="212"/>
      <c r="AW1034" s="212"/>
    </row>
    <row r="1035">
      <c r="H1035" s="211"/>
      <c r="I1035" s="211"/>
      <c r="J1035" s="211"/>
      <c r="K1035" s="211"/>
      <c r="L1035" s="211"/>
      <c r="M1035" s="211"/>
      <c r="N1035" s="211"/>
      <c r="O1035" s="211"/>
      <c r="P1035" s="211"/>
      <c r="Q1035" s="211"/>
      <c r="R1035" s="211"/>
      <c r="S1035" s="133"/>
      <c r="AR1035" s="212"/>
      <c r="AS1035" s="56"/>
      <c r="AT1035" s="213"/>
      <c r="AU1035" s="212"/>
      <c r="AV1035" s="212"/>
      <c r="AW1035" s="212"/>
    </row>
    <row r="1036">
      <c r="H1036" s="211"/>
      <c r="I1036" s="211"/>
      <c r="J1036" s="211"/>
      <c r="K1036" s="211"/>
      <c r="L1036" s="211"/>
      <c r="M1036" s="211"/>
      <c r="N1036" s="211"/>
      <c r="O1036" s="211"/>
      <c r="P1036" s="211"/>
      <c r="Q1036" s="211"/>
      <c r="R1036" s="211"/>
      <c r="S1036" s="133"/>
      <c r="AR1036" s="212"/>
      <c r="AS1036" s="56"/>
      <c r="AT1036" s="213"/>
      <c r="AU1036" s="212"/>
      <c r="AV1036" s="212"/>
      <c r="AW1036" s="212"/>
    </row>
    <row r="1037">
      <c r="H1037" s="211"/>
      <c r="I1037" s="211"/>
      <c r="J1037" s="211"/>
      <c r="K1037" s="211"/>
      <c r="L1037" s="211"/>
      <c r="M1037" s="211"/>
      <c r="N1037" s="211"/>
      <c r="O1037" s="211"/>
      <c r="P1037" s="211"/>
      <c r="Q1037" s="211"/>
      <c r="R1037" s="211"/>
      <c r="S1037" s="133"/>
      <c r="AR1037" s="212"/>
      <c r="AS1037" s="56"/>
      <c r="AT1037" s="213"/>
      <c r="AU1037" s="212"/>
      <c r="AV1037" s="212"/>
      <c r="AW1037" s="212"/>
    </row>
    <row r="1038">
      <c r="H1038" s="211"/>
      <c r="I1038" s="211"/>
      <c r="J1038" s="211"/>
      <c r="K1038" s="211"/>
      <c r="L1038" s="211"/>
      <c r="M1038" s="211"/>
      <c r="N1038" s="211"/>
      <c r="O1038" s="211"/>
      <c r="P1038" s="211"/>
      <c r="Q1038" s="211"/>
      <c r="R1038" s="211"/>
      <c r="S1038" s="133"/>
      <c r="AR1038" s="212"/>
      <c r="AS1038" s="56"/>
      <c r="AT1038" s="213"/>
      <c r="AU1038" s="212"/>
      <c r="AV1038" s="212"/>
      <c r="AW1038" s="212"/>
    </row>
    <row r="1039">
      <c r="H1039" s="211"/>
      <c r="I1039" s="211"/>
      <c r="J1039" s="211"/>
      <c r="K1039" s="211"/>
      <c r="L1039" s="211"/>
      <c r="M1039" s="211"/>
      <c r="N1039" s="211"/>
      <c r="O1039" s="211"/>
      <c r="P1039" s="211"/>
      <c r="Q1039" s="211"/>
      <c r="R1039" s="211"/>
      <c r="S1039" s="133"/>
      <c r="AR1039" s="212"/>
      <c r="AS1039" s="56"/>
      <c r="AT1039" s="213"/>
      <c r="AU1039" s="212"/>
      <c r="AV1039" s="212"/>
      <c r="AW1039" s="212"/>
    </row>
    <row r="1040">
      <c r="H1040" s="211"/>
      <c r="I1040" s="211"/>
      <c r="J1040" s="211"/>
      <c r="K1040" s="211"/>
      <c r="L1040" s="211"/>
      <c r="M1040" s="211"/>
      <c r="N1040" s="211"/>
      <c r="O1040" s="211"/>
      <c r="P1040" s="211"/>
      <c r="Q1040" s="211"/>
      <c r="R1040" s="211"/>
      <c r="S1040" s="133"/>
      <c r="AR1040" s="212"/>
      <c r="AS1040" s="56"/>
      <c r="AT1040" s="213"/>
      <c r="AU1040" s="212"/>
      <c r="AV1040" s="212"/>
      <c r="AW1040" s="212"/>
    </row>
    <row r="1041">
      <c r="H1041" s="211"/>
      <c r="I1041" s="211"/>
      <c r="J1041" s="211"/>
      <c r="K1041" s="211"/>
      <c r="L1041" s="211"/>
      <c r="M1041" s="211"/>
      <c r="N1041" s="211"/>
      <c r="O1041" s="211"/>
      <c r="P1041" s="211"/>
      <c r="Q1041" s="211"/>
      <c r="R1041" s="211"/>
      <c r="S1041" s="133"/>
      <c r="AR1041" s="212"/>
      <c r="AS1041" s="56"/>
      <c r="AT1041" s="213"/>
      <c r="AU1041" s="212"/>
      <c r="AV1041" s="212"/>
      <c r="AW1041" s="212"/>
    </row>
    <row r="1042">
      <c r="H1042" s="211"/>
      <c r="I1042" s="211"/>
      <c r="J1042" s="211"/>
      <c r="K1042" s="211"/>
      <c r="L1042" s="211"/>
      <c r="M1042" s="211"/>
      <c r="N1042" s="211"/>
      <c r="O1042" s="211"/>
      <c r="P1042" s="211"/>
      <c r="Q1042" s="211"/>
      <c r="R1042" s="211"/>
      <c r="S1042" s="133"/>
      <c r="AR1042" s="212"/>
      <c r="AS1042" s="56"/>
      <c r="AT1042" s="213"/>
      <c r="AU1042" s="212"/>
      <c r="AV1042" s="212"/>
      <c r="AW1042" s="212"/>
    </row>
    <row r="1043">
      <c r="H1043" s="211"/>
      <c r="I1043" s="211"/>
      <c r="J1043" s="211"/>
      <c r="K1043" s="211"/>
      <c r="L1043" s="211"/>
      <c r="M1043" s="211"/>
      <c r="N1043" s="211"/>
      <c r="O1043" s="211"/>
      <c r="P1043" s="211"/>
      <c r="Q1043" s="211"/>
      <c r="R1043" s="211"/>
      <c r="S1043" s="133"/>
      <c r="AR1043" s="212"/>
      <c r="AS1043" s="56"/>
      <c r="AT1043" s="213"/>
      <c r="AU1043" s="212"/>
      <c r="AV1043" s="212"/>
      <c r="AW1043" s="212"/>
    </row>
    <row r="1044">
      <c r="H1044" s="211"/>
      <c r="I1044" s="211"/>
      <c r="J1044" s="211"/>
      <c r="K1044" s="211"/>
      <c r="L1044" s="211"/>
      <c r="M1044" s="211"/>
      <c r="N1044" s="211"/>
      <c r="O1044" s="211"/>
      <c r="P1044" s="211"/>
      <c r="Q1044" s="211"/>
      <c r="R1044" s="211"/>
      <c r="S1044" s="133"/>
      <c r="AR1044" s="212"/>
      <c r="AS1044" s="56"/>
      <c r="AT1044" s="213"/>
      <c r="AU1044" s="212"/>
      <c r="AV1044" s="212"/>
      <c r="AW1044" s="212"/>
    </row>
    <row r="1045">
      <c r="H1045" s="211"/>
      <c r="I1045" s="211"/>
      <c r="J1045" s="211"/>
      <c r="K1045" s="211"/>
      <c r="L1045" s="211"/>
      <c r="M1045" s="211"/>
      <c r="N1045" s="211"/>
      <c r="O1045" s="211"/>
      <c r="P1045" s="211"/>
      <c r="Q1045" s="211"/>
      <c r="R1045" s="211"/>
      <c r="S1045" s="133"/>
      <c r="AR1045" s="212"/>
      <c r="AS1045" s="56"/>
      <c r="AT1045" s="213"/>
      <c r="AU1045" s="212"/>
      <c r="AV1045" s="212"/>
      <c r="AW1045" s="212"/>
    </row>
    <row r="1046">
      <c r="H1046" s="211"/>
      <c r="I1046" s="211"/>
      <c r="J1046" s="211"/>
      <c r="K1046" s="211"/>
      <c r="L1046" s="211"/>
      <c r="M1046" s="211"/>
      <c r="N1046" s="211"/>
      <c r="O1046" s="211"/>
      <c r="P1046" s="211"/>
      <c r="Q1046" s="211"/>
      <c r="R1046" s="211"/>
      <c r="S1046" s="133"/>
      <c r="AR1046" s="212"/>
      <c r="AS1046" s="56"/>
      <c r="AT1046" s="213"/>
      <c r="AU1046" s="212"/>
      <c r="AV1046" s="212"/>
      <c r="AW1046" s="212"/>
    </row>
    <row r="1047">
      <c r="H1047" s="211"/>
      <c r="I1047" s="211"/>
      <c r="J1047" s="211"/>
      <c r="K1047" s="211"/>
      <c r="L1047" s="211"/>
      <c r="M1047" s="211"/>
      <c r="N1047" s="211"/>
      <c r="O1047" s="211"/>
      <c r="P1047" s="211"/>
      <c r="Q1047" s="211"/>
      <c r="R1047" s="211"/>
      <c r="S1047" s="133"/>
      <c r="AR1047" s="212"/>
      <c r="AS1047" s="56"/>
      <c r="AT1047" s="213"/>
      <c r="AU1047" s="212"/>
      <c r="AV1047" s="212"/>
      <c r="AW1047" s="212"/>
    </row>
    <row r="1048">
      <c r="H1048" s="211"/>
      <c r="I1048" s="211"/>
      <c r="J1048" s="211"/>
      <c r="K1048" s="211"/>
      <c r="L1048" s="211"/>
      <c r="M1048" s="211"/>
      <c r="N1048" s="211"/>
      <c r="O1048" s="211"/>
      <c r="P1048" s="211"/>
      <c r="Q1048" s="211"/>
      <c r="R1048" s="211"/>
      <c r="S1048" s="133"/>
      <c r="AR1048" s="212"/>
      <c r="AS1048" s="56"/>
      <c r="AT1048" s="213"/>
      <c r="AU1048" s="212"/>
      <c r="AV1048" s="212"/>
      <c r="AW1048" s="212"/>
    </row>
    <row r="1049">
      <c r="H1049" s="211"/>
      <c r="I1049" s="211"/>
      <c r="J1049" s="211"/>
      <c r="K1049" s="211"/>
      <c r="L1049" s="211"/>
      <c r="M1049" s="211"/>
      <c r="N1049" s="211"/>
      <c r="O1049" s="211"/>
      <c r="P1049" s="211"/>
      <c r="Q1049" s="211"/>
      <c r="R1049" s="211"/>
      <c r="S1049" s="133"/>
      <c r="AR1049" s="212"/>
      <c r="AS1049" s="56"/>
      <c r="AT1049" s="213"/>
      <c r="AU1049" s="212"/>
      <c r="AV1049" s="212"/>
      <c r="AW1049" s="212"/>
    </row>
    <row r="1050">
      <c r="H1050" s="211"/>
      <c r="I1050" s="211"/>
      <c r="J1050" s="211"/>
      <c r="K1050" s="211"/>
      <c r="L1050" s="211"/>
      <c r="M1050" s="211"/>
      <c r="N1050" s="211"/>
      <c r="O1050" s="211"/>
      <c r="P1050" s="211"/>
      <c r="Q1050" s="211"/>
      <c r="R1050" s="211"/>
      <c r="S1050" s="133"/>
      <c r="AR1050" s="212"/>
      <c r="AS1050" s="56"/>
      <c r="AT1050" s="213"/>
      <c r="AU1050" s="212"/>
      <c r="AV1050" s="212"/>
      <c r="AW1050" s="212"/>
    </row>
    <row r="1051">
      <c r="H1051" s="211"/>
      <c r="I1051" s="211"/>
      <c r="J1051" s="211"/>
      <c r="K1051" s="211"/>
      <c r="L1051" s="211"/>
      <c r="M1051" s="211"/>
      <c r="N1051" s="211"/>
      <c r="O1051" s="211"/>
      <c r="P1051" s="211"/>
      <c r="Q1051" s="211"/>
      <c r="R1051" s="211"/>
      <c r="S1051" s="133"/>
      <c r="AR1051" s="212"/>
      <c r="AS1051" s="56"/>
      <c r="AT1051" s="213"/>
      <c r="AU1051" s="212"/>
      <c r="AV1051" s="212"/>
      <c r="AW1051" s="212"/>
    </row>
    <row r="1052">
      <c r="H1052" s="211"/>
      <c r="I1052" s="211"/>
      <c r="J1052" s="211"/>
      <c r="K1052" s="211"/>
      <c r="L1052" s="211"/>
      <c r="M1052" s="211"/>
      <c r="N1052" s="211"/>
      <c r="O1052" s="211"/>
      <c r="P1052" s="211"/>
      <c r="Q1052" s="211"/>
      <c r="R1052" s="211"/>
      <c r="S1052" s="133"/>
      <c r="AR1052" s="212"/>
      <c r="AS1052" s="56"/>
      <c r="AT1052" s="213"/>
      <c r="AU1052" s="212"/>
      <c r="AV1052" s="212"/>
      <c r="AW1052" s="212"/>
    </row>
    <row r="1053">
      <c r="H1053" s="211"/>
      <c r="I1053" s="211"/>
      <c r="J1053" s="211"/>
      <c r="K1053" s="211"/>
      <c r="L1053" s="211"/>
      <c r="M1053" s="211"/>
      <c r="N1053" s="211"/>
      <c r="O1053" s="211"/>
      <c r="P1053" s="211"/>
      <c r="Q1053" s="211"/>
      <c r="R1053" s="211"/>
      <c r="S1053" s="133"/>
      <c r="AR1053" s="212"/>
      <c r="AS1053" s="56"/>
      <c r="AT1053" s="213"/>
      <c r="AU1053" s="212"/>
      <c r="AV1053" s="212"/>
      <c r="AW1053" s="212"/>
    </row>
    <row r="1054">
      <c r="H1054" s="211"/>
      <c r="I1054" s="211"/>
      <c r="J1054" s="211"/>
      <c r="K1054" s="211"/>
      <c r="L1054" s="211"/>
      <c r="M1054" s="211"/>
      <c r="N1054" s="211"/>
      <c r="O1054" s="211"/>
      <c r="P1054" s="211"/>
      <c r="Q1054" s="211"/>
      <c r="R1054" s="211"/>
      <c r="S1054" s="133"/>
      <c r="AR1054" s="212"/>
      <c r="AS1054" s="56"/>
      <c r="AT1054" s="213"/>
      <c r="AU1054" s="212"/>
      <c r="AV1054" s="212"/>
      <c r="AW1054" s="212"/>
    </row>
    <row r="1055">
      <c r="H1055" s="211"/>
      <c r="I1055" s="211"/>
      <c r="J1055" s="211"/>
      <c r="K1055" s="211"/>
      <c r="L1055" s="211"/>
      <c r="M1055" s="211"/>
      <c r="N1055" s="211"/>
      <c r="O1055" s="211"/>
      <c r="P1055" s="211"/>
      <c r="Q1055" s="211"/>
      <c r="R1055" s="211"/>
      <c r="S1055" s="133"/>
      <c r="AR1055" s="212"/>
      <c r="AS1055" s="56"/>
      <c r="AT1055" s="213"/>
      <c r="AU1055" s="212"/>
      <c r="AV1055" s="212"/>
      <c r="AW1055" s="212"/>
    </row>
    <row r="1056">
      <c r="H1056" s="211"/>
      <c r="I1056" s="211"/>
      <c r="J1056" s="211"/>
      <c r="K1056" s="211"/>
      <c r="L1056" s="211"/>
      <c r="M1056" s="211"/>
      <c r="N1056" s="211"/>
      <c r="O1056" s="211"/>
      <c r="P1056" s="211"/>
      <c r="Q1056" s="211"/>
      <c r="R1056" s="211"/>
      <c r="S1056" s="133"/>
      <c r="AR1056" s="212"/>
      <c r="AS1056" s="56"/>
      <c r="AT1056" s="213"/>
      <c r="AU1056" s="212"/>
      <c r="AV1056" s="212"/>
      <c r="AW1056" s="212"/>
    </row>
    <row r="1057">
      <c r="H1057" s="211"/>
      <c r="I1057" s="211"/>
      <c r="J1057" s="211"/>
      <c r="K1057" s="211"/>
      <c r="L1057" s="211"/>
      <c r="M1057" s="211"/>
      <c r="N1057" s="211"/>
      <c r="O1057" s="211"/>
      <c r="P1057" s="211"/>
      <c r="Q1057" s="211"/>
      <c r="R1057" s="211"/>
      <c r="S1057" s="133"/>
      <c r="AR1057" s="212"/>
      <c r="AS1057" s="56"/>
      <c r="AT1057" s="213"/>
      <c r="AU1057" s="212"/>
      <c r="AV1057" s="212"/>
      <c r="AW1057" s="212"/>
    </row>
    <row r="1058">
      <c r="H1058" s="211"/>
      <c r="I1058" s="211"/>
      <c r="J1058" s="211"/>
      <c r="K1058" s="211"/>
      <c r="L1058" s="211"/>
      <c r="M1058" s="211"/>
      <c r="N1058" s="211"/>
      <c r="O1058" s="211"/>
      <c r="P1058" s="211"/>
      <c r="Q1058" s="211"/>
      <c r="R1058" s="211"/>
      <c r="S1058" s="133"/>
      <c r="AR1058" s="212"/>
      <c r="AS1058" s="56"/>
      <c r="AT1058" s="213"/>
      <c r="AU1058" s="212"/>
      <c r="AV1058" s="212"/>
      <c r="AW1058" s="212"/>
    </row>
    <row r="1059">
      <c r="H1059" s="211"/>
      <c r="I1059" s="211"/>
      <c r="J1059" s="211"/>
      <c r="K1059" s="211"/>
      <c r="L1059" s="211"/>
      <c r="M1059" s="211"/>
      <c r="N1059" s="211"/>
      <c r="O1059" s="211"/>
      <c r="P1059" s="211"/>
      <c r="Q1059" s="211"/>
      <c r="R1059" s="211"/>
      <c r="S1059" s="133"/>
      <c r="AR1059" s="212"/>
      <c r="AS1059" s="56"/>
      <c r="AT1059" s="213"/>
      <c r="AU1059" s="212"/>
      <c r="AV1059" s="212"/>
      <c r="AW1059" s="212"/>
    </row>
    <row r="1060">
      <c r="H1060" s="211"/>
      <c r="I1060" s="211"/>
      <c r="J1060" s="211"/>
      <c r="K1060" s="211"/>
      <c r="L1060" s="211"/>
      <c r="M1060" s="211"/>
      <c r="N1060" s="211"/>
      <c r="O1060" s="211"/>
      <c r="P1060" s="211"/>
      <c r="Q1060" s="211"/>
      <c r="R1060" s="211"/>
      <c r="S1060" s="133"/>
      <c r="AR1060" s="212"/>
      <c r="AS1060" s="56"/>
      <c r="AT1060" s="213"/>
      <c r="AU1060" s="212"/>
      <c r="AV1060" s="212"/>
      <c r="AW1060" s="212"/>
    </row>
    <row r="1061">
      <c r="H1061" s="211"/>
      <c r="I1061" s="211"/>
      <c r="J1061" s="211"/>
      <c r="K1061" s="211"/>
      <c r="L1061" s="211"/>
      <c r="M1061" s="211"/>
      <c r="N1061" s="211"/>
      <c r="O1061" s="211"/>
      <c r="P1061" s="211"/>
      <c r="Q1061" s="211"/>
      <c r="R1061" s="211"/>
      <c r="S1061" s="133"/>
      <c r="AR1061" s="212"/>
      <c r="AS1061" s="56"/>
      <c r="AT1061" s="213"/>
      <c r="AU1061" s="212"/>
      <c r="AV1061" s="212"/>
      <c r="AW1061" s="212"/>
    </row>
    <row r="1062">
      <c r="H1062" s="211"/>
      <c r="I1062" s="211"/>
      <c r="J1062" s="211"/>
      <c r="K1062" s="211"/>
      <c r="L1062" s="211"/>
      <c r="M1062" s="211"/>
      <c r="N1062" s="211"/>
      <c r="O1062" s="211"/>
      <c r="P1062" s="211"/>
      <c r="Q1062" s="211"/>
      <c r="R1062" s="211"/>
      <c r="S1062" s="133"/>
      <c r="AR1062" s="212"/>
      <c r="AS1062" s="56"/>
      <c r="AT1062" s="213"/>
      <c r="AU1062" s="212"/>
      <c r="AV1062" s="212"/>
      <c r="AW1062" s="212"/>
    </row>
    <row r="1063">
      <c r="H1063" s="211"/>
      <c r="I1063" s="211"/>
      <c r="J1063" s="211"/>
      <c r="K1063" s="211"/>
      <c r="L1063" s="211"/>
      <c r="M1063" s="211"/>
      <c r="N1063" s="211"/>
      <c r="O1063" s="211"/>
      <c r="P1063" s="211"/>
      <c r="Q1063" s="211"/>
      <c r="R1063" s="211"/>
      <c r="S1063" s="133"/>
      <c r="AR1063" s="212"/>
      <c r="AS1063" s="56"/>
      <c r="AT1063" s="213"/>
      <c r="AU1063" s="212"/>
      <c r="AV1063" s="212"/>
      <c r="AW1063" s="212"/>
    </row>
    <row r="1064">
      <c r="H1064" s="211"/>
      <c r="I1064" s="211"/>
      <c r="J1064" s="211"/>
      <c r="K1064" s="211"/>
      <c r="L1064" s="211"/>
      <c r="M1064" s="211"/>
      <c r="N1064" s="211"/>
      <c r="O1064" s="211"/>
      <c r="P1064" s="211"/>
      <c r="Q1064" s="211"/>
      <c r="R1064" s="211"/>
      <c r="S1064" s="133"/>
      <c r="AR1064" s="212"/>
      <c r="AS1064" s="56"/>
      <c r="AT1064" s="213"/>
      <c r="AU1064" s="212"/>
      <c r="AV1064" s="212"/>
      <c r="AW1064" s="212"/>
    </row>
    <row r="1065">
      <c r="H1065" s="211"/>
      <c r="I1065" s="211"/>
      <c r="J1065" s="211"/>
      <c r="K1065" s="211"/>
      <c r="L1065" s="211"/>
      <c r="M1065" s="211"/>
      <c r="N1065" s="211"/>
      <c r="O1065" s="211"/>
      <c r="P1065" s="211"/>
      <c r="Q1065" s="211"/>
      <c r="R1065" s="211"/>
      <c r="S1065" s="133"/>
      <c r="AR1065" s="212"/>
      <c r="AS1065" s="56"/>
      <c r="AT1065" s="213"/>
      <c r="AU1065" s="212"/>
      <c r="AV1065" s="212"/>
      <c r="AW1065" s="212"/>
    </row>
    <row r="1066">
      <c r="H1066" s="211"/>
      <c r="I1066" s="211"/>
      <c r="J1066" s="211"/>
      <c r="K1066" s="211"/>
      <c r="L1066" s="211"/>
      <c r="M1066" s="211"/>
      <c r="N1066" s="211"/>
      <c r="O1066" s="211"/>
      <c r="P1066" s="211"/>
      <c r="Q1066" s="211"/>
      <c r="R1066" s="211"/>
      <c r="S1066" s="133"/>
      <c r="AR1066" s="212"/>
      <c r="AS1066" s="56"/>
      <c r="AT1066" s="213"/>
      <c r="AU1066" s="212"/>
      <c r="AV1066" s="212"/>
      <c r="AW1066" s="212"/>
    </row>
    <row r="1067">
      <c r="H1067" s="211"/>
      <c r="I1067" s="211"/>
      <c r="J1067" s="211"/>
      <c r="K1067" s="211"/>
      <c r="L1067" s="211"/>
      <c r="M1067" s="211"/>
      <c r="N1067" s="211"/>
      <c r="O1067" s="211"/>
      <c r="P1067" s="211"/>
      <c r="Q1067" s="211"/>
      <c r="R1067" s="211"/>
      <c r="S1067" s="133"/>
      <c r="AR1067" s="212"/>
      <c r="AS1067" s="56"/>
      <c r="AT1067" s="213"/>
      <c r="AU1067" s="212"/>
      <c r="AV1067" s="212"/>
      <c r="AW1067" s="212"/>
    </row>
    <row r="1068">
      <c r="H1068" s="211"/>
      <c r="I1068" s="211"/>
      <c r="J1068" s="211"/>
      <c r="K1068" s="211"/>
      <c r="L1068" s="211"/>
      <c r="M1068" s="211"/>
      <c r="N1068" s="211"/>
      <c r="O1068" s="211"/>
      <c r="P1068" s="211"/>
      <c r="Q1068" s="211"/>
      <c r="R1068" s="211"/>
      <c r="S1068" s="133"/>
      <c r="AR1068" s="212"/>
      <c r="AS1068" s="56"/>
      <c r="AT1068" s="213"/>
      <c r="AU1068" s="212"/>
      <c r="AV1068" s="212"/>
      <c r="AW1068" s="212"/>
    </row>
    <row r="1069">
      <c r="H1069" s="211"/>
      <c r="I1069" s="211"/>
      <c r="J1069" s="211"/>
      <c r="K1069" s="211"/>
      <c r="L1069" s="211"/>
      <c r="M1069" s="211"/>
      <c r="N1069" s="211"/>
      <c r="O1069" s="211"/>
      <c r="P1069" s="211"/>
      <c r="Q1069" s="211"/>
      <c r="R1069" s="211"/>
      <c r="S1069" s="133"/>
      <c r="AR1069" s="212"/>
      <c r="AS1069" s="56"/>
      <c r="AT1069" s="213"/>
      <c r="AU1069" s="212"/>
      <c r="AV1069" s="212"/>
      <c r="AW1069" s="212"/>
    </row>
    <row r="1070">
      <c r="H1070" s="211"/>
      <c r="I1070" s="211"/>
      <c r="J1070" s="211"/>
      <c r="K1070" s="211"/>
      <c r="L1070" s="211"/>
      <c r="M1070" s="211"/>
      <c r="N1070" s="211"/>
      <c r="O1070" s="211"/>
      <c r="P1070" s="211"/>
      <c r="Q1070" s="211"/>
      <c r="R1070" s="211"/>
      <c r="S1070" s="133"/>
      <c r="AR1070" s="212"/>
      <c r="AS1070" s="56"/>
      <c r="AT1070" s="213"/>
      <c r="AU1070" s="212"/>
      <c r="AV1070" s="212"/>
      <c r="AW1070" s="212"/>
    </row>
    <row r="1071">
      <c r="H1071" s="211"/>
      <c r="I1071" s="211"/>
      <c r="J1071" s="211"/>
      <c r="K1071" s="211"/>
      <c r="L1071" s="211"/>
      <c r="M1071" s="211"/>
      <c r="N1071" s="211"/>
      <c r="O1071" s="211"/>
      <c r="P1071" s="211"/>
      <c r="Q1071" s="211"/>
      <c r="R1071" s="211"/>
      <c r="S1071" s="133"/>
      <c r="AR1071" s="212"/>
      <c r="AS1071" s="56"/>
      <c r="AT1071" s="213"/>
      <c r="AU1071" s="212"/>
      <c r="AV1071" s="212"/>
      <c r="AW1071" s="212"/>
    </row>
    <row r="1072">
      <c r="H1072" s="211"/>
      <c r="I1072" s="211"/>
      <c r="J1072" s="211"/>
      <c r="K1072" s="211"/>
      <c r="L1072" s="211"/>
      <c r="M1072" s="211"/>
      <c r="N1072" s="211"/>
      <c r="O1072" s="211"/>
      <c r="P1072" s="211"/>
      <c r="Q1072" s="211"/>
      <c r="R1072" s="211"/>
      <c r="S1072" s="133"/>
      <c r="AR1072" s="212"/>
      <c r="AS1072" s="56"/>
      <c r="AT1072" s="213"/>
      <c r="AU1072" s="212"/>
      <c r="AV1072" s="212"/>
      <c r="AW1072" s="212"/>
    </row>
    <row r="1073">
      <c r="H1073" s="211"/>
      <c r="I1073" s="211"/>
      <c r="J1073" s="211"/>
      <c r="K1073" s="211"/>
      <c r="L1073" s="211"/>
      <c r="M1073" s="211"/>
      <c r="N1073" s="211"/>
      <c r="O1073" s="211"/>
      <c r="P1073" s="211"/>
      <c r="Q1073" s="211"/>
      <c r="R1073" s="211"/>
      <c r="S1073" s="133"/>
      <c r="AR1073" s="212"/>
      <c r="AS1073" s="56"/>
      <c r="AT1073" s="213"/>
      <c r="AU1073" s="212"/>
      <c r="AV1073" s="212"/>
      <c r="AW1073" s="212"/>
    </row>
    <row r="1074">
      <c r="H1074" s="211"/>
      <c r="I1074" s="211"/>
      <c r="J1074" s="211"/>
      <c r="K1074" s="211"/>
      <c r="L1074" s="211"/>
      <c r="M1074" s="211"/>
      <c r="N1074" s="211"/>
      <c r="O1074" s="211"/>
      <c r="P1074" s="211"/>
      <c r="Q1074" s="211"/>
      <c r="R1074" s="211"/>
      <c r="S1074" s="133"/>
      <c r="AR1074" s="212"/>
      <c r="AS1074" s="56"/>
      <c r="AT1074" s="213"/>
      <c r="AU1074" s="212"/>
      <c r="AV1074" s="212"/>
      <c r="AW1074" s="212"/>
    </row>
    <row r="1075">
      <c r="H1075" s="211"/>
      <c r="I1075" s="211"/>
      <c r="J1075" s="211"/>
      <c r="K1075" s="211"/>
      <c r="L1075" s="211"/>
      <c r="M1075" s="211"/>
      <c r="N1075" s="211"/>
      <c r="O1075" s="211"/>
      <c r="P1075" s="211"/>
      <c r="Q1075" s="211"/>
      <c r="R1075" s="211"/>
      <c r="S1075" s="133"/>
      <c r="AR1075" s="212"/>
      <c r="AS1075" s="56"/>
      <c r="AT1075" s="213"/>
      <c r="AU1075" s="212"/>
      <c r="AV1075" s="212"/>
      <c r="AW1075" s="212"/>
    </row>
    <row r="1076">
      <c r="H1076" s="211"/>
      <c r="I1076" s="211"/>
      <c r="J1076" s="211"/>
      <c r="K1076" s="211"/>
      <c r="L1076" s="211"/>
      <c r="M1076" s="211"/>
      <c r="N1076" s="211"/>
      <c r="O1076" s="211"/>
      <c r="P1076" s="211"/>
      <c r="Q1076" s="211"/>
      <c r="R1076" s="211"/>
      <c r="S1076" s="133"/>
      <c r="AR1076" s="212"/>
      <c r="AS1076" s="56"/>
      <c r="AT1076" s="213"/>
      <c r="AU1076" s="212"/>
      <c r="AV1076" s="212"/>
      <c r="AW1076" s="212"/>
    </row>
    <row r="1077">
      <c r="H1077" s="211"/>
      <c r="I1077" s="211"/>
      <c r="J1077" s="211"/>
      <c r="K1077" s="211"/>
      <c r="L1077" s="211"/>
      <c r="M1077" s="211"/>
      <c r="N1077" s="211"/>
      <c r="O1077" s="211"/>
      <c r="P1077" s="211"/>
      <c r="Q1077" s="211"/>
      <c r="R1077" s="211"/>
      <c r="S1077" s="133"/>
      <c r="AR1077" s="212"/>
      <c r="AS1077" s="56"/>
      <c r="AT1077" s="213"/>
      <c r="AU1077" s="212"/>
      <c r="AV1077" s="212"/>
      <c r="AW1077" s="212"/>
    </row>
    <row r="1078">
      <c r="H1078" s="211"/>
      <c r="I1078" s="211"/>
      <c r="J1078" s="211"/>
      <c r="K1078" s="211"/>
      <c r="L1078" s="211"/>
      <c r="M1078" s="211"/>
      <c r="N1078" s="211"/>
      <c r="O1078" s="211"/>
      <c r="P1078" s="211"/>
      <c r="Q1078" s="211"/>
      <c r="R1078" s="211"/>
      <c r="S1078" s="133"/>
      <c r="AR1078" s="212"/>
      <c r="AS1078" s="56"/>
      <c r="AT1078" s="213"/>
      <c r="AU1078" s="212"/>
      <c r="AV1078" s="212"/>
      <c r="AW1078" s="212"/>
    </row>
    <row r="1079">
      <c r="H1079" s="211"/>
      <c r="I1079" s="211"/>
      <c r="J1079" s="211"/>
      <c r="K1079" s="211"/>
      <c r="L1079" s="211"/>
      <c r="M1079" s="211"/>
      <c r="N1079" s="211"/>
      <c r="O1079" s="211"/>
      <c r="P1079" s="211"/>
      <c r="Q1079" s="211"/>
      <c r="R1079" s="211"/>
      <c r="S1079" s="133"/>
      <c r="AR1079" s="212"/>
      <c r="AS1079" s="56"/>
      <c r="AT1079" s="213"/>
      <c r="AU1079" s="212"/>
      <c r="AV1079" s="212"/>
      <c r="AW1079" s="212"/>
    </row>
    <row r="1080">
      <c r="H1080" s="211"/>
      <c r="I1080" s="211"/>
      <c r="J1080" s="211"/>
      <c r="K1080" s="211"/>
      <c r="L1080" s="211"/>
      <c r="M1080" s="211"/>
      <c r="N1080" s="211"/>
      <c r="O1080" s="211"/>
      <c r="P1080" s="211"/>
      <c r="Q1080" s="211"/>
      <c r="R1080" s="211"/>
      <c r="S1080" s="133"/>
      <c r="AR1080" s="212"/>
      <c r="AS1080" s="56"/>
      <c r="AT1080" s="213"/>
      <c r="AU1080" s="212"/>
      <c r="AV1080" s="212"/>
      <c r="AW1080" s="212"/>
    </row>
    <row r="1081">
      <c r="H1081" s="211"/>
      <c r="I1081" s="211"/>
      <c r="J1081" s="211"/>
      <c r="K1081" s="211"/>
      <c r="L1081" s="211"/>
      <c r="M1081" s="211"/>
      <c r="N1081" s="211"/>
      <c r="O1081" s="211"/>
      <c r="P1081" s="211"/>
      <c r="Q1081" s="211"/>
      <c r="R1081" s="211"/>
      <c r="S1081" s="133"/>
      <c r="AR1081" s="212"/>
      <c r="AS1081" s="56"/>
      <c r="AT1081" s="213"/>
      <c r="AU1081" s="212"/>
      <c r="AV1081" s="212"/>
      <c r="AW1081" s="212"/>
    </row>
    <row r="1082">
      <c r="H1082" s="211"/>
      <c r="I1082" s="211"/>
      <c r="J1082" s="211"/>
      <c r="K1082" s="211"/>
      <c r="L1082" s="211"/>
      <c r="M1082" s="211"/>
      <c r="N1082" s="211"/>
      <c r="O1082" s="211"/>
      <c r="P1082" s="211"/>
      <c r="Q1082" s="211"/>
      <c r="R1082" s="211"/>
      <c r="S1082" s="133"/>
      <c r="AR1082" s="212"/>
      <c r="AS1082" s="56"/>
      <c r="AT1082" s="213"/>
      <c r="AU1082" s="212"/>
      <c r="AV1082" s="212"/>
      <c r="AW1082" s="212"/>
    </row>
    <row r="1083">
      <c r="H1083" s="211"/>
      <c r="I1083" s="211"/>
      <c r="J1083" s="211"/>
      <c r="K1083" s="211"/>
      <c r="L1083" s="211"/>
      <c r="M1083" s="211"/>
      <c r="N1083" s="211"/>
      <c r="O1083" s="211"/>
      <c r="P1083" s="211"/>
      <c r="Q1083" s="211"/>
      <c r="R1083" s="211"/>
      <c r="S1083" s="133"/>
      <c r="AR1083" s="212"/>
      <c r="AS1083" s="56"/>
      <c r="AT1083" s="213"/>
      <c r="AU1083" s="212"/>
      <c r="AV1083" s="212"/>
      <c r="AW1083" s="212"/>
    </row>
    <row r="1084">
      <c r="H1084" s="211"/>
      <c r="I1084" s="211"/>
      <c r="J1084" s="211"/>
      <c r="K1084" s="211"/>
      <c r="L1084" s="211"/>
      <c r="M1084" s="211"/>
      <c r="N1084" s="211"/>
      <c r="O1084" s="211"/>
      <c r="P1084" s="211"/>
      <c r="Q1084" s="211"/>
      <c r="R1084" s="211"/>
      <c r="S1084" s="133"/>
      <c r="AR1084" s="212"/>
      <c r="AS1084" s="56"/>
      <c r="AT1084" s="213"/>
      <c r="AU1084" s="212"/>
      <c r="AV1084" s="212"/>
      <c r="AW1084" s="212"/>
    </row>
    <row r="1085">
      <c r="H1085" s="211"/>
      <c r="I1085" s="211"/>
      <c r="J1085" s="211"/>
      <c r="K1085" s="211"/>
      <c r="L1085" s="211"/>
      <c r="M1085" s="211"/>
      <c r="N1085" s="211"/>
      <c r="O1085" s="211"/>
      <c r="P1085" s="211"/>
      <c r="Q1085" s="211"/>
      <c r="R1085" s="211"/>
      <c r="S1085" s="133"/>
      <c r="AR1085" s="212"/>
      <c r="AS1085" s="56"/>
      <c r="AT1085" s="213"/>
      <c r="AU1085" s="212"/>
      <c r="AV1085" s="212"/>
      <c r="AW1085" s="212"/>
    </row>
    <row r="1086">
      <c r="H1086" s="211"/>
      <c r="I1086" s="211"/>
      <c r="J1086" s="211"/>
      <c r="K1086" s="211"/>
      <c r="L1086" s="211"/>
      <c r="M1086" s="211"/>
      <c r="N1086" s="211"/>
      <c r="O1086" s="211"/>
      <c r="P1086" s="211"/>
      <c r="Q1086" s="211"/>
      <c r="R1086" s="211"/>
      <c r="S1086" s="133"/>
      <c r="AR1086" s="212"/>
      <c r="AS1086" s="56"/>
      <c r="AT1086" s="213"/>
      <c r="AU1086" s="212"/>
      <c r="AV1086" s="212"/>
      <c r="AW1086" s="212"/>
    </row>
    <row r="1087">
      <c r="H1087" s="211"/>
      <c r="I1087" s="211"/>
      <c r="J1087" s="211"/>
      <c r="K1087" s="211"/>
      <c r="L1087" s="211"/>
      <c r="M1087" s="211"/>
      <c r="N1087" s="211"/>
      <c r="O1087" s="211"/>
      <c r="P1087" s="211"/>
      <c r="Q1087" s="211"/>
      <c r="R1087" s="211"/>
      <c r="S1087" s="133"/>
      <c r="AR1087" s="212"/>
      <c r="AS1087" s="56"/>
      <c r="AT1087" s="213"/>
      <c r="AU1087" s="212"/>
      <c r="AV1087" s="212"/>
      <c r="AW1087" s="212"/>
    </row>
    <row r="1088">
      <c r="H1088" s="211"/>
      <c r="I1088" s="211"/>
      <c r="J1088" s="211"/>
      <c r="K1088" s="211"/>
      <c r="L1088" s="211"/>
      <c r="M1088" s="211"/>
      <c r="N1088" s="211"/>
      <c r="O1088" s="211"/>
      <c r="P1088" s="211"/>
      <c r="Q1088" s="211"/>
      <c r="R1088" s="211"/>
      <c r="S1088" s="133"/>
      <c r="AR1088" s="212"/>
      <c r="AS1088" s="56"/>
      <c r="AT1088" s="213"/>
      <c r="AU1088" s="212"/>
      <c r="AV1088" s="212"/>
      <c r="AW1088" s="212"/>
    </row>
    <row r="1089">
      <c r="H1089" s="211"/>
      <c r="I1089" s="211"/>
      <c r="J1089" s="211"/>
      <c r="K1089" s="211"/>
      <c r="L1089" s="211"/>
      <c r="M1089" s="211"/>
      <c r="N1089" s="211"/>
      <c r="O1089" s="211"/>
      <c r="P1089" s="211"/>
      <c r="Q1089" s="211"/>
      <c r="R1089" s="211"/>
      <c r="S1089" s="133"/>
      <c r="AR1089" s="212"/>
      <c r="AS1089" s="56"/>
      <c r="AT1089" s="213"/>
      <c r="AU1089" s="212"/>
      <c r="AV1089" s="212"/>
      <c r="AW1089" s="212"/>
    </row>
    <row r="1090">
      <c r="H1090" s="211"/>
      <c r="I1090" s="211"/>
      <c r="J1090" s="211"/>
      <c r="K1090" s="211"/>
      <c r="L1090" s="211"/>
      <c r="M1090" s="211"/>
      <c r="N1090" s="211"/>
      <c r="O1090" s="211"/>
      <c r="P1090" s="211"/>
      <c r="Q1090" s="211"/>
      <c r="R1090" s="211"/>
      <c r="S1090" s="133"/>
      <c r="AR1090" s="212"/>
      <c r="AS1090" s="56"/>
      <c r="AT1090" s="213"/>
      <c r="AU1090" s="212"/>
      <c r="AV1090" s="212"/>
      <c r="AW1090" s="212"/>
    </row>
    <row r="1091">
      <c r="H1091" s="211"/>
      <c r="I1091" s="211"/>
      <c r="J1091" s="211"/>
      <c r="K1091" s="211"/>
      <c r="L1091" s="211"/>
      <c r="M1091" s="211"/>
      <c r="N1091" s="211"/>
      <c r="O1091" s="211"/>
      <c r="P1091" s="211"/>
      <c r="Q1091" s="211"/>
      <c r="R1091" s="211"/>
      <c r="S1091" s="133"/>
      <c r="AR1091" s="212"/>
      <c r="AS1091" s="56"/>
      <c r="AT1091" s="213"/>
      <c r="AU1091" s="212"/>
      <c r="AV1091" s="212"/>
      <c r="AW1091" s="212"/>
    </row>
    <row r="1092">
      <c r="H1092" s="211"/>
      <c r="I1092" s="211"/>
      <c r="J1092" s="211"/>
      <c r="K1092" s="211"/>
      <c r="L1092" s="211"/>
      <c r="M1092" s="211"/>
      <c r="N1092" s="211"/>
      <c r="O1092" s="211"/>
      <c r="P1092" s="211"/>
      <c r="Q1092" s="211"/>
      <c r="R1092" s="211"/>
      <c r="S1092" s="133"/>
      <c r="AR1092" s="212"/>
      <c r="AS1092" s="56"/>
      <c r="AT1092" s="213"/>
      <c r="AU1092" s="212"/>
      <c r="AV1092" s="212"/>
      <c r="AW1092" s="212"/>
    </row>
    <row r="1093">
      <c r="H1093" s="211"/>
      <c r="I1093" s="211"/>
      <c r="J1093" s="211"/>
      <c r="K1093" s="211"/>
      <c r="L1093" s="211"/>
      <c r="M1093" s="211"/>
      <c r="N1093" s="211"/>
      <c r="O1093" s="211"/>
      <c r="P1093" s="211"/>
      <c r="Q1093" s="211"/>
      <c r="R1093" s="211"/>
      <c r="S1093" s="133"/>
      <c r="AR1093" s="212"/>
      <c r="AS1093" s="56"/>
      <c r="AT1093" s="213"/>
      <c r="AU1093" s="212"/>
      <c r="AV1093" s="212"/>
      <c r="AW1093" s="212"/>
    </row>
    <row r="1094">
      <c r="H1094" s="211"/>
      <c r="I1094" s="211"/>
      <c r="J1094" s="211"/>
      <c r="K1094" s="211"/>
      <c r="L1094" s="211"/>
      <c r="M1094" s="211"/>
      <c r="N1094" s="211"/>
      <c r="O1094" s="211"/>
      <c r="P1094" s="211"/>
      <c r="Q1094" s="211"/>
      <c r="R1094" s="211"/>
      <c r="S1094" s="133"/>
      <c r="AR1094" s="212"/>
      <c r="AS1094" s="56"/>
      <c r="AT1094" s="213"/>
      <c r="AU1094" s="212"/>
      <c r="AV1094" s="212"/>
      <c r="AW1094" s="212"/>
    </row>
    <row r="1095">
      <c r="H1095" s="211"/>
      <c r="I1095" s="211"/>
      <c r="J1095" s="211"/>
      <c r="K1095" s="211"/>
      <c r="L1095" s="211"/>
      <c r="M1095" s="211"/>
      <c r="N1095" s="211"/>
      <c r="O1095" s="211"/>
      <c r="P1095" s="211"/>
      <c r="Q1095" s="211"/>
      <c r="R1095" s="211"/>
      <c r="S1095" s="133"/>
      <c r="AR1095" s="212"/>
      <c r="AS1095" s="56"/>
      <c r="AT1095" s="213"/>
      <c r="AU1095" s="212"/>
      <c r="AV1095" s="212"/>
      <c r="AW1095" s="212"/>
    </row>
    <row r="1096">
      <c r="H1096" s="211"/>
      <c r="I1096" s="211"/>
      <c r="J1096" s="211"/>
      <c r="K1096" s="211"/>
      <c r="L1096" s="211"/>
      <c r="M1096" s="211"/>
      <c r="N1096" s="211"/>
      <c r="O1096" s="211"/>
      <c r="P1096" s="211"/>
      <c r="Q1096" s="211"/>
      <c r="R1096" s="211"/>
      <c r="S1096" s="133"/>
      <c r="AR1096" s="212"/>
      <c r="AS1096" s="56"/>
      <c r="AT1096" s="213"/>
      <c r="AU1096" s="212"/>
      <c r="AV1096" s="212"/>
      <c r="AW1096" s="212"/>
    </row>
    <row r="1097">
      <c r="H1097" s="211"/>
      <c r="I1097" s="211"/>
      <c r="J1097" s="211"/>
      <c r="K1097" s="211"/>
      <c r="L1097" s="211"/>
      <c r="M1097" s="211"/>
      <c r="N1097" s="211"/>
      <c r="O1097" s="211"/>
      <c r="P1097" s="211"/>
      <c r="Q1097" s="211"/>
      <c r="R1097" s="211"/>
      <c r="S1097" s="133"/>
      <c r="AR1097" s="212"/>
      <c r="AS1097" s="56"/>
      <c r="AT1097" s="213"/>
      <c r="AU1097" s="212"/>
      <c r="AV1097" s="212"/>
      <c r="AW1097" s="212"/>
    </row>
    <row r="1098">
      <c r="H1098" s="211"/>
      <c r="I1098" s="211"/>
      <c r="J1098" s="211"/>
      <c r="K1098" s="211"/>
      <c r="L1098" s="211"/>
      <c r="M1098" s="211"/>
      <c r="N1098" s="211"/>
      <c r="O1098" s="211"/>
      <c r="P1098" s="211"/>
      <c r="Q1098" s="211"/>
      <c r="R1098" s="211"/>
      <c r="S1098" s="133"/>
      <c r="AR1098" s="212"/>
      <c r="AS1098" s="56"/>
      <c r="AT1098" s="213"/>
      <c r="AU1098" s="212"/>
      <c r="AV1098" s="212"/>
      <c r="AW1098" s="212"/>
    </row>
  </sheetData>
  <conditionalFormatting sqref="N1:N1098">
    <cfRule type="cellIs" dxfId="13" priority="1" operator="greaterThan">
      <formula>4</formula>
    </cfRule>
  </conditionalFormatting>
  <conditionalFormatting sqref="N2:N1075">
    <cfRule type="cellIs" dxfId="9" priority="2" operator="lessThan">
      <formula>4</formula>
    </cfRule>
  </conditionalFormatting>
  <conditionalFormatting sqref="M2:M1098">
    <cfRule type="notContainsText" dxfId="9" priority="3" operator="notContains" text="1">
      <formula>ISERROR(SEARCH(("1"),(M2)))</formula>
    </cfRule>
  </conditionalFormatting>
  <conditionalFormatting sqref="P2:P1098">
    <cfRule type="notContainsText" dxfId="9" priority="4" operator="notContains" text="1">
      <formula>ISERROR(SEARCH(("1"),(P2)))</formula>
    </cfRule>
  </conditionalFormatting>
  <conditionalFormatting sqref="Q2:Q1098">
    <cfRule type="notContainsText" dxfId="9" priority="5" operator="notContains" text="1">
      <formula>ISERROR(SEARCH(("1"),(Q2)))</formula>
    </cfRule>
  </conditionalFormatting>
  <conditionalFormatting sqref="R1:R1098">
    <cfRule type="containsText" dxfId="7" priority="6" operator="containsText" text="4">
      <formula>NOT(ISERROR(SEARCH(("4"),(R1))))</formula>
    </cfRule>
  </conditionalFormatting>
  <conditionalFormatting sqref="R1:R1098">
    <cfRule type="cellIs" dxfId="8" priority="7" operator="equal">
      <formula>3</formula>
    </cfRule>
  </conditionalFormatting>
  <conditionalFormatting sqref="R1:R1098">
    <cfRule type="cellIs" dxfId="9" priority="8" operator="equal">
      <formula>5</formula>
    </cfRule>
  </conditionalFormatting>
  <conditionalFormatting sqref="R1:R1098">
    <cfRule type="cellIs" dxfId="10" priority="9" operator="equal">
      <formula>3</formula>
    </cfRule>
  </conditionalFormatting>
  <conditionalFormatting sqref="R1:R1098">
    <cfRule type="cellIs" dxfId="11" priority="10" operator="equal">
      <formula>2</formula>
    </cfRule>
  </conditionalFormatting>
  <conditionalFormatting sqref="R1:R1098">
    <cfRule type="cellIs" dxfId="12" priority="11" operator="equal">
      <formula>6</formula>
    </cfRule>
  </conditionalFormatting>
  <conditionalFormatting sqref="AR1:AR1098">
    <cfRule type="colorScale" priority="12">
      <colorScale>
        <cfvo type="formula" val="4"/>
        <cfvo type="formula" val="7"/>
        <cfvo type="formula" val="12"/>
        <color rgb="FFE67C73"/>
        <color rgb="FFFBBC04"/>
        <color rgb="FF57BB8A"/>
      </colorScale>
    </cfRule>
  </conditionalFormatting>
  <conditionalFormatting sqref="AW2:AW175">
    <cfRule type="colorScale" priority="13">
      <colorScale>
        <cfvo type="formula" val="1"/>
        <cfvo type="formula" val="3"/>
        <cfvo type="formula" val="5"/>
        <color rgb="FFE67C73"/>
        <color rgb="FFFFD666"/>
        <color rgb="FF57BB8A"/>
      </colorScale>
    </cfRule>
  </conditionalFormatting>
  <dataValidations>
    <dataValidation type="list" allowBlank="1" sqref="E2:E175">
      <formula1>#REF!</formula1>
    </dataValidation>
    <dataValidation type="custom" allowBlank="1" showDropDown="1" sqref="I2:J175 L2:N175 Q2:Q175 AR2:AR175 AT2:AT175 AW2:AX175">
      <formula1>AND(ISNUMBER(I2),(NOT(OR(NOT(ISERROR(DATEVALUE(I2))), AND(ISNUMBER(I2), LEFT(CELL("format", I2))="D")))))</formula1>
    </dataValidation>
    <dataValidation allowBlank="1" showDropDown="1" sqref="F2:F175 P2:P175 R2:R175"/>
    <dataValidation type="list" allowBlank="1" sqref="G2:G175">
      <formula1>#REF!</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5"/>
    <col customWidth="1" min="2" max="2" width="19.75"/>
    <col customWidth="1" min="3" max="3" width="12.63"/>
    <col customWidth="1" min="4" max="4" width="10.5"/>
    <col customWidth="1" min="5" max="5" width="16.88"/>
    <col customWidth="1" min="6" max="6" width="7.63"/>
    <col customWidth="1" min="7" max="8" width="16.88"/>
    <col customWidth="1" min="9" max="9" width="15.0"/>
    <col customWidth="1" min="10" max="10" width="12.25"/>
    <col customWidth="1" min="11" max="11" width="15.25"/>
  </cols>
  <sheetData>
    <row r="1" ht="22.5" customHeight="1">
      <c r="A1" s="3" t="s">
        <v>68</v>
      </c>
      <c r="B1" s="3" t="s">
        <v>1</v>
      </c>
      <c r="C1" s="3" t="s">
        <v>69</v>
      </c>
      <c r="D1" s="3" t="s">
        <v>70</v>
      </c>
      <c r="E1" s="4" t="s">
        <v>71</v>
      </c>
      <c r="F1" s="4" t="s">
        <v>72</v>
      </c>
      <c r="G1" s="4" t="s">
        <v>73</v>
      </c>
      <c r="H1" s="3" t="s">
        <v>74</v>
      </c>
      <c r="I1" s="3" t="s">
        <v>2</v>
      </c>
      <c r="J1" s="4" t="s">
        <v>75</v>
      </c>
      <c r="K1" s="3" t="s">
        <v>76</v>
      </c>
      <c r="L1" s="3" t="s">
        <v>77</v>
      </c>
      <c r="M1" s="3" t="s">
        <v>78</v>
      </c>
      <c r="N1" s="3" t="s">
        <v>79</v>
      </c>
      <c r="O1" s="3" t="s">
        <v>80</v>
      </c>
    </row>
    <row r="2" ht="22.5" customHeight="1">
      <c r="A2" s="5" t="s">
        <v>7</v>
      </c>
      <c r="B2" s="6"/>
      <c r="C2" s="6" t="s">
        <v>81</v>
      </c>
      <c r="D2" s="7">
        <v>1.0</v>
      </c>
      <c r="E2" s="6"/>
      <c r="F2" s="6"/>
      <c r="G2" s="6" t="s">
        <v>82</v>
      </c>
      <c r="H2" s="8"/>
      <c r="I2" s="5"/>
      <c r="J2" s="9"/>
      <c r="K2" s="5" t="s">
        <v>15</v>
      </c>
      <c r="L2" s="5" t="s">
        <v>2</v>
      </c>
      <c r="M2" s="8"/>
      <c r="N2" s="8"/>
      <c r="O2" s="9"/>
    </row>
    <row r="3" ht="22.5" customHeight="1">
      <c r="A3" s="5" t="s">
        <v>7</v>
      </c>
      <c r="B3" s="6"/>
      <c r="C3" s="6" t="s">
        <v>81</v>
      </c>
      <c r="D3" s="7">
        <v>1.0</v>
      </c>
      <c r="E3" s="6"/>
      <c r="F3" s="6"/>
      <c r="G3" s="6" t="s">
        <v>123</v>
      </c>
      <c r="H3" s="8"/>
      <c r="I3" s="5"/>
      <c r="J3" s="9"/>
      <c r="K3" s="5" t="s">
        <v>15</v>
      </c>
      <c r="L3" s="5" t="s">
        <v>52</v>
      </c>
      <c r="M3" s="8"/>
      <c r="N3" s="8"/>
      <c r="O3" s="9"/>
    </row>
    <row r="4" ht="22.5" customHeight="1">
      <c r="A4" s="5" t="s">
        <v>7</v>
      </c>
      <c r="B4" s="6"/>
      <c r="C4" s="6" t="s">
        <v>81</v>
      </c>
      <c r="D4" s="7">
        <v>1.0</v>
      </c>
      <c r="E4" s="6"/>
      <c r="F4" s="6"/>
      <c r="G4" s="6" t="s">
        <v>42</v>
      </c>
      <c r="H4" s="8"/>
      <c r="I4" s="5"/>
      <c r="J4" s="9"/>
      <c r="K4" s="5" t="s">
        <v>15</v>
      </c>
      <c r="L4" s="5" t="s">
        <v>43</v>
      </c>
      <c r="M4" s="5" t="s">
        <v>43</v>
      </c>
      <c r="N4" s="8"/>
      <c r="O4" s="9"/>
    </row>
    <row r="5" ht="22.5" customHeight="1">
      <c r="A5" s="5" t="s">
        <v>7</v>
      </c>
      <c r="B5" s="6"/>
      <c r="C5" s="6" t="s">
        <v>142</v>
      </c>
      <c r="D5" s="7">
        <v>1.0</v>
      </c>
      <c r="E5" s="6"/>
      <c r="F5" s="6"/>
      <c r="G5" s="6" t="s">
        <v>42</v>
      </c>
      <c r="H5" s="8"/>
      <c r="I5" s="5"/>
      <c r="J5" s="9"/>
      <c r="K5" s="5" t="s">
        <v>43</v>
      </c>
      <c r="L5" s="5" t="s">
        <v>47</v>
      </c>
      <c r="M5" s="5" t="s">
        <v>45</v>
      </c>
      <c r="N5" s="8"/>
      <c r="O5" s="9"/>
    </row>
    <row r="6" ht="22.5" customHeight="1">
      <c r="A6" s="5" t="s">
        <v>7</v>
      </c>
      <c r="B6" s="6"/>
      <c r="C6" s="6" t="s">
        <v>142</v>
      </c>
      <c r="D6" s="7">
        <v>1.0</v>
      </c>
      <c r="E6" s="6"/>
      <c r="F6" s="6"/>
      <c r="G6" s="6" t="s">
        <v>191</v>
      </c>
      <c r="H6" s="8"/>
      <c r="I6" s="5"/>
      <c r="J6" s="9"/>
      <c r="K6" s="5" t="s">
        <v>43</v>
      </c>
      <c r="L6" s="5" t="s">
        <v>47</v>
      </c>
      <c r="M6" s="5" t="s">
        <v>43</v>
      </c>
      <c r="N6" s="8"/>
      <c r="O6" s="9"/>
    </row>
    <row r="7" ht="22.5" customHeight="1">
      <c r="A7" s="5" t="s">
        <v>7</v>
      </c>
      <c r="B7" s="6"/>
      <c r="C7" s="6" t="s">
        <v>142</v>
      </c>
      <c r="D7" s="7">
        <v>1.0</v>
      </c>
      <c r="E7" s="6"/>
      <c r="F7" s="6"/>
      <c r="G7" s="6" t="s">
        <v>42</v>
      </c>
      <c r="H7" s="8"/>
      <c r="I7" s="5"/>
      <c r="J7" s="9"/>
      <c r="K7" s="5" t="s">
        <v>43</v>
      </c>
      <c r="L7" s="5" t="s">
        <v>47</v>
      </c>
      <c r="M7" s="5" t="s">
        <v>30</v>
      </c>
      <c r="N7" s="8"/>
      <c r="O7" s="9"/>
    </row>
    <row r="8" ht="22.5" customHeight="1">
      <c r="A8" s="5" t="s">
        <v>7</v>
      </c>
      <c r="B8" s="6"/>
      <c r="C8" s="6" t="s">
        <v>48</v>
      </c>
      <c r="D8" s="7">
        <v>1.0</v>
      </c>
      <c r="E8" s="6"/>
      <c r="F8" s="6"/>
      <c r="G8" s="6" t="s">
        <v>196</v>
      </c>
      <c r="H8" s="8"/>
      <c r="I8" s="5"/>
      <c r="J8" s="9"/>
      <c r="K8" s="5" t="s">
        <v>60</v>
      </c>
      <c r="L8" s="5" t="s">
        <v>52</v>
      </c>
      <c r="M8" s="8"/>
      <c r="N8" s="8"/>
      <c r="O8" s="9"/>
    </row>
    <row r="9" ht="22.5" customHeight="1">
      <c r="A9" s="5" t="s">
        <v>7</v>
      </c>
      <c r="B9" s="6"/>
      <c r="C9" s="6" t="s">
        <v>48</v>
      </c>
      <c r="D9" s="7">
        <v>1.0</v>
      </c>
      <c r="E9" s="6"/>
      <c r="F9" s="6"/>
      <c r="G9" s="6" t="s">
        <v>196</v>
      </c>
      <c r="H9" s="8"/>
      <c r="I9" s="5"/>
      <c r="J9" s="9"/>
      <c r="K9" s="5" t="s">
        <v>60</v>
      </c>
      <c r="L9" s="5" t="s">
        <v>15</v>
      </c>
      <c r="M9" s="8"/>
      <c r="N9" s="8"/>
      <c r="O9" s="9"/>
    </row>
    <row r="10" ht="22.5" customHeight="1">
      <c r="A10" s="5" t="s">
        <v>7</v>
      </c>
      <c r="B10" s="6"/>
      <c r="C10" s="6" t="s">
        <v>48</v>
      </c>
      <c r="D10" s="7">
        <v>1.0</v>
      </c>
      <c r="E10" s="6"/>
      <c r="F10" s="6"/>
      <c r="G10" s="6" t="s">
        <v>123</v>
      </c>
      <c r="H10" s="8"/>
      <c r="I10" s="5"/>
      <c r="J10" s="9"/>
      <c r="K10" s="5" t="s">
        <v>60</v>
      </c>
      <c r="L10" s="5" t="s">
        <v>60</v>
      </c>
      <c r="M10" s="8"/>
      <c r="N10" s="8"/>
      <c r="O10" s="9"/>
    </row>
    <row r="11" ht="22.5" customHeight="1">
      <c r="A11" s="5" t="s">
        <v>7</v>
      </c>
      <c r="B11" s="6" t="s">
        <v>207</v>
      </c>
      <c r="C11" s="6" t="s">
        <v>209</v>
      </c>
      <c r="D11" s="7">
        <v>2.0</v>
      </c>
      <c r="E11" s="6"/>
      <c r="F11" s="6"/>
      <c r="G11" s="6" t="s">
        <v>196</v>
      </c>
      <c r="H11" s="5" t="s">
        <v>35</v>
      </c>
      <c r="I11" s="5" t="s">
        <v>21</v>
      </c>
      <c r="J11" s="9"/>
      <c r="K11" s="5" t="s">
        <v>60</v>
      </c>
      <c r="L11" s="5" t="s">
        <v>38</v>
      </c>
      <c r="M11" s="8"/>
      <c r="N11" s="8"/>
      <c r="O11" s="9"/>
    </row>
    <row r="12" ht="22.5" customHeight="1">
      <c r="A12" s="5" t="s">
        <v>7</v>
      </c>
      <c r="B12" s="6" t="s">
        <v>216</v>
      </c>
      <c r="C12" s="6" t="s">
        <v>209</v>
      </c>
      <c r="D12" s="7">
        <v>2.0</v>
      </c>
      <c r="E12" s="6"/>
      <c r="F12" s="6"/>
      <c r="G12" s="6" t="s">
        <v>196</v>
      </c>
      <c r="H12" s="5" t="s">
        <v>35</v>
      </c>
      <c r="I12" s="5" t="s">
        <v>21</v>
      </c>
      <c r="J12" s="9"/>
      <c r="K12" s="5" t="s">
        <v>60</v>
      </c>
      <c r="L12" s="5" t="s">
        <v>52</v>
      </c>
      <c r="M12" s="8"/>
      <c r="N12" s="8"/>
      <c r="O12" s="9"/>
    </row>
    <row r="13" ht="22.5" customHeight="1">
      <c r="A13" s="5" t="s">
        <v>7</v>
      </c>
      <c r="B13" s="44" t="s">
        <v>218</v>
      </c>
      <c r="C13" s="44" t="s">
        <v>44</v>
      </c>
      <c r="D13" s="7">
        <v>2.0</v>
      </c>
      <c r="E13" s="6"/>
      <c r="F13" s="6"/>
      <c r="G13" s="6" t="s">
        <v>196</v>
      </c>
      <c r="H13" s="57" t="s">
        <v>16</v>
      </c>
      <c r="I13" s="57" t="s">
        <v>17</v>
      </c>
      <c r="J13" s="97"/>
      <c r="K13" s="57" t="s">
        <v>61</v>
      </c>
      <c r="L13" s="57" t="s">
        <v>18</v>
      </c>
      <c r="M13" s="57" t="s">
        <v>15</v>
      </c>
      <c r="N13" s="8"/>
      <c r="O13" s="9"/>
    </row>
    <row r="14" ht="22.5" customHeight="1">
      <c r="A14" s="5" t="s">
        <v>7</v>
      </c>
      <c r="B14" s="44" t="s">
        <v>221</v>
      </c>
      <c r="C14" s="44" t="s">
        <v>44</v>
      </c>
      <c r="D14" s="7">
        <v>2.0</v>
      </c>
      <c r="E14" s="6"/>
      <c r="F14" s="6"/>
      <c r="G14" s="6" t="s">
        <v>123</v>
      </c>
      <c r="H14" s="57" t="s">
        <v>4</v>
      </c>
      <c r="I14" s="57" t="s">
        <v>17</v>
      </c>
      <c r="J14" s="97"/>
      <c r="K14" s="57" t="s">
        <v>61</v>
      </c>
      <c r="L14" s="57" t="s">
        <v>51</v>
      </c>
      <c r="M14" s="57" t="s">
        <v>15</v>
      </c>
      <c r="N14" s="8"/>
      <c r="O14" s="9"/>
    </row>
    <row r="15" ht="22.5" customHeight="1">
      <c r="A15" s="5" t="s">
        <v>7</v>
      </c>
      <c r="B15" s="44" t="s">
        <v>226</v>
      </c>
      <c r="C15" s="44" t="s">
        <v>227</v>
      </c>
      <c r="D15" s="7">
        <v>2.0</v>
      </c>
      <c r="E15" s="44"/>
      <c r="F15" s="44"/>
      <c r="G15" s="44" t="s">
        <v>82</v>
      </c>
      <c r="H15" s="5" t="s">
        <v>11</v>
      </c>
      <c r="I15" s="5" t="s">
        <v>6</v>
      </c>
      <c r="J15" s="9"/>
      <c r="K15" s="5" t="s">
        <v>53</v>
      </c>
      <c r="L15" s="5" t="s">
        <v>30</v>
      </c>
      <c r="M15" s="5" t="s">
        <v>15</v>
      </c>
      <c r="N15" s="8"/>
      <c r="O15" s="9"/>
    </row>
    <row r="16" ht="22.5" customHeight="1">
      <c r="A16" s="5" t="s">
        <v>7</v>
      </c>
      <c r="B16" s="44" t="s">
        <v>228</v>
      </c>
      <c r="C16" s="44" t="s">
        <v>227</v>
      </c>
      <c r="D16" s="7">
        <v>2.0</v>
      </c>
      <c r="E16" s="44"/>
      <c r="F16" s="44"/>
      <c r="G16" s="6" t="s">
        <v>123</v>
      </c>
      <c r="H16" s="5" t="s">
        <v>4</v>
      </c>
      <c r="I16" s="5" t="s">
        <v>6</v>
      </c>
      <c r="J16" s="9"/>
      <c r="K16" s="5" t="s">
        <v>53</v>
      </c>
      <c r="L16" s="5" t="s">
        <v>15</v>
      </c>
      <c r="M16" s="5" t="s">
        <v>15</v>
      </c>
      <c r="N16" s="8"/>
      <c r="O16" s="9"/>
    </row>
    <row r="17" ht="22.5" customHeight="1">
      <c r="A17" s="5" t="s">
        <v>7</v>
      </c>
      <c r="B17" s="44" t="s">
        <v>231</v>
      </c>
      <c r="C17" s="44" t="s">
        <v>231</v>
      </c>
      <c r="D17" s="7">
        <v>2.0</v>
      </c>
      <c r="E17" s="44"/>
      <c r="F17" s="44"/>
      <c r="G17" s="44" t="s">
        <v>232</v>
      </c>
      <c r="H17" s="57" t="s">
        <v>4</v>
      </c>
      <c r="I17" s="57" t="s">
        <v>6</v>
      </c>
      <c r="J17" s="97"/>
      <c r="K17" s="57" t="s">
        <v>62</v>
      </c>
      <c r="L17" s="102"/>
      <c r="M17" s="102"/>
      <c r="N17" s="8"/>
      <c r="O17" s="9"/>
    </row>
    <row r="18" ht="22.5" customHeight="1">
      <c r="A18" s="5" t="s">
        <v>7</v>
      </c>
      <c r="B18" s="44" t="s">
        <v>233</v>
      </c>
      <c r="C18" s="44" t="s">
        <v>231</v>
      </c>
      <c r="D18" s="7">
        <v>2.0</v>
      </c>
      <c r="E18" s="44"/>
      <c r="F18" s="44"/>
      <c r="G18" s="44" t="s">
        <v>232</v>
      </c>
      <c r="H18" s="57" t="s">
        <v>11</v>
      </c>
      <c r="I18" s="57" t="s">
        <v>13</v>
      </c>
      <c r="J18" s="97"/>
      <c r="K18" s="57" t="s">
        <v>62</v>
      </c>
      <c r="L18" s="57" t="s">
        <v>15</v>
      </c>
      <c r="M18" s="102"/>
      <c r="N18" s="8"/>
      <c r="O18" s="9"/>
    </row>
    <row r="19" ht="22.5" customHeight="1">
      <c r="A19" s="5" t="s">
        <v>7</v>
      </c>
      <c r="B19" s="44" t="s">
        <v>249</v>
      </c>
      <c r="C19" s="44" t="s">
        <v>249</v>
      </c>
      <c r="D19" s="7">
        <v>2.0</v>
      </c>
      <c r="E19" s="44"/>
      <c r="F19" s="44"/>
      <c r="G19" s="44" t="s">
        <v>196</v>
      </c>
      <c r="H19" s="57" t="s">
        <v>11</v>
      </c>
      <c r="I19" s="57" t="s">
        <v>21</v>
      </c>
      <c r="J19" s="97"/>
      <c r="K19" s="57" t="s">
        <v>63</v>
      </c>
      <c r="L19" s="57" t="s">
        <v>18</v>
      </c>
      <c r="M19" s="57" t="s">
        <v>18</v>
      </c>
      <c r="N19" s="5" t="s">
        <v>15</v>
      </c>
      <c r="O19" s="6"/>
    </row>
    <row r="20" ht="22.5" customHeight="1">
      <c r="A20" s="5" t="s">
        <v>7</v>
      </c>
      <c r="B20" s="44" t="s">
        <v>285</v>
      </c>
      <c r="C20" s="44" t="s">
        <v>249</v>
      </c>
      <c r="D20" s="7">
        <v>2.0</v>
      </c>
      <c r="E20" s="44"/>
      <c r="F20" s="44"/>
      <c r="G20" s="44" t="s">
        <v>196</v>
      </c>
      <c r="H20" s="57" t="s">
        <v>19</v>
      </c>
      <c r="I20" s="57" t="s">
        <v>21</v>
      </c>
      <c r="J20" s="97"/>
      <c r="K20" s="57" t="s">
        <v>63</v>
      </c>
      <c r="L20" s="57" t="s">
        <v>18</v>
      </c>
      <c r="M20" s="57" t="s">
        <v>52</v>
      </c>
      <c r="N20" s="5" t="s">
        <v>15</v>
      </c>
      <c r="O20" s="6"/>
    </row>
    <row r="21" ht="22.5" hidden="1" customHeight="1">
      <c r="A21" s="5" t="s">
        <v>7</v>
      </c>
      <c r="B21" s="44" t="s">
        <v>321</v>
      </c>
      <c r="C21" s="6" t="s">
        <v>151</v>
      </c>
      <c r="D21" s="7">
        <v>3.0</v>
      </c>
      <c r="E21" s="6">
        <v>3.0</v>
      </c>
      <c r="F21" s="6">
        <v>2.0</v>
      </c>
      <c r="G21" s="6" t="s">
        <v>123</v>
      </c>
      <c r="H21" s="5" t="s">
        <v>35</v>
      </c>
      <c r="I21" s="5" t="s">
        <v>21</v>
      </c>
      <c r="J21" s="44" t="s">
        <v>328</v>
      </c>
      <c r="K21" s="8"/>
      <c r="L21" s="5" t="s">
        <v>49</v>
      </c>
      <c r="M21" s="5" t="s">
        <v>52</v>
      </c>
      <c r="N21" s="8"/>
      <c r="O21" s="9"/>
    </row>
    <row r="22" ht="22.5" hidden="1" customHeight="1">
      <c r="A22" s="5" t="s">
        <v>7</v>
      </c>
      <c r="B22" s="6" t="s">
        <v>351</v>
      </c>
      <c r="C22" s="6" t="s">
        <v>151</v>
      </c>
      <c r="D22" s="7">
        <v>3.0</v>
      </c>
      <c r="E22" s="6">
        <v>3.0</v>
      </c>
      <c r="F22" s="6">
        <v>4.0</v>
      </c>
      <c r="G22" s="6"/>
      <c r="H22" s="5" t="s">
        <v>20</v>
      </c>
      <c r="I22" s="5" t="s">
        <v>13</v>
      </c>
      <c r="J22" s="9"/>
      <c r="K22" s="5" t="s">
        <v>43</v>
      </c>
      <c r="L22" s="57">
        <v>3.0</v>
      </c>
      <c r="M22" s="5" t="s">
        <v>49</v>
      </c>
      <c r="N22" s="5" t="s">
        <v>51</v>
      </c>
      <c r="O22" s="6"/>
    </row>
    <row r="23" ht="22.5" hidden="1" customHeight="1">
      <c r="A23" s="5" t="s">
        <v>7</v>
      </c>
      <c r="B23" s="6" t="s">
        <v>364</v>
      </c>
      <c r="C23" s="6" t="s">
        <v>151</v>
      </c>
      <c r="D23" s="7">
        <v>3.0</v>
      </c>
      <c r="E23" s="6">
        <v>3.0</v>
      </c>
      <c r="F23" s="6">
        <v>4.0</v>
      </c>
      <c r="G23" s="6"/>
      <c r="H23" s="5" t="s">
        <v>16</v>
      </c>
      <c r="I23" s="5" t="s">
        <v>13</v>
      </c>
      <c r="J23" s="6" t="s">
        <v>366</v>
      </c>
      <c r="K23" s="8"/>
      <c r="L23" s="5">
        <v>4.0</v>
      </c>
      <c r="M23" s="5" t="s">
        <v>49</v>
      </c>
      <c r="N23" s="5" t="s">
        <v>52</v>
      </c>
      <c r="O23" s="6"/>
    </row>
    <row r="24" ht="22.5" hidden="1" customHeight="1">
      <c r="A24" s="5" t="s">
        <v>7</v>
      </c>
      <c r="B24" s="6" t="s">
        <v>370</v>
      </c>
      <c r="C24" s="6" t="s">
        <v>371</v>
      </c>
      <c r="D24" s="7">
        <v>3.0</v>
      </c>
      <c r="E24" s="6">
        <v>3.0</v>
      </c>
      <c r="F24" s="6">
        <v>2.0</v>
      </c>
      <c r="G24" s="6"/>
      <c r="H24" s="5" t="s">
        <v>8</v>
      </c>
      <c r="I24" s="5" t="s">
        <v>21</v>
      </c>
      <c r="J24" s="44" t="s">
        <v>374</v>
      </c>
      <c r="K24" s="8"/>
      <c r="L24" s="8"/>
      <c r="M24" s="8"/>
      <c r="N24" s="8"/>
      <c r="O24" s="9"/>
    </row>
    <row r="25" ht="22.5" hidden="1" customHeight="1">
      <c r="A25" s="5" t="s">
        <v>7</v>
      </c>
      <c r="B25" s="6" t="s">
        <v>375</v>
      </c>
      <c r="C25" s="6" t="s">
        <v>371</v>
      </c>
      <c r="D25" s="7">
        <v>3.0</v>
      </c>
      <c r="E25" s="6">
        <v>3.0</v>
      </c>
      <c r="F25" s="6">
        <v>2.0</v>
      </c>
      <c r="G25" s="6"/>
      <c r="H25" s="5" t="s">
        <v>8</v>
      </c>
      <c r="I25" s="5" t="s">
        <v>21</v>
      </c>
      <c r="J25" s="6" t="s">
        <v>376</v>
      </c>
      <c r="K25" s="8"/>
      <c r="L25" s="8"/>
      <c r="M25" s="8"/>
      <c r="N25" s="8"/>
      <c r="O25" s="9"/>
    </row>
    <row r="26" ht="22.5" hidden="1" customHeight="1">
      <c r="A26" s="5" t="s">
        <v>7</v>
      </c>
      <c r="B26" s="6" t="s">
        <v>379</v>
      </c>
      <c r="C26" s="6" t="s">
        <v>371</v>
      </c>
      <c r="D26" s="7">
        <v>3.0</v>
      </c>
      <c r="E26" s="6">
        <v>3.0</v>
      </c>
      <c r="F26" s="6">
        <v>4.0</v>
      </c>
      <c r="G26" s="6"/>
      <c r="H26" s="5" t="s">
        <v>8</v>
      </c>
      <c r="I26" s="5" t="s">
        <v>6</v>
      </c>
      <c r="J26" s="6" t="s">
        <v>374</v>
      </c>
      <c r="K26" s="8"/>
      <c r="L26" s="8"/>
      <c r="M26" s="8"/>
      <c r="N26" s="8"/>
      <c r="O26" s="9"/>
    </row>
    <row r="27" ht="22.5" customHeight="1">
      <c r="A27" s="5" t="s">
        <v>138</v>
      </c>
      <c r="B27" s="6"/>
      <c r="C27" s="6" t="s">
        <v>81</v>
      </c>
      <c r="D27" s="7">
        <v>1.0</v>
      </c>
      <c r="E27" s="6"/>
      <c r="F27" s="6"/>
      <c r="G27" s="6"/>
      <c r="H27" s="8"/>
      <c r="I27" s="5"/>
      <c r="J27" s="9"/>
      <c r="K27" s="5" t="s">
        <v>15</v>
      </c>
      <c r="L27" s="5" t="s">
        <v>2</v>
      </c>
      <c r="M27" s="8"/>
      <c r="N27" s="8"/>
      <c r="O27" s="9"/>
    </row>
    <row r="28" ht="22.5" customHeight="1">
      <c r="A28" s="5" t="s">
        <v>138</v>
      </c>
      <c r="B28" s="6"/>
      <c r="C28" s="6" t="s">
        <v>81</v>
      </c>
      <c r="D28" s="7">
        <v>1.0</v>
      </c>
      <c r="E28" s="6"/>
      <c r="F28" s="6"/>
      <c r="G28" s="6"/>
      <c r="H28" s="8"/>
      <c r="I28" s="5"/>
      <c r="J28" s="9"/>
      <c r="K28" s="5" t="s">
        <v>15</v>
      </c>
      <c r="L28" s="5" t="s">
        <v>52</v>
      </c>
      <c r="M28" s="8"/>
      <c r="N28" s="8"/>
      <c r="O28" s="9"/>
    </row>
    <row r="29" ht="22.5" customHeight="1">
      <c r="A29" s="5" t="s">
        <v>138</v>
      </c>
      <c r="B29" s="6"/>
      <c r="C29" s="6" t="s">
        <v>81</v>
      </c>
      <c r="D29" s="7">
        <v>1.0</v>
      </c>
      <c r="E29" s="6"/>
      <c r="F29" s="6"/>
      <c r="G29" s="6"/>
      <c r="H29" s="8"/>
      <c r="I29" s="5"/>
      <c r="J29" s="9"/>
      <c r="K29" s="5" t="s">
        <v>15</v>
      </c>
      <c r="L29" s="5" t="s">
        <v>43</v>
      </c>
      <c r="M29" s="5" t="s">
        <v>43</v>
      </c>
      <c r="N29" s="8"/>
      <c r="O29" s="9"/>
    </row>
    <row r="30" ht="22.5" customHeight="1">
      <c r="A30" s="5" t="s">
        <v>138</v>
      </c>
      <c r="B30" s="6"/>
      <c r="C30" s="6" t="s">
        <v>142</v>
      </c>
      <c r="D30" s="7">
        <v>1.0</v>
      </c>
      <c r="E30" s="6"/>
      <c r="F30" s="6"/>
      <c r="G30" s="6"/>
      <c r="H30" s="8"/>
      <c r="I30" s="5"/>
      <c r="J30" s="9"/>
      <c r="K30" s="5" t="s">
        <v>43</v>
      </c>
      <c r="L30" s="5" t="s">
        <v>47</v>
      </c>
      <c r="M30" s="5" t="s">
        <v>45</v>
      </c>
      <c r="N30" s="8"/>
      <c r="O30" s="9"/>
    </row>
    <row r="31" ht="22.5" customHeight="1">
      <c r="A31" s="5" t="s">
        <v>138</v>
      </c>
      <c r="B31" s="6"/>
      <c r="C31" s="6" t="s">
        <v>142</v>
      </c>
      <c r="D31" s="7">
        <v>1.0</v>
      </c>
      <c r="E31" s="6"/>
      <c r="F31" s="6"/>
      <c r="G31" s="6"/>
      <c r="H31" s="8"/>
      <c r="I31" s="5"/>
      <c r="J31" s="9"/>
      <c r="K31" s="5" t="s">
        <v>43</v>
      </c>
      <c r="L31" s="5" t="s">
        <v>47</v>
      </c>
      <c r="M31" s="5" t="s">
        <v>43</v>
      </c>
      <c r="N31" s="8"/>
      <c r="O31" s="9"/>
    </row>
    <row r="32" ht="22.5" customHeight="1">
      <c r="A32" s="5" t="s">
        <v>138</v>
      </c>
      <c r="B32" s="6"/>
      <c r="C32" s="6" t="s">
        <v>142</v>
      </c>
      <c r="D32" s="7">
        <v>1.0</v>
      </c>
      <c r="E32" s="6"/>
      <c r="F32" s="6"/>
      <c r="G32" s="6"/>
      <c r="H32" s="8"/>
      <c r="I32" s="5"/>
      <c r="J32" s="9"/>
      <c r="K32" s="5" t="s">
        <v>43</v>
      </c>
      <c r="L32" s="5" t="s">
        <v>47</v>
      </c>
      <c r="M32" s="5" t="s">
        <v>30</v>
      </c>
      <c r="N32" s="8"/>
      <c r="O32" s="9"/>
    </row>
    <row r="33" ht="22.5" customHeight="1">
      <c r="A33" s="5" t="s">
        <v>138</v>
      </c>
      <c r="B33" s="6"/>
      <c r="C33" s="6" t="s">
        <v>393</v>
      </c>
      <c r="D33" s="7">
        <v>1.0</v>
      </c>
      <c r="E33" s="6"/>
      <c r="F33" s="6"/>
      <c r="G33" s="6"/>
      <c r="H33" s="8"/>
      <c r="I33" s="5"/>
      <c r="J33" s="9"/>
      <c r="K33" s="5" t="s">
        <v>64</v>
      </c>
      <c r="L33" s="5" t="s">
        <v>30</v>
      </c>
      <c r="M33" s="8"/>
      <c r="N33" s="8"/>
      <c r="O33" s="9"/>
    </row>
    <row r="34" ht="22.5" customHeight="1">
      <c r="A34" s="5" t="s">
        <v>138</v>
      </c>
      <c r="B34" s="6"/>
      <c r="C34" s="6" t="s">
        <v>393</v>
      </c>
      <c r="D34" s="7">
        <v>1.0</v>
      </c>
      <c r="E34" s="6"/>
      <c r="F34" s="6"/>
      <c r="G34" s="6"/>
      <c r="H34" s="8"/>
      <c r="I34" s="5"/>
      <c r="J34" s="9"/>
      <c r="K34" s="5" t="s">
        <v>64</v>
      </c>
      <c r="L34" s="5" t="s">
        <v>15</v>
      </c>
      <c r="M34" s="8"/>
      <c r="N34" s="8"/>
      <c r="O34" s="9"/>
    </row>
    <row r="35" ht="22.5" customHeight="1">
      <c r="A35" s="5" t="s">
        <v>138</v>
      </c>
      <c r="B35" s="6"/>
      <c r="C35" s="6" t="s">
        <v>393</v>
      </c>
      <c r="D35" s="7">
        <v>1.0</v>
      </c>
      <c r="E35" s="6"/>
      <c r="F35" s="6"/>
      <c r="G35" s="6"/>
      <c r="H35" s="8"/>
      <c r="I35" s="5"/>
      <c r="J35" s="9"/>
      <c r="K35" s="5" t="s">
        <v>64</v>
      </c>
      <c r="L35" s="5" t="s">
        <v>64</v>
      </c>
      <c r="M35" s="8"/>
      <c r="N35" s="8"/>
      <c r="O35" s="9"/>
    </row>
    <row r="36" ht="22.5" customHeight="1">
      <c r="A36" s="5" t="s">
        <v>138</v>
      </c>
      <c r="B36" s="6" t="s">
        <v>396</v>
      </c>
      <c r="C36" s="6" t="s">
        <v>385</v>
      </c>
      <c r="D36" s="7">
        <v>2.0</v>
      </c>
      <c r="E36" s="6"/>
      <c r="F36" s="6"/>
      <c r="G36" s="6"/>
      <c r="H36" s="5" t="s">
        <v>20</v>
      </c>
      <c r="I36" s="5" t="s">
        <v>6</v>
      </c>
      <c r="J36" s="9"/>
      <c r="K36" s="5" t="s">
        <v>53</v>
      </c>
      <c r="L36" s="5" t="s">
        <v>30</v>
      </c>
      <c r="M36" s="5" t="s">
        <v>15</v>
      </c>
      <c r="N36" s="8"/>
      <c r="O36" s="9"/>
    </row>
    <row r="37" ht="22.5" customHeight="1">
      <c r="A37" s="5" t="s">
        <v>138</v>
      </c>
      <c r="B37" s="6" t="s">
        <v>388</v>
      </c>
      <c r="C37" s="6" t="s">
        <v>385</v>
      </c>
      <c r="D37" s="7">
        <v>2.0</v>
      </c>
      <c r="E37" s="6"/>
      <c r="F37" s="6"/>
      <c r="G37" s="6"/>
      <c r="H37" s="5" t="s">
        <v>19</v>
      </c>
      <c r="I37" s="5" t="s">
        <v>6</v>
      </c>
      <c r="J37" s="9"/>
      <c r="K37" s="5" t="s">
        <v>53</v>
      </c>
      <c r="L37" s="5" t="s">
        <v>66</v>
      </c>
      <c r="M37" s="5" t="s">
        <v>18</v>
      </c>
      <c r="N37" s="8"/>
      <c r="O37" s="9"/>
    </row>
    <row r="38" ht="22.5" customHeight="1">
      <c r="A38" s="5" t="s">
        <v>138</v>
      </c>
      <c r="B38" s="6" t="s">
        <v>408</v>
      </c>
      <c r="C38" s="6" t="s">
        <v>220</v>
      </c>
      <c r="D38" s="7">
        <v>2.0</v>
      </c>
      <c r="E38" s="6"/>
      <c r="F38" s="6"/>
      <c r="G38" s="6"/>
      <c r="H38" s="5" t="s">
        <v>8</v>
      </c>
      <c r="I38" s="5" t="s">
        <v>6</v>
      </c>
      <c r="J38" s="9"/>
      <c r="K38" s="5" t="s">
        <v>30</v>
      </c>
      <c r="L38" s="5" t="s">
        <v>2</v>
      </c>
      <c r="M38" s="8"/>
      <c r="N38" s="8"/>
      <c r="O38" s="9"/>
    </row>
    <row r="39" ht="22.5" customHeight="1">
      <c r="A39" s="5" t="s">
        <v>138</v>
      </c>
      <c r="B39" s="6" t="s">
        <v>417</v>
      </c>
      <c r="C39" s="6" t="s">
        <v>220</v>
      </c>
      <c r="D39" s="7">
        <v>2.0</v>
      </c>
      <c r="E39" s="6"/>
      <c r="F39" s="6"/>
      <c r="G39" s="6"/>
      <c r="H39" s="5" t="s">
        <v>20</v>
      </c>
      <c r="I39" s="5" t="s">
        <v>6</v>
      </c>
      <c r="J39" s="9"/>
      <c r="K39" s="5" t="s">
        <v>30</v>
      </c>
      <c r="L39" s="5" t="s">
        <v>22</v>
      </c>
      <c r="M39" s="8"/>
      <c r="N39" s="8"/>
      <c r="O39" s="9"/>
    </row>
    <row r="40" ht="22.5" customHeight="1">
      <c r="A40" s="5" t="s">
        <v>138</v>
      </c>
      <c r="B40" s="6" t="s">
        <v>424</v>
      </c>
      <c r="C40" s="6" t="s">
        <v>50</v>
      </c>
      <c r="D40" s="7">
        <v>2.0</v>
      </c>
      <c r="E40" s="6"/>
      <c r="F40" s="6"/>
      <c r="G40" s="6"/>
      <c r="H40" s="5" t="s">
        <v>11</v>
      </c>
      <c r="I40" s="5" t="s">
        <v>13</v>
      </c>
      <c r="J40" s="9"/>
      <c r="K40" s="5" t="s">
        <v>65</v>
      </c>
      <c r="L40" s="5" t="s">
        <v>15</v>
      </c>
      <c r="M40" s="5" t="s">
        <v>52</v>
      </c>
      <c r="N40" s="8"/>
      <c r="O40" s="9"/>
    </row>
    <row r="41" ht="22.5" customHeight="1">
      <c r="A41" s="5" t="s">
        <v>138</v>
      </c>
      <c r="B41" s="6" t="s">
        <v>432</v>
      </c>
      <c r="C41" s="6" t="s">
        <v>50</v>
      </c>
      <c r="D41" s="7">
        <v>2.0</v>
      </c>
      <c r="E41" s="6"/>
      <c r="F41" s="6"/>
      <c r="G41" s="6"/>
      <c r="H41" s="5" t="s">
        <v>19</v>
      </c>
      <c r="I41" s="5" t="s">
        <v>17</v>
      </c>
      <c r="J41" s="9"/>
      <c r="K41" s="5" t="s">
        <v>65</v>
      </c>
      <c r="L41" s="5" t="s">
        <v>43</v>
      </c>
      <c r="M41" s="5" t="s">
        <v>47</v>
      </c>
      <c r="N41" s="5" t="s">
        <v>45</v>
      </c>
      <c r="O41" s="9"/>
    </row>
    <row r="42" ht="22.5" customHeight="1">
      <c r="A42" s="5" t="s">
        <v>138</v>
      </c>
      <c r="B42" s="6" t="s">
        <v>435</v>
      </c>
      <c r="C42" s="6" t="s">
        <v>436</v>
      </c>
      <c r="D42" s="7">
        <v>2.0</v>
      </c>
      <c r="E42" s="6"/>
      <c r="F42" s="6"/>
      <c r="G42" s="6"/>
      <c r="H42" s="5" t="s">
        <v>19</v>
      </c>
      <c r="I42" s="5" t="s">
        <v>21</v>
      </c>
      <c r="J42" s="9"/>
      <c r="K42" s="5" t="s">
        <v>67</v>
      </c>
      <c r="L42" s="5" t="s">
        <v>49</v>
      </c>
      <c r="M42" s="8"/>
      <c r="N42" s="8"/>
      <c r="O42" s="9"/>
    </row>
    <row r="43" ht="22.5" customHeight="1">
      <c r="A43" s="5" t="s">
        <v>138</v>
      </c>
      <c r="B43" s="6" t="s">
        <v>442</v>
      </c>
      <c r="C43" s="6" t="s">
        <v>436</v>
      </c>
      <c r="D43" s="7">
        <v>2.0</v>
      </c>
      <c r="E43" s="6"/>
      <c r="F43" s="6"/>
      <c r="G43" s="6"/>
      <c r="H43" s="5" t="s">
        <v>8</v>
      </c>
      <c r="I43" s="5" t="s">
        <v>21</v>
      </c>
      <c r="J43" s="9"/>
      <c r="K43" s="5" t="s">
        <v>67</v>
      </c>
      <c r="L43" s="5" t="s">
        <v>65</v>
      </c>
      <c r="M43" s="8"/>
      <c r="N43" s="8"/>
      <c r="O43" s="9"/>
    </row>
    <row r="44" ht="22.5" customHeight="1">
      <c r="A44" s="5" t="s">
        <v>138</v>
      </c>
      <c r="B44" s="6" t="s">
        <v>447</v>
      </c>
      <c r="C44" s="6" t="s">
        <v>448</v>
      </c>
      <c r="D44" s="7">
        <v>2.0</v>
      </c>
      <c r="E44" s="6"/>
      <c r="F44" s="6"/>
      <c r="G44" s="6"/>
      <c r="H44" s="5" t="s">
        <v>41</v>
      </c>
      <c r="I44" s="5" t="s">
        <v>13</v>
      </c>
      <c r="J44" s="9"/>
      <c r="K44" s="5" t="s">
        <v>52</v>
      </c>
      <c r="L44" s="5" t="s">
        <v>15</v>
      </c>
      <c r="M44" s="8"/>
      <c r="N44" s="8"/>
      <c r="O44" s="9"/>
    </row>
    <row r="45" ht="22.5" customHeight="1">
      <c r="A45" s="5" t="s">
        <v>138</v>
      </c>
      <c r="B45" s="6" t="s">
        <v>451</v>
      </c>
      <c r="C45" s="6" t="s">
        <v>448</v>
      </c>
      <c r="D45" s="7">
        <v>2.0</v>
      </c>
      <c r="E45" s="6"/>
      <c r="F45" s="6"/>
      <c r="G45" s="6"/>
      <c r="H45" s="5" t="s">
        <v>41</v>
      </c>
      <c r="I45" s="5" t="s">
        <v>17</v>
      </c>
      <c r="J45" s="9"/>
      <c r="K45" s="5" t="s">
        <v>38</v>
      </c>
      <c r="L45" s="5" t="s">
        <v>64</v>
      </c>
      <c r="M45" s="8"/>
      <c r="N45" s="8"/>
      <c r="O45" s="9"/>
    </row>
    <row r="46">
      <c r="D46" s="56"/>
    </row>
    <row r="47">
      <c r="D47" s="56"/>
    </row>
    <row r="48">
      <c r="D48" s="56"/>
    </row>
    <row r="49">
      <c r="D49" s="56"/>
    </row>
    <row r="50">
      <c r="D50" s="56"/>
    </row>
    <row r="51">
      <c r="D51" s="56"/>
    </row>
    <row r="52">
      <c r="D52" s="56"/>
    </row>
    <row r="53">
      <c r="D53" s="56"/>
    </row>
    <row r="54">
      <c r="D54" s="56"/>
    </row>
    <row r="55">
      <c r="D55" s="56"/>
    </row>
    <row r="56">
      <c r="D56" s="56"/>
    </row>
    <row r="57">
      <c r="D57" s="56"/>
    </row>
    <row r="58">
      <c r="D58" s="56"/>
    </row>
    <row r="59">
      <c r="D59" s="56"/>
    </row>
    <row r="60">
      <c r="D60" s="56"/>
    </row>
    <row r="61">
      <c r="D61" s="56"/>
    </row>
    <row r="62">
      <c r="D62" s="56"/>
    </row>
    <row r="63">
      <c r="D63" s="56"/>
    </row>
    <row r="64">
      <c r="D64" s="56"/>
    </row>
    <row r="65">
      <c r="D65" s="56"/>
    </row>
    <row r="66">
      <c r="D66" s="56"/>
    </row>
    <row r="67">
      <c r="D67" s="56"/>
    </row>
    <row r="68">
      <c r="D68" s="56"/>
    </row>
    <row r="69">
      <c r="D69" s="56"/>
    </row>
    <row r="70">
      <c r="D70" s="56"/>
    </row>
    <row r="71">
      <c r="D71" s="56"/>
    </row>
    <row r="72">
      <c r="D72" s="56"/>
    </row>
    <row r="73">
      <c r="D73" s="56"/>
    </row>
    <row r="74">
      <c r="D74" s="56"/>
    </row>
    <row r="75">
      <c r="D75" s="56"/>
    </row>
    <row r="76">
      <c r="D76" s="56"/>
    </row>
    <row r="77">
      <c r="D77" s="56"/>
    </row>
    <row r="78">
      <c r="D78" s="56"/>
    </row>
    <row r="79">
      <c r="D79" s="56"/>
    </row>
    <row r="80">
      <c r="D80" s="56"/>
    </row>
    <row r="81">
      <c r="D81" s="56"/>
    </row>
    <row r="82">
      <c r="D82" s="56"/>
    </row>
    <row r="83">
      <c r="D83" s="56"/>
    </row>
    <row r="84">
      <c r="D84" s="56"/>
    </row>
    <row r="85">
      <c r="D85" s="56"/>
    </row>
    <row r="86">
      <c r="D86" s="56"/>
    </row>
    <row r="87">
      <c r="D87" s="56"/>
    </row>
    <row r="88">
      <c r="D88" s="56"/>
    </row>
    <row r="89">
      <c r="D89" s="56"/>
    </row>
    <row r="90">
      <c r="D90" s="56"/>
    </row>
    <row r="91">
      <c r="D91" s="56"/>
    </row>
    <row r="92">
      <c r="D92" s="56"/>
    </row>
    <row r="93">
      <c r="D93" s="56"/>
    </row>
    <row r="94">
      <c r="D94" s="56"/>
    </row>
    <row r="95">
      <c r="D95" s="56"/>
    </row>
    <row r="96">
      <c r="D96" s="56"/>
    </row>
    <row r="97">
      <c r="D97" s="56"/>
    </row>
    <row r="98">
      <c r="D98" s="56"/>
    </row>
    <row r="99">
      <c r="D99" s="56"/>
    </row>
    <row r="100">
      <c r="D100" s="56"/>
    </row>
    <row r="101">
      <c r="D101" s="56"/>
    </row>
    <row r="102">
      <c r="D102" s="56"/>
    </row>
    <row r="103">
      <c r="D103" s="56"/>
    </row>
    <row r="104">
      <c r="D104" s="56"/>
    </row>
    <row r="105">
      <c r="D105" s="56"/>
    </row>
    <row r="106">
      <c r="D106" s="56"/>
    </row>
    <row r="107">
      <c r="D107" s="56"/>
    </row>
    <row r="108">
      <c r="D108" s="56"/>
    </row>
    <row r="109">
      <c r="D109" s="56"/>
    </row>
    <row r="110">
      <c r="D110" s="56"/>
    </row>
    <row r="111">
      <c r="D111" s="56"/>
    </row>
    <row r="112">
      <c r="D112" s="56"/>
    </row>
    <row r="113">
      <c r="D113" s="56"/>
    </row>
    <row r="114">
      <c r="D114" s="56"/>
    </row>
    <row r="115">
      <c r="D115" s="56"/>
    </row>
    <row r="116">
      <c r="D116" s="56"/>
    </row>
    <row r="117">
      <c r="D117" s="56"/>
    </row>
    <row r="118">
      <c r="D118" s="56"/>
    </row>
    <row r="119">
      <c r="D119" s="56"/>
    </row>
    <row r="120">
      <c r="D120" s="56"/>
    </row>
    <row r="121">
      <c r="D121" s="56"/>
    </row>
    <row r="122">
      <c r="D122" s="56"/>
    </row>
    <row r="123">
      <c r="D123" s="56"/>
    </row>
    <row r="124">
      <c r="D124" s="56"/>
    </row>
    <row r="125">
      <c r="D125" s="56"/>
    </row>
    <row r="126">
      <c r="D126" s="56"/>
    </row>
    <row r="127">
      <c r="D127" s="56"/>
    </row>
    <row r="128">
      <c r="D128" s="56"/>
    </row>
    <row r="129">
      <c r="D129" s="56"/>
    </row>
    <row r="130">
      <c r="D130" s="56"/>
    </row>
    <row r="131">
      <c r="D131" s="56"/>
    </row>
    <row r="132">
      <c r="D132" s="56"/>
    </row>
    <row r="133">
      <c r="D133" s="56"/>
    </row>
    <row r="134">
      <c r="D134" s="56"/>
    </row>
    <row r="135">
      <c r="D135" s="56"/>
    </row>
    <row r="136">
      <c r="D136" s="56"/>
    </row>
    <row r="137">
      <c r="D137" s="56"/>
    </row>
    <row r="138">
      <c r="D138" s="56"/>
    </row>
    <row r="139">
      <c r="D139" s="56"/>
    </row>
    <row r="140">
      <c r="D140" s="56"/>
    </row>
    <row r="141">
      <c r="D141" s="56"/>
    </row>
    <row r="142">
      <c r="D142" s="56"/>
    </row>
    <row r="143">
      <c r="D143" s="56"/>
    </row>
    <row r="144">
      <c r="D144" s="56"/>
    </row>
    <row r="145">
      <c r="D145" s="56"/>
    </row>
    <row r="146">
      <c r="D146" s="56"/>
    </row>
    <row r="147">
      <c r="D147" s="56"/>
    </row>
    <row r="148">
      <c r="D148" s="56"/>
    </row>
    <row r="149">
      <c r="D149" s="56"/>
    </row>
    <row r="150">
      <c r="D150" s="56"/>
    </row>
    <row r="151">
      <c r="D151" s="56"/>
    </row>
    <row r="152">
      <c r="D152" s="56"/>
    </row>
    <row r="153">
      <c r="D153" s="56"/>
    </row>
    <row r="154">
      <c r="D154" s="56"/>
    </row>
    <row r="155">
      <c r="D155" s="56"/>
    </row>
    <row r="156">
      <c r="D156" s="56"/>
    </row>
    <row r="157">
      <c r="D157" s="56"/>
    </row>
    <row r="158">
      <c r="D158" s="56"/>
    </row>
    <row r="159">
      <c r="D159" s="56"/>
    </row>
    <row r="160">
      <c r="D160" s="56"/>
    </row>
    <row r="161">
      <c r="D161" s="56"/>
    </row>
    <row r="162">
      <c r="D162" s="56"/>
    </row>
    <row r="163">
      <c r="D163" s="56"/>
    </row>
    <row r="164">
      <c r="D164" s="56"/>
    </row>
    <row r="165">
      <c r="D165" s="56"/>
    </row>
    <row r="166">
      <c r="D166" s="56"/>
    </row>
    <row r="167">
      <c r="D167" s="56"/>
    </row>
    <row r="168">
      <c r="D168" s="56"/>
    </row>
    <row r="169">
      <c r="D169" s="56"/>
    </row>
    <row r="170">
      <c r="D170" s="56"/>
    </row>
    <row r="171">
      <c r="D171" s="56"/>
    </row>
    <row r="172">
      <c r="D172" s="56"/>
    </row>
    <row r="173">
      <c r="D173" s="56"/>
    </row>
    <row r="174">
      <c r="D174" s="56"/>
    </row>
    <row r="175">
      <c r="D175" s="56"/>
    </row>
    <row r="176">
      <c r="D176" s="56"/>
    </row>
    <row r="177">
      <c r="D177" s="56"/>
    </row>
    <row r="178">
      <c r="D178" s="56"/>
    </row>
    <row r="179">
      <c r="D179" s="56"/>
    </row>
    <row r="180">
      <c r="D180" s="56"/>
    </row>
    <row r="181">
      <c r="D181" s="56"/>
    </row>
    <row r="182">
      <c r="D182" s="56"/>
    </row>
    <row r="183">
      <c r="D183" s="56"/>
    </row>
    <row r="184">
      <c r="D184" s="56"/>
    </row>
    <row r="185">
      <c r="D185" s="56"/>
    </row>
    <row r="186">
      <c r="D186" s="56"/>
    </row>
    <row r="187">
      <c r="D187" s="56"/>
    </row>
    <row r="188">
      <c r="D188" s="56"/>
    </row>
    <row r="189">
      <c r="D189" s="56"/>
    </row>
    <row r="190">
      <c r="D190" s="56"/>
    </row>
    <row r="191">
      <c r="D191" s="56"/>
    </row>
    <row r="192">
      <c r="D192" s="56"/>
    </row>
    <row r="193">
      <c r="D193" s="56"/>
    </row>
    <row r="194">
      <c r="D194" s="56"/>
    </row>
    <row r="195">
      <c r="D195" s="56"/>
    </row>
    <row r="196">
      <c r="D196" s="56"/>
    </row>
    <row r="197">
      <c r="D197" s="56"/>
    </row>
    <row r="198">
      <c r="D198" s="56"/>
    </row>
    <row r="199">
      <c r="D199" s="56"/>
    </row>
    <row r="200">
      <c r="D200" s="56"/>
    </row>
    <row r="201">
      <c r="D201" s="56"/>
    </row>
    <row r="202">
      <c r="D202" s="56"/>
    </row>
    <row r="203">
      <c r="D203" s="56"/>
    </row>
    <row r="204">
      <c r="D204" s="56"/>
    </row>
    <row r="205">
      <c r="D205" s="56"/>
    </row>
    <row r="206">
      <c r="D206" s="56"/>
    </row>
    <row r="207">
      <c r="D207" s="56"/>
    </row>
    <row r="208">
      <c r="D208" s="56"/>
    </row>
    <row r="209">
      <c r="D209" s="56"/>
    </row>
    <row r="210">
      <c r="D210" s="56"/>
    </row>
    <row r="211">
      <c r="D211" s="56"/>
    </row>
    <row r="212">
      <c r="D212" s="56"/>
    </row>
    <row r="213">
      <c r="D213" s="56"/>
    </row>
    <row r="214">
      <c r="D214" s="56"/>
    </row>
    <row r="215">
      <c r="D215" s="56"/>
    </row>
    <row r="216">
      <c r="D216" s="56"/>
    </row>
    <row r="217">
      <c r="D217" s="56"/>
    </row>
    <row r="218">
      <c r="D218" s="56"/>
    </row>
    <row r="219">
      <c r="D219" s="56"/>
    </row>
    <row r="220">
      <c r="D220" s="56"/>
    </row>
    <row r="221">
      <c r="D221" s="56"/>
    </row>
    <row r="222">
      <c r="D222" s="56"/>
    </row>
    <row r="223">
      <c r="D223" s="56"/>
    </row>
    <row r="224">
      <c r="D224" s="56"/>
    </row>
    <row r="225">
      <c r="D225" s="56"/>
    </row>
    <row r="226">
      <c r="D226" s="56"/>
    </row>
    <row r="227">
      <c r="D227" s="56"/>
    </row>
    <row r="228">
      <c r="D228" s="56"/>
    </row>
    <row r="229">
      <c r="D229" s="56"/>
    </row>
    <row r="230">
      <c r="D230" s="56"/>
    </row>
    <row r="231">
      <c r="D231" s="56"/>
    </row>
    <row r="232">
      <c r="D232" s="56"/>
    </row>
    <row r="233">
      <c r="D233" s="56"/>
    </row>
    <row r="234">
      <c r="D234" s="56"/>
    </row>
    <row r="235">
      <c r="D235" s="56"/>
    </row>
    <row r="236">
      <c r="D236" s="56"/>
    </row>
    <row r="237">
      <c r="D237" s="56"/>
    </row>
    <row r="238">
      <c r="D238" s="56"/>
    </row>
    <row r="239">
      <c r="D239" s="56"/>
    </row>
    <row r="240">
      <c r="D240" s="56"/>
    </row>
    <row r="241">
      <c r="D241" s="56"/>
    </row>
    <row r="242">
      <c r="D242" s="56"/>
    </row>
    <row r="243">
      <c r="D243" s="56"/>
    </row>
    <row r="244">
      <c r="D244" s="56"/>
    </row>
    <row r="245">
      <c r="D245" s="56"/>
    </row>
    <row r="246">
      <c r="D246" s="56"/>
    </row>
    <row r="247">
      <c r="D247" s="56"/>
    </row>
    <row r="248">
      <c r="D248" s="56"/>
    </row>
    <row r="249">
      <c r="D249" s="56"/>
    </row>
    <row r="250">
      <c r="D250" s="56"/>
    </row>
    <row r="251">
      <c r="D251" s="56"/>
    </row>
    <row r="252">
      <c r="D252" s="56"/>
    </row>
    <row r="253">
      <c r="D253" s="56"/>
    </row>
    <row r="254">
      <c r="D254" s="56"/>
    </row>
    <row r="255">
      <c r="D255" s="56"/>
    </row>
    <row r="256">
      <c r="D256" s="56"/>
    </row>
    <row r="257">
      <c r="D257" s="56"/>
    </row>
    <row r="258">
      <c r="D258" s="56"/>
    </row>
    <row r="259">
      <c r="D259" s="56"/>
    </row>
    <row r="260">
      <c r="D260" s="56"/>
    </row>
    <row r="261">
      <c r="D261" s="56"/>
    </row>
    <row r="262">
      <c r="D262" s="56"/>
    </row>
    <row r="263">
      <c r="D263" s="56"/>
    </row>
    <row r="264">
      <c r="D264" s="56"/>
    </row>
    <row r="265">
      <c r="D265" s="56"/>
    </row>
    <row r="266">
      <c r="D266" s="56"/>
    </row>
    <row r="267">
      <c r="D267" s="56"/>
    </row>
    <row r="268">
      <c r="D268" s="56"/>
    </row>
    <row r="269">
      <c r="D269" s="56"/>
    </row>
    <row r="270">
      <c r="D270" s="56"/>
    </row>
    <row r="271">
      <c r="D271" s="56"/>
    </row>
    <row r="272">
      <c r="D272" s="56"/>
    </row>
    <row r="273">
      <c r="D273" s="56"/>
    </row>
    <row r="274">
      <c r="D274" s="56"/>
    </row>
    <row r="275">
      <c r="D275" s="56"/>
    </row>
    <row r="276">
      <c r="D276" s="56"/>
    </row>
    <row r="277">
      <c r="D277" s="56"/>
    </row>
    <row r="278">
      <c r="D278" s="56"/>
    </row>
    <row r="279">
      <c r="D279" s="56"/>
    </row>
    <row r="280">
      <c r="D280" s="56"/>
    </row>
    <row r="281">
      <c r="D281" s="56"/>
    </row>
    <row r="282">
      <c r="D282" s="56"/>
    </row>
    <row r="283">
      <c r="D283" s="56"/>
    </row>
    <row r="284">
      <c r="D284" s="56"/>
    </row>
    <row r="285">
      <c r="D285" s="56"/>
    </row>
    <row r="286">
      <c r="D286" s="56"/>
    </row>
    <row r="287">
      <c r="D287" s="56"/>
    </row>
    <row r="288">
      <c r="D288" s="56"/>
    </row>
    <row r="289">
      <c r="D289" s="56"/>
    </row>
    <row r="290">
      <c r="D290" s="56"/>
    </row>
    <row r="291">
      <c r="D291" s="56"/>
    </row>
    <row r="292">
      <c r="D292" s="56"/>
    </row>
    <row r="293">
      <c r="D293" s="56"/>
    </row>
    <row r="294">
      <c r="D294" s="56"/>
    </row>
    <row r="295">
      <c r="D295" s="56"/>
    </row>
    <row r="296">
      <c r="D296" s="56"/>
    </row>
    <row r="297">
      <c r="D297" s="56"/>
    </row>
    <row r="298">
      <c r="D298" s="56"/>
    </row>
    <row r="299">
      <c r="D299" s="56"/>
    </row>
    <row r="300">
      <c r="D300" s="56"/>
    </row>
    <row r="301">
      <c r="D301" s="56"/>
    </row>
    <row r="302">
      <c r="D302" s="56"/>
    </row>
    <row r="303">
      <c r="D303" s="56"/>
    </row>
    <row r="304">
      <c r="D304" s="56"/>
    </row>
    <row r="305">
      <c r="D305" s="56"/>
    </row>
    <row r="306">
      <c r="D306" s="56"/>
    </row>
    <row r="307">
      <c r="D307" s="56"/>
    </row>
    <row r="308">
      <c r="D308" s="56"/>
    </row>
    <row r="309">
      <c r="D309" s="56"/>
    </row>
    <row r="310">
      <c r="D310" s="56"/>
    </row>
    <row r="311">
      <c r="D311" s="56"/>
    </row>
    <row r="312">
      <c r="D312" s="56"/>
    </row>
    <row r="313">
      <c r="D313" s="56"/>
    </row>
    <row r="314">
      <c r="D314" s="56"/>
    </row>
    <row r="315">
      <c r="D315" s="56"/>
    </row>
    <row r="316">
      <c r="D316" s="56"/>
    </row>
    <row r="317">
      <c r="D317" s="56"/>
    </row>
    <row r="318">
      <c r="D318" s="56"/>
    </row>
    <row r="319">
      <c r="D319" s="56"/>
    </row>
    <row r="320">
      <c r="D320" s="56"/>
    </row>
    <row r="321">
      <c r="D321" s="56"/>
    </row>
    <row r="322">
      <c r="D322" s="56"/>
    </row>
    <row r="323">
      <c r="D323" s="56"/>
    </row>
    <row r="324">
      <c r="D324" s="56"/>
    </row>
    <row r="325">
      <c r="D325" s="56"/>
    </row>
    <row r="326">
      <c r="D326" s="56"/>
    </row>
    <row r="327">
      <c r="D327" s="56"/>
    </row>
    <row r="328">
      <c r="D328" s="56"/>
    </row>
    <row r="329">
      <c r="D329" s="56"/>
    </row>
    <row r="330">
      <c r="D330" s="56"/>
    </row>
    <row r="331">
      <c r="D331" s="56"/>
    </row>
    <row r="332">
      <c r="D332" s="56"/>
    </row>
    <row r="333">
      <c r="D333" s="56"/>
    </row>
    <row r="334">
      <c r="D334" s="56"/>
    </row>
    <row r="335">
      <c r="D335" s="56"/>
    </row>
    <row r="336">
      <c r="D336" s="56"/>
    </row>
    <row r="337">
      <c r="D337" s="56"/>
    </row>
    <row r="338">
      <c r="D338" s="56"/>
    </row>
    <row r="339">
      <c r="D339" s="56"/>
    </row>
    <row r="340">
      <c r="D340" s="56"/>
    </row>
    <row r="341">
      <c r="D341" s="56"/>
    </row>
    <row r="342">
      <c r="D342" s="56"/>
    </row>
    <row r="343">
      <c r="D343" s="56"/>
    </row>
    <row r="344">
      <c r="D344" s="56"/>
    </row>
    <row r="345">
      <c r="D345" s="56"/>
    </row>
    <row r="346">
      <c r="D346" s="56"/>
    </row>
    <row r="347">
      <c r="D347" s="56"/>
    </row>
    <row r="348">
      <c r="D348" s="56"/>
    </row>
    <row r="349">
      <c r="D349" s="56"/>
    </row>
    <row r="350">
      <c r="D350" s="56"/>
    </row>
    <row r="351">
      <c r="D351" s="56"/>
    </row>
    <row r="352">
      <c r="D352" s="56"/>
    </row>
    <row r="353">
      <c r="D353" s="56"/>
    </row>
    <row r="354">
      <c r="D354" s="56"/>
    </row>
    <row r="355">
      <c r="D355" s="56"/>
    </row>
    <row r="356">
      <c r="D356" s="56"/>
    </row>
    <row r="357">
      <c r="D357" s="56"/>
    </row>
    <row r="358">
      <c r="D358" s="56"/>
    </row>
    <row r="359">
      <c r="D359" s="56"/>
    </row>
    <row r="360">
      <c r="D360" s="56"/>
    </row>
    <row r="361">
      <c r="D361" s="56"/>
    </row>
    <row r="362">
      <c r="D362" s="56"/>
    </row>
    <row r="363">
      <c r="D363" s="56"/>
    </row>
    <row r="364">
      <c r="D364" s="56"/>
    </row>
    <row r="365">
      <c r="D365" s="56"/>
    </row>
    <row r="366">
      <c r="D366" s="56"/>
    </row>
    <row r="367">
      <c r="D367" s="56"/>
    </row>
    <row r="368">
      <c r="D368" s="56"/>
    </row>
    <row r="369">
      <c r="D369" s="56"/>
    </row>
    <row r="370">
      <c r="D370" s="56"/>
    </row>
    <row r="371">
      <c r="D371" s="56"/>
    </row>
    <row r="372">
      <c r="D372" s="56"/>
    </row>
    <row r="373">
      <c r="D373" s="56"/>
    </row>
    <row r="374">
      <c r="D374" s="56"/>
    </row>
    <row r="375">
      <c r="D375" s="56"/>
    </row>
    <row r="376">
      <c r="D376" s="56"/>
    </row>
    <row r="377">
      <c r="D377" s="56"/>
    </row>
    <row r="378">
      <c r="D378" s="56"/>
    </row>
    <row r="379">
      <c r="D379" s="56"/>
    </row>
    <row r="380">
      <c r="D380" s="56"/>
    </row>
    <row r="381">
      <c r="D381" s="56"/>
    </row>
    <row r="382">
      <c r="D382" s="56"/>
    </row>
    <row r="383">
      <c r="D383" s="56"/>
    </row>
    <row r="384">
      <c r="D384" s="56"/>
    </row>
    <row r="385">
      <c r="D385" s="56"/>
    </row>
    <row r="386">
      <c r="D386" s="56"/>
    </row>
    <row r="387">
      <c r="D387" s="56"/>
    </row>
    <row r="388">
      <c r="D388" s="56"/>
    </row>
    <row r="389">
      <c r="D389" s="56"/>
    </row>
    <row r="390">
      <c r="D390" s="56"/>
    </row>
    <row r="391">
      <c r="D391" s="56"/>
    </row>
    <row r="392">
      <c r="D392" s="56"/>
    </row>
    <row r="393">
      <c r="D393" s="56"/>
    </row>
    <row r="394">
      <c r="D394" s="56"/>
    </row>
    <row r="395">
      <c r="D395" s="56"/>
    </row>
    <row r="396">
      <c r="D396" s="56"/>
    </row>
    <row r="397">
      <c r="D397" s="56"/>
    </row>
    <row r="398">
      <c r="D398" s="56"/>
    </row>
    <row r="399">
      <c r="D399" s="56"/>
    </row>
    <row r="400">
      <c r="D400" s="56"/>
    </row>
    <row r="401">
      <c r="D401" s="56"/>
    </row>
    <row r="402">
      <c r="D402" s="56"/>
    </row>
    <row r="403">
      <c r="D403" s="56"/>
    </row>
    <row r="404">
      <c r="D404" s="56"/>
    </row>
    <row r="405">
      <c r="D405" s="56"/>
    </row>
    <row r="406">
      <c r="D406" s="56"/>
    </row>
    <row r="407">
      <c r="D407" s="56"/>
    </row>
    <row r="408">
      <c r="D408" s="56"/>
    </row>
    <row r="409">
      <c r="D409" s="56"/>
    </row>
    <row r="410">
      <c r="D410" s="56"/>
    </row>
    <row r="411">
      <c r="D411" s="56"/>
    </row>
    <row r="412">
      <c r="D412" s="56"/>
    </row>
    <row r="413">
      <c r="D413" s="56"/>
    </row>
    <row r="414">
      <c r="D414" s="56"/>
    </row>
    <row r="415">
      <c r="D415" s="56"/>
    </row>
    <row r="416">
      <c r="D416" s="56"/>
    </row>
    <row r="417">
      <c r="D417" s="56"/>
    </row>
    <row r="418">
      <c r="D418" s="56"/>
    </row>
    <row r="419">
      <c r="D419" s="56"/>
    </row>
    <row r="420">
      <c r="D420" s="56"/>
    </row>
    <row r="421">
      <c r="D421" s="56"/>
    </row>
    <row r="422">
      <c r="D422" s="56"/>
    </row>
    <row r="423">
      <c r="D423" s="56"/>
    </row>
    <row r="424">
      <c r="D424" s="56"/>
    </row>
    <row r="425">
      <c r="D425" s="56"/>
    </row>
    <row r="426">
      <c r="D426" s="56"/>
    </row>
    <row r="427">
      <c r="D427" s="56"/>
    </row>
    <row r="428">
      <c r="D428" s="56"/>
    </row>
    <row r="429">
      <c r="D429" s="56"/>
    </row>
    <row r="430">
      <c r="D430" s="56"/>
    </row>
    <row r="431">
      <c r="D431" s="56"/>
    </row>
    <row r="432">
      <c r="D432" s="56"/>
    </row>
    <row r="433">
      <c r="D433" s="56"/>
    </row>
    <row r="434">
      <c r="D434" s="56"/>
    </row>
    <row r="435">
      <c r="D435" s="56"/>
    </row>
    <row r="436">
      <c r="D436" s="56"/>
    </row>
    <row r="437">
      <c r="D437" s="56"/>
    </row>
    <row r="438">
      <c r="D438" s="56"/>
    </row>
    <row r="439">
      <c r="D439" s="56"/>
    </row>
    <row r="440">
      <c r="D440" s="56"/>
    </row>
    <row r="441">
      <c r="D441" s="56"/>
    </row>
    <row r="442">
      <c r="D442" s="56"/>
    </row>
    <row r="443">
      <c r="D443" s="56"/>
    </row>
    <row r="444">
      <c r="D444" s="56"/>
    </row>
    <row r="445">
      <c r="D445" s="56"/>
    </row>
    <row r="446">
      <c r="D446" s="56"/>
    </row>
    <row r="447">
      <c r="D447" s="56"/>
    </row>
    <row r="448">
      <c r="D448" s="56"/>
    </row>
    <row r="449">
      <c r="D449" s="56"/>
    </row>
    <row r="450">
      <c r="D450" s="56"/>
    </row>
    <row r="451">
      <c r="D451" s="56"/>
    </row>
    <row r="452">
      <c r="D452" s="56"/>
    </row>
    <row r="453">
      <c r="D453" s="56"/>
    </row>
    <row r="454">
      <c r="D454" s="56"/>
    </row>
    <row r="455">
      <c r="D455" s="56"/>
    </row>
    <row r="456">
      <c r="D456" s="56"/>
    </row>
    <row r="457">
      <c r="D457" s="56"/>
    </row>
    <row r="458">
      <c r="D458" s="56"/>
    </row>
    <row r="459">
      <c r="D459" s="56"/>
    </row>
    <row r="460">
      <c r="D460" s="56"/>
    </row>
    <row r="461">
      <c r="D461" s="56"/>
    </row>
    <row r="462">
      <c r="D462" s="56"/>
    </row>
    <row r="463">
      <c r="D463" s="56"/>
    </row>
    <row r="464">
      <c r="D464" s="56"/>
    </row>
    <row r="465">
      <c r="D465" s="56"/>
    </row>
    <row r="466">
      <c r="D466" s="56"/>
    </row>
    <row r="467">
      <c r="D467" s="56"/>
    </row>
    <row r="468">
      <c r="D468" s="56"/>
    </row>
    <row r="469">
      <c r="D469" s="56"/>
    </row>
    <row r="470">
      <c r="D470" s="56"/>
    </row>
    <row r="471">
      <c r="D471" s="56"/>
    </row>
    <row r="472">
      <c r="D472" s="56"/>
    </row>
    <row r="473">
      <c r="D473" s="56"/>
    </row>
    <row r="474">
      <c r="D474" s="56"/>
    </row>
    <row r="475">
      <c r="D475" s="56"/>
    </row>
    <row r="476">
      <c r="D476" s="56"/>
    </row>
    <row r="477">
      <c r="D477" s="56"/>
    </row>
    <row r="478">
      <c r="D478" s="56"/>
    </row>
    <row r="479">
      <c r="D479" s="56"/>
    </row>
    <row r="480">
      <c r="D480" s="56"/>
    </row>
    <row r="481">
      <c r="D481" s="56"/>
    </row>
    <row r="482">
      <c r="D482" s="56"/>
    </row>
    <row r="483">
      <c r="D483" s="56"/>
    </row>
    <row r="484">
      <c r="D484" s="56"/>
    </row>
    <row r="485">
      <c r="D485" s="56"/>
    </row>
    <row r="486">
      <c r="D486" s="56"/>
    </row>
    <row r="487">
      <c r="D487" s="56"/>
    </row>
    <row r="488">
      <c r="D488" s="56"/>
    </row>
    <row r="489">
      <c r="D489" s="56"/>
    </row>
    <row r="490">
      <c r="D490" s="56"/>
    </row>
    <row r="491">
      <c r="D491" s="56"/>
    </row>
    <row r="492">
      <c r="D492" s="56"/>
    </row>
    <row r="493">
      <c r="D493" s="56"/>
    </row>
    <row r="494">
      <c r="D494" s="56"/>
    </row>
    <row r="495">
      <c r="D495" s="56"/>
    </row>
    <row r="496">
      <c r="D496" s="56"/>
    </row>
    <row r="497">
      <c r="D497" s="56"/>
    </row>
    <row r="498">
      <c r="D498" s="56"/>
    </row>
    <row r="499">
      <c r="D499" s="56"/>
    </row>
    <row r="500">
      <c r="D500" s="56"/>
    </row>
    <row r="501">
      <c r="D501" s="56"/>
    </row>
    <row r="502">
      <c r="D502" s="56"/>
    </row>
    <row r="503">
      <c r="D503" s="56"/>
    </row>
    <row r="504">
      <c r="D504" s="56"/>
    </row>
    <row r="505">
      <c r="D505" s="56"/>
    </row>
    <row r="506">
      <c r="D506" s="56"/>
    </row>
    <row r="507">
      <c r="D507" s="56"/>
    </row>
    <row r="508">
      <c r="D508" s="56"/>
    </row>
    <row r="509">
      <c r="D509" s="56"/>
    </row>
    <row r="510">
      <c r="D510" s="56"/>
    </row>
    <row r="511">
      <c r="D511" s="56"/>
    </row>
    <row r="512">
      <c r="D512" s="56"/>
    </row>
    <row r="513">
      <c r="D513" s="56"/>
    </row>
    <row r="514">
      <c r="D514" s="56"/>
    </row>
    <row r="515">
      <c r="D515" s="56"/>
    </row>
    <row r="516">
      <c r="D516" s="56"/>
    </row>
    <row r="517">
      <c r="D517" s="56"/>
    </row>
    <row r="518">
      <c r="D518" s="56"/>
    </row>
    <row r="519">
      <c r="D519" s="56"/>
    </row>
    <row r="520">
      <c r="D520" s="56"/>
    </row>
    <row r="521">
      <c r="D521" s="56"/>
    </row>
    <row r="522">
      <c r="D522" s="56"/>
    </row>
    <row r="523">
      <c r="D523" s="56"/>
    </row>
    <row r="524">
      <c r="D524" s="56"/>
    </row>
    <row r="525">
      <c r="D525" s="56"/>
    </row>
    <row r="526">
      <c r="D526" s="56"/>
    </row>
    <row r="527">
      <c r="D527" s="56"/>
    </row>
    <row r="528">
      <c r="D528" s="56"/>
    </row>
    <row r="529">
      <c r="D529" s="56"/>
    </row>
    <row r="530">
      <c r="D530" s="56"/>
    </row>
    <row r="531">
      <c r="D531" s="56"/>
    </row>
    <row r="532">
      <c r="D532" s="56"/>
    </row>
    <row r="533">
      <c r="D533" s="56"/>
    </row>
    <row r="534">
      <c r="D534" s="56"/>
    </row>
    <row r="535">
      <c r="D535" s="56"/>
    </row>
    <row r="536">
      <c r="D536" s="56"/>
    </row>
    <row r="537">
      <c r="D537" s="56"/>
    </row>
    <row r="538">
      <c r="D538" s="56"/>
    </row>
    <row r="539">
      <c r="D539" s="56"/>
    </row>
    <row r="540">
      <c r="D540" s="56"/>
    </row>
    <row r="541">
      <c r="D541" s="56"/>
    </row>
    <row r="542">
      <c r="D542" s="56"/>
    </row>
    <row r="543">
      <c r="D543" s="56"/>
    </row>
    <row r="544">
      <c r="D544" s="56"/>
    </row>
    <row r="545">
      <c r="D545" s="56"/>
    </row>
    <row r="546">
      <c r="D546" s="56"/>
    </row>
    <row r="547">
      <c r="D547" s="56"/>
    </row>
    <row r="548">
      <c r="D548" s="56"/>
    </row>
    <row r="549">
      <c r="D549" s="56"/>
    </row>
    <row r="550">
      <c r="D550" s="56"/>
    </row>
    <row r="551">
      <c r="D551" s="56"/>
    </row>
    <row r="552">
      <c r="D552" s="56"/>
    </row>
    <row r="553">
      <c r="D553" s="56"/>
    </row>
    <row r="554">
      <c r="D554" s="56"/>
    </row>
    <row r="555">
      <c r="D555" s="56"/>
    </row>
    <row r="556">
      <c r="D556" s="56"/>
    </row>
    <row r="557">
      <c r="D557" s="56"/>
    </row>
    <row r="558">
      <c r="D558" s="56"/>
    </row>
    <row r="559">
      <c r="D559" s="56"/>
    </row>
    <row r="560">
      <c r="D560" s="56"/>
    </row>
    <row r="561">
      <c r="D561" s="56"/>
    </row>
    <row r="562">
      <c r="D562" s="56"/>
    </row>
    <row r="563">
      <c r="D563" s="56"/>
    </row>
    <row r="564">
      <c r="D564" s="56"/>
    </row>
    <row r="565">
      <c r="D565" s="56"/>
    </row>
    <row r="566">
      <c r="D566" s="56"/>
    </row>
    <row r="567">
      <c r="D567" s="56"/>
    </row>
    <row r="568">
      <c r="D568" s="56"/>
    </row>
    <row r="569">
      <c r="D569" s="56"/>
    </row>
    <row r="570">
      <c r="D570" s="56"/>
    </row>
    <row r="571">
      <c r="D571" s="56"/>
    </row>
    <row r="572">
      <c r="D572" s="56"/>
    </row>
    <row r="573">
      <c r="D573" s="56"/>
    </row>
    <row r="574">
      <c r="D574" s="56"/>
    </row>
    <row r="575">
      <c r="D575" s="56"/>
    </row>
    <row r="576">
      <c r="D576" s="56"/>
    </row>
    <row r="577">
      <c r="D577" s="56"/>
    </row>
    <row r="578">
      <c r="D578" s="56"/>
    </row>
    <row r="579">
      <c r="D579" s="56"/>
    </row>
    <row r="580">
      <c r="D580" s="56"/>
    </row>
    <row r="581">
      <c r="D581" s="56"/>
    </row>
    <row r="582">
      <c r="D582" s="56"/>
    </row>
    <row r="583">
      <c r="D583" s="56"/>
    </row>
    <row r="584">
      <c r="D584" s="56"/>
    </row>
    <row r="585">
      <c r="D585" s="56"/>
    </row>
    <row r="586">
      <c r="D586" s="56"/>
    </row>
    <row r="587">
      <c r="D587" s="56"/>
    </row>
    <row r="588">
      <c r="D588" s="56"/>
    </row>
    <row r="589">
      <c r="D589" s="56"/>
    </row>
    <row r="590">
      <c r="D590" s="56"/>
    </row>
    <row r="591">
      <c r="D591" s="56"/>
    </row>
    <row r="592">
      <c r="D592" s="56"/>
    </row>
    <row r="593">
      <c r="D593" s="56"/>
    </row>
    <row r="594">
      <c r="D594" s="56"/>
    </row>
    <row r="595">
      <c r="D595" s="56"/>
    </row>
    <row r="596">
      <c r="D596" s="56"/>
    </row>
    <row r="597">
      <c r="D597" s="56"/>
    </row>
    <row r="598">
      <c r="D598" s="56"/>
    </row>
    <row r="599">
      <c r="D599" s="56"/>
    </row>
    <row r="600">
      <c r="D600" s="56"/>
    </row>
    <row r="601">
      <c r="D601" s="56"/>
    </row>
    <row r="602">
      <c r="D602" s="56"/>
    </row>
    <row r="603">
      <c r="D603" s="56"/>
    </row>
    <row r="604">
      <c r="D604" s="56"/>
    </row>
    <row r="605">
      <c r="D605" s="56"/>
    </row>
    <row r="606">
      <c r="D606" s="56"/>
    </row>
    <row r="607">
      <c r="D607" s="56"/>
    </row>
    <row r="608">
      <c r="D608" s="56"/>
    </row>
    <row r="609">
      <c r="D609" s="56"/>
    </row>
    <row r="610">
      <c r="D610" s="56"/>
    </row>
    <row r="611">
      <c r="D611" s="56"/>
    </row>
    <row r="612">
      <c r="D612" s="56"/>
    </row>
    <row r="613">
      <c r="D613" s="56"/>
    </row>
    <row r="614">
      <c r="D614" s="56"/>
    </row>
    <row r="615">
      <c r="D615" s="56"/>
    </row>
    <row r="616">
      <c r="D616" s="56"/>
    </row>
    <row r="617">
      <c r="D617" s="56"/>
    </row>
    <row r="618">
      <c r="D618" s="56"/>
    </row>
    <row r="619">
      <c r="D619" s="56"/>
    </row>
    <row r="620">
      <c r="D620" s="56"/>
    </row>
    <row r="621">
      <c r="D621" s="56"/>
    </row>
    <row r="622">
      <c r="D622" s="56"/>
    </row>
    <row r="623">
      <c r="D623" s="56"/>
    </row>
    <row r="624">
      <c r="D624" s="56"/>
    </row>
    <row r="625">
      <c r="D625" s="56"/>
    </row>
    <row r="626">
      <c r="D626" s="56"/>
    </row>
    <row r="627">
      <c r="D627" s="56"/>
    </row>
    <row r="628">
      <c r="D628" s="56"/>
    </row>
    <row r="629">
      <c r="D629" s="56"/>
    </row>
    <row r="630">
      <c r="D630" s="56"/>
    </row>
    <row r="631">
      <c r="D631" s="56"/>
    </row>
    <row r="632">
      <c r="D632" s="56"/>
    </row>
    <row r="633">
      <c r="D633" s="56"/>
    </row>
    <row r="634">
      <c r="D634" s="56"/>
    </row>
    <row r="635">
      <c r="D635" s="56"/>
    </row>
    <row r="636">
      <c r="D636" s="56"/>
    </row>
    <row r="637">
      <c r="D637" s="56"/>
    </row>
    <row r="638">
      <c r="D638" s="56"/>
    </row>
    <row r="639">
      <c r="D639" s="56"/>
    </row>
    <row r="640">
      <c r="D640" s="56"/>
    </row>
    <row r="641">
      <c r="D641" s="56"/>
    </row>
    <row r="642">
      <c r="D642" s="56"/>
    </row>
    <row r="643">
      <c r="D643" s="56"/>
    </row>
    <row r="644">
      <c r="D644" s="56"/>
    </row>
    <row r="645">
      <c r="D645" s="56"/>
    </row>
    <row r="646">
      <c r="D646" s="56"/>
    </row>
    <row r="647">
      <c r="D647" s="56"/>
    </row>
    <row r="648">
      <c r="D648" s="56"/>
    </row>
    <row r="649">
      <c r="D649" s="56"/>
    </row>
    <row r="650">
      <c r="D650" s="56"/>
    </row>
    <row r="651">
      <c r="D651" s="56"/>
    </row>
    <row r="652">
      <c r="D652" s="56"/>
    </row>
    <row r="653">
      <c r="D653" s="56"/>
    </row>
    <row r="654">
      <c r="D654" s="56"/>
    </row>
    <row r="655">
      <c r="D655" s="56"/>
    </row>
    <row r="656">
      <c r="D656" s="56"/>
    </row>
    <row r="657">
      <c r="D657" s="56"/>
    </row>
    <row r="658">
      <c r="D658" s="56"/>
    </row>
    <row r="659">
      <c r="D659" s="56"/>
    </row>
    <row r="660">
      <c r="D660" s="56"/>
    </row>
    <row r="661">
      <c r="D661" s="56"/>
    </row>
    <row r="662">
      <c r="D662" s="56"/>
    </row>
    <row r="663">
      <c r="D663" s="56"/>
    </row>
    <row r="664">
      <c r="D664" s="56"/>
    </row>
    <row r="665">
      <c r="D665" s="56"/>
    </row>
    <row r="666">
      <c r="D666" s="56"/>
    </row>
    <row r="667">
      <c r="D667" s="56"/>
    </row>
    <row r="668">
      <c r="D668" s="56"/>
    </row>
    <row r="669">
      <c r="D669" s="56"/>
    </row>
    <row r="670">
      <c r="D670" s="56"/>
    </row>
    <row r="671">
      <c r="D671" s="56"/>
    </row>
    <row r="672">
      <c r="D672" s="56"/>
    </row>
    <row r="673">
      <c r="D673" s="56"/>
    </row>
    <row r="674">
      <c r="D674" s="56"/>
    </row>
    <row r="675">
      <c r="D675" s="56"/>
    </row>
    <row r="676">
      <c r="D676" s="56"/>
    </row>
    <row r="677">
      <c r="D677" s="56"/>
    </row>
    <row r="678">
      <c r="D678" s="56"/>
    </row>
    <row r="679">
      <c r="D679" s="56"/>
    </row>
    <row r="680">
      <c r="D680" s="56"/>
    </row>
    <row r="681">
      <c r="D681" s="56"/>
    </row>
    <row r="682">
      <c r="D682" s="56"/>
    </row>
    <row r="683">
      <c r="D683" s="56"/>
    </row>
    <row r="684">
      <c r="D684" s="56"/>
    </row>
    <row r="685">
      <c r="D685" s="56"/>
    </row>
    <row r="686">
      <c r="D686" s="56"/>
    </row>
    <row r="687">
      <c r="D687" s="56"/>
    </row>
    <row r="688">
      <c r="D688" s="56"/>
    </row>
    <row r="689">
      <c r="D689" s="56"/>
    </row>
    <row r="690">
      <c r="D690" s="56"/>
    </row>
    <row r="691">
      <c r="D691" s="56"/>
    </row>
    <row r="692">
      <c r="D692" s="56"/>
    </row>
    <row r="693">
      <c r="D693" s="56"/>
    </row>
    <row r="694">
      <c r="D694" s="56"/>
    </row>
    <row r="695">
      <c r="D695" s="56"/>
    </row>
    <row r="696">
      <c r="D696" s="56"/>
    </row>
    <row r="697">
      <c r="D697" s="56"/>
    </row>
    <row r="698">
      <c r="D698" s="56"/>
    </row>
    <row r="699">
      <c r="D699" s="56"/>
    </row>
    <row r="700">
      <c r="D700" s="56"/>
    </row>
    <row r="701">
      <c r="D701" s="56"/>
    </row>
    <row r="702">
      <c r="D702" s="56"/>
    </row>
    <row r="703">
      <c r="D703" s="56"/>
    </row>
    <row r="704">
      <c r="D704" s="56"/>
    </row>
    <row r="705">
      <c r="D705" s="56"/>
    </row>
    <row r="706">
      <c r="D706" s="56"/>
    </row>
    <row r="707">
      <c r="D707" s="56"/>
    </row>
    <row r="708">
      <c r="D708" s="56"/>
    </row>
    <row r="709">
      <c r="D709" s="56"/>
    </row>
    <row r="710">
      <c r="D710" s="56"/>
    </row>
    <row r="711">
      <c r="D711" s="56"/>
    </row>
    <row r="712">
      <c r="D712" s="56"/>
    </row>
    <row r="713">
      <c r="D713" s="56"/>
    </row>
    <row r="714">
      <c r="D714" s="56"/>
    </row>
    <row r="715">
      <c r="D715" s="56"/>
    </row>
    <row r="716">
      <c r="D716" s="56"/>
    </row>
    <row r="717">
      <c r="D717" s="56"/>
    </row>
    <row r="718">
      <c r="D718" s="56"/>
    </row>
    <row r="719">
      <c r="D719" s="56"/>
    </row>
    <row r="720">
      <c r="D720" s="56"/>
    </row>
    <row r="721">
      <c r="D721" s="56"/>
    </row>
    <row r="722">
      <c r="D722" s="56"/>
    </row>
    <row r="723">
      <c r="D723" s="56"/>
    </row>
    <row r="724">
      <c r="D724" s="56"/>
    </row>
    <row r="725">
      <c r="D725" s="56"/>
    </row>
    <row r="726">
      <c r="D726" s="56"/>
    </row>
    <row r="727">
      <c r="D727" s="56"/>
    </row>
    <row r="728">
      <c r="D728" s="56"/>
    </row>
    <row r="729">
      <c r="D729" s="56"/>
    </row>
    <row r="730">
      <c r="D730" s="56"/>
    </row>
    <row r="731">
      <c r="D731" s="56"/>
    </row>
    <row r="732">
      <c r="D732" s="56"/>
    </row>
    <row r="733">
      <c r="D733" s="56"/>
    </row>
    <row r="734">
      <c r="D734" s="56"/>
    </row>
    <row r="735">
      <c r="D735" s="56"/>
    </row>
    <row r="736">
      <c r="D736" s="56"/>
    </row>
    <row r="737">
      <c r="D737" s="56"/>
    </row>
    <row r="738">
      <c r="D738" s="56"/>
    </row>
    <row r="739">
      <c r="D739" s="56"/>
    </row>
    <row r="740">
      <c r="D740" s="56"/>
    </row>
    <row r="741">
      <c r="D741" s="56"/>
    </row>
    <row r="742">
      <c r="D742" s="56"/>
    </row>
    <row r="743">
      <c r="D743" s="56"/>
    </row>
    <row r="744">
      <c r="D744" s="56"/>
    </row>
    <row r="745">
      <c r="D745" s="56"/>
    </row>
    <row r="746">
      <c r="D746" s="56"/>
    </row>
    <row r="747">
      <c r="D747" s="56"/>
    </row>
    <row r="748">
      <c r="D748" s="56"/>
    </row>
    <row r="749">
      <c r="D749" s="56"/>
    </row>
    <row r="750">
      <c r="D750" s="56"/>
    </row>
    <row r="751">
      <c r="D751" s="56"/>
    </row>
    <row r="752">
      <c r="D752" s="56"/>
    </row>
    <row r="753">
      <c r="D753" s="56"/>
    </row>
    <row r="754">
      <c r="D754" s="56"/>
    </row>
    <row r="755">
      <c r="D755" s="56"/>
    </row>
    <row r="756">
      <c r="D756" s="56"/>
    </row>
    <row r="757">
      <c r="D757" s="56"/>
    </row>
    <row r="758">
      <c r="D758" s="56"/>
    </row>
    <row r="759">
      <c r="D759" s="56"/>
    </row>
    <row r="760">
      <c r="D760" s="56"/>
    </row>
    <row r="761">
      <c r="D761" s="56"/>
    </row>
    <row r="762">
      <c r="D762" s="56"/>
    </row>
    <row r="763">
      <c r="D763" s="56"/>
    </row>
    <row r="764">
      <c r="D764" s="56"/>
    </row>
    <row r="765">
      <c r="D765" s="56"/>
    </row>
    <row r="766">
      <c r="D766" s="56"/>
    </row>
    <row r="767">
      <c r="D767" s="56"/>
    </row>
    <row r="768">
      <c r="D768" s="56"/>
    </row>
    <row r="769">
      <c r="D769" s="56"/>
    </row>
    <row r="770">
      <c r="D770" s="56"/>
    </row>
    <row r="771">
      <c r="D771" s="56"/>
    </row>
    <row r="772">
      <c r="D772" s="56"/>
    </row>
    <row r="773">
      <c r="D773" s="56"/>
    </row>
    <row r="774">
      <c r="D774" s="56"/>
    </row>
    <row r="775">
      <c r="D775" s="56"/>
    </row>
    <row r="776">
      <c r="D776" s="56"/>
    </row>
    <row r="777">
      <c r="D777" s="56"/>
    </row>
    <row r="778">
      <c r="D778" s="56"/>
    </row>
    <row r="779">
      <c r="D779" s="56"/>
    </row>
    <row r="780">
      <c r="D780" s="56"/>
    </row>
    <row r="781">
      <c r="D781" s="56"/>
    </row>
    <row r="782">
      <c r="D782" s="56"/>
    </row>
    <row r="783">
      <c r="D783" s="56"/>
    </row>
    <row r="784">
      <c r="D784" s="56"/>
    </row>
    <row r="785">
      <c r="D785" s="56"/>
    </row>
    <row r="786">
      <c r="D786" s="56"/>
    </row>
    <row r="787">
      <c r="D787" s="56"/>
    </row>
    <row r="788">
      <c r="D788" s="56"/>
    </row>
    <row r="789">
      <c r="D789" s="56"/>
    </row>
    <row r="790">
      <c r="D790" s="56"/>
    </row>
    <row r="791">
      <c r="D791" s="56"/>
    </row>
    <row r="792">
      <c r="D792" s="56"/>
    </row>
    <row r="793">
      <c r="D793" s="56"/>
    </row>
    <row r="794">
      <c r="D794" s="56"/>
    </row>
    <row r="795">
      <c r="D795" s="56"/>
    </row>
    <row r="796">
      <c r="D796" s="56"/>
    </row>
    <row r="797">
      <c r="D797" s="56"/>
    </row>
    <row r="798">
      <c r="D798" s="56"/>
    </row>
    <row r="799">
      <c r="D799" s="56"/>
    </row>
    <row r="800">
      <c r="D800" s="56"/>
    </row>
    <row r="801">
      <c r="D801" s="56"/>
    </row>
    <row r="802">
      <c r="D802" s="56"/>
    </row>
    <row r="803">
      <c r="D803" s="56"/>
    </row>
    <row r="804">
      <c r="D804" s="56"/>
    </row>
    <row r="805">
      <c r="D805" s="56"/>
    </row>
    <row r="806">
      <c r="D806" s="56"/>
    </row>
    <row r="807">
      <c r="D807" s="56"/>
    </row>
    <row r="808">
      <c r="D808" s="56"/>
    </row>
    <row r="809">
      <c r="D809" s="56"/>
    </row>
    <row r="810">
      <c r="D810" s="56"/>
    </row>
    <row r="811">
      <c r="D811" s="56"/>
    </row>
    <row r="812">
      <c r="D812" s="56"/>
    </row>
    <row r="813">
      <c r="D813" s="56"/>
    </row>
    <row r="814">
      <c r="D814" s="56"/>
    </row>
    <row r="815">
      <c r="D815" s="56"/>
    </row>
    <row r="816">
      <c r="D816" s="56"/>
    </row>
    <row r="817">
      <c r="D817" s="56"/>
    </row>
    <row r="818">
      <c r="D818" s="56"/>
    </row>
    <row r="819">
      <c r="D819" s="56"/>
    </row>
    <row r="820">
      <c r="D820" s="56"/>
    </row>
    <row r="821">
      <c r="D821" s="56"/>
    </row>
    <row r="822">
      <c r="D822" s="56"/>
    </row>
    <row r="823">
      <c r="D823" s="56"/>
    </row>
    <row r="824">
      <c r="D824" s="56"/>
    </row>
    <row r="825">
      <c r="D825" s="56"/>
    </row>
    <row r="826">
      <c r="D826" s="56"/>
    </row>
    <row r="827">
      <c r="D827" s="56"/>
    </row>
    <row r="828">
      <c r="D828" s="56"/>
    </row>
    <row r="829">
      <c r="D829" s="56"/>
    </row>
    <row r="830">
      <c r="D830" s="56"/>
    </row>
    <row r="831">
      <c r="D831" s="56"/>
    </row>
    <row r="832">
      <c r="D832" s="56"/>
    </row>
    <row r="833">
      <c r="D833" s="56"/>
    </row>
    <row r="834">
      <c r="D834" s="56"/>
    </row>
    <row r="835">
      <c r="D835" s="56"/>
    </row>
    <row r="836">
      <c r="D836" s="56"/>
    </row>
    <row r="837">
      <c r="D837" s="56"/>
    </row>
    <row r="838">
      <c r="D838" s="56"/>
    </row>
    <row r="839">
      <c r="D839" s="56"/>
    </row>
    <row r="840">
      <c r="D840" s="56"/>
    </row>
    <row r="841">
      <c r="D841" s="56"/>
    </row>
    <row r="842">
      <c r="D842" s="56"/>
    </row>
    <row r="843">
      <c r="D843" s="56"/>
    </row>
    <row r="844">
      <c r="D844" s="56"/>
    </row>
    <row r="845">
      <c r="D845" s="56"/>
    </row>
    <row r="846">
      <c r="D846" s="56"/>
    </row>
    <row r="847">
      <c r="D847" s="56"/>
    </row>
    <row r="848">
      <c r="D848" s="56"/>
    </row>
    <row r="849">
      <c r="D849" s="56"/>
    </row>
    <row r="850">
      <c r="D850" s="56"/>
    </row>
    <row r="851">
      <c r="D851" s="56"/>
    </row>
    <row r="852">
      <c r="D852" s="56"/>
    </row>
    <row r="853">
      <c r="D853" s="56"/>
    </row>
    <row r="854">
      <c r="D854" s="56"/>
    </row>
    <row r="855">
      <c r="D855" s="56"/>
    </row>
    <row r="856">
      <c r="D856" s="56"/>
    </row>
    <row r="857">
      <c r="D857" s="56"/>
    </row>
    <row r="858">
      <c r="D858" s="56"/>
    </row>
    <row r="859">
      <c r="D859" s="56"/>
    </row>
    <row r="860">
      <c r="D860" s="56"/>
    </row>
    <row r="861">
      <c r="D861" s="56"/>
    </row>
    <row r="862">
      <c r="D862" s="56"/>
    </row>
    <row r="863">
      <c r="D863" s="56"/>
    </row>
    <row r="864">
      <c r="D864" s="56"/>
    </row>
    <row r="865">
      <c r="D865" s="56"/>
    </row>
    <row r="866">
      <c r="D866" s="56"/>
    </row>
    <row r="867">
      <c r="D867" s="56"/>
    </row>
    <row r="868">
      <c r="D868" s="56"/>
    </row>
    <row r="869">
      <c r="D869" s="56"/>
    </row>
    <row r="870">
      <c r="D870" s="56"/>
    </row>
    <row r="871">
      <c r="D871" s="56"/>
    </row>
    <row r="872">
      <c r="D872" s="56"/>
    </row>
    <row r="873">
      <c r="D873" s="56"/>
    </row>
    <row r="874">
      <c r="D874" s="56"/>
    </row>
    <row r="875">
      <c r="D875" s="56"/>
    </row>
    <row r="876">
      <c r="D876" s="56"/>
    </row>
    <row r="877">
      <c r="D877" s="56"/>
    </row>
    <row r="878">
      <c r="D878" s="56"/>
    </row>
    <row r="879">
      <c r="D879" s="56"/>
    </row>
    <row r="880">
      <c r="D880" s="56"/>
    </row>
    <row r="881">
      <c r="D881" s="56"/>
    </row>
    <row r="882">
      <c r="D882" s="56"/>
    </row>
    <row r="883">
      <c r="D883" s="56"/>
    </row>
    <row r="884">
      <c r="D884" s="56"/>
    </row>
    <row r="885">
      <c r="D885" s="56"/>
    </row>
    <row r="886">
      <c r="D886" s="56"/>
    </row>
    <row r="887">
      <c r="D887" s="56"/>
    </row>
    <row r="888">
      <c r="D888" s="56"/>
    </row>
    <row r="889">
      <c r="D889" s="56"/>
    </row>
    <row r="890">
      <c r="D890" s="56"/>
    </row>
    <row r="891">
      <c r="D891" s="56"/>
    </row>
    <row r="892">
      <c r="D892" s="56"/>
    </row>
    <row r="893">
      <c r="D893" s="56"/>
    </row>
    <row r="894">
      <c r="D894" s="56"/>
    </row>
    <row r="895">
      <c r="D895" s="56"/>
    </row>
    <row r="896">
      <c r="D896" s="56"/>
    </row>
    <row r="897">
      <c r="D897" s="56"/>
    </row>
    <row r="898">
      <c r="D898" s="56"/>
    </row>
    <row r="899">
      <c r="D899" s="56"/>
    </row>
    <row r="900">
      <c r="D900" s="56"/>
    </row>
    <row r="901">
      <c r="D901" s="56"/>
    </row>
    <row r="902">
      <c r="D902" s="56"/>
    </row>
    <row r="903">
      <c r="D903" s="56"/>
    </row>
    <row r="904">
      <c r="D904" s="56"/>
    </row>
    <row r="905">
      <c r="D905" s="56"/>
    </row>
    <row r="906">
      <c r="D906" s="56"/>
    </row>
    <row r="907">
      <c r="D907" s="56"/>
    </row>
    <row r="908">
      <c r="D908" s="56"/>
    </row>
    <row r="909">
      <c r="D909" s="56"/>
    </row>
    <row r="910">
      <c r="D910" s="56"/>
    </row>
    <row r="911">
      <c r="D911" s="56"/>
    </row>
    <row r="912">
      <c r="D912" s="56"/>
    </row>
    <row r="913">
      <c r="D913" s="56"/>
    </row>
    <row r="914">
      <c r="D914" s="56"/>
    </row>
    <row r="915">
      <c r="D915" s="56"/>
    </row>
    <row r="916">
      <c r="D916" s="56"/>
    </row>
    <row r="917">
      <c r="D917" s="56"/>
    </row>
    <row r="918">
      <c r="D918" s="56"/>
    </row>
    <row r="919">
      <c r="D919" s="56"/>
    </row>
    <row r="920">
      <c r="D920" s="56"/>
    </row>
    <row r="921">
      <c r="D921" s="56"/>
    </row>
    <row r="922">
      <c r="D922" s="56"/>
    </row>
    <row r="923">
      <c r="D923" s="56"/>
    </row>
    <row r="924">
      <c r="D924" s="56"/>
    </row>
    <row r="925">
      <c r="D925" s="56"/>
    </row>
    <row r="926">
      <c r="D926" s="56"/>
    </row>
    <row r="927">
      <c r="D927" s="56"/>
    </row>
    <row r="928">
      <c r="D928" s="56"/>
    </row>
    <row r="929">
      <c r="D929" s="56"/>
    </row>
    <row r="930">
      <c r="D930" s="56"/>
    </row>
    <row r="931">
      <c r="D931" s="56"/>
    </row>
    <row r="932">
      <c r="D932" s="56"/>
    </row>
    <row r="933">
      <c r="D933" s="56"/>
    </row>
    <row r="934">
      <c r="D934" s="56"/>
    </row>
    <row r="935">
      <c r="D935" s="56"/>
    </row>
    <row r="936">
      <c r="D936" s="56"/>
    </row>
    <row r="937">
      <c r="D937" s="56"/>
    </row>
    <row r="938">
      <c r="D938" s="56"/>
    </row>
    <row r="939">
      <c r="D939" s="56"/>
    </row>
    <row r="940">
      <c r="D940" s="56"/>
    </row>
    <row r="941">
      <c r="D941" s="56"/>
    </row>
    <row r="942">
      <c r="D942" s="56"/>
    </row>
    <row r="943">
      <c r="D943" s="56"/>
    </row>
    <row r="944">
      <c r="D944" s="56"/>
    </row>
    <row r="945">
      <c r="D945" s="56"/>
    </row>
    <row r="946">
      <c r="D946" s="56"/>
    </row>
    <row r="947">
      <c r="D947" s="56"/>
    </row>
    <row r="948">
      <c r="D948" s="56"/>
    </row>
    <row r="949">
      <c r="D949" s="56"/>
    </row>
    <row r="950">
      <c r="D950" s="56"/>
    </row>
    <row r="951">
      <c r="D951" s="56"/>
    </row>
    <row r="952">
      <c r="D952" s="56"/>
    </row>
    <row r="953">
      <c r="D953" s="56"/>
    </row>
    <row r="954">
      <c r="D954" s="56"/>
    </row>
    <row r="955">
      <c r="D955" s="56"/>
    </row>
    <row r="956">
      <c r="D956" s="56"/>
    </row>
    <row r="957">
      <c r="D957" s="56"/>
    </row>
    <row r="958">
      <c r="D958" s="56"/>
    </row>
    <row r="959">
      <c r="D959" s="56"/>
    </row>
    <row r="960">
      <c r="D960" s="56"/>
    </row>
    <row r="961">
      <c r="D961" s="56"/>
    </row>
    <row r="962">
      <c r="D962" s="56"/>
    </row>
    <row r="963">
      <c r="D963" s="56"/>
    </row>
    <row r="964">
      <c r="D964" s="56"/>
    </row>
    <row r="965">
      <c r="D965" s="56"/>
    </row>
    <row r="966">
      <c r="D966" s="56"/>
    </row>
    <row r="967">
      <c r="D967" s="56"/>
    </row>
    <row r="968">
      <c r="D968" s="56"/>
    </row>
    <row r="969">
      <c r="D969" s="56"/>
    </row>
    <row r="970">
      <c r="D970" s="56"/>
    </row>
    <row r="971">
      <c r="D971" s="56"/>
    </row>
    <row r="972">
      <c r="D972" s="56"/>
    </row>
    <row r="973">
      <c r="D973" s="56"/>
    </row>
    <row r="974">
      <c r="D974" s="56"/>
    </row>
    <row r="975">
      <c r="D975" s="56"/>
    </row>
    <row r="976">
      <c r="D976" s="56"/>
    </row>
    <row r="977">
      <c r="D977" s="56"/>
    </row>
    <row r="978">
      <c r="D978" s="56"/>
    </row>
    <row r="979">
      <c r="D979" s="56"/>
    </row>
    <row r="980">
      <c r="D980" s="56"/>
    </row>
    <row r="981">
      <c r="D981" s="56"/>
    </row>
    <row r="982">
      <c r="D982" s="56"/>
    </row>
    <row r="983">
      <c r="D983" s="56"/>
    </row>
    <row r="984">
      <c r="D984" s="56"/>
    </row>
    <row r="985">
      <c r="D985" s="56"/>
    </row>
    <row r="986">
      <c r="D986" s="56"/>
    </row>
    <row r="987">
      <c r="D987" s="56"/>
    </row>
    <row r="988">
      <c r="D988" s="56"/>
    </row>
    <row r="989">
      <c r="D989" s="56"/>
    </row>
    <row r="990">
      <c r="D990" s="56"/>
    </row>
    <row r="991">
      <c r="D991" s="56"/>
    </row>
    <row r="992">
      <c r="D992" s="56"/>
    </row>
    <row r="993">
      <c r="D993" s="56"/>
    </row>
    <row r="994">
      <c r="D994" s="56"/>
    </row>
    <row r="995">
      <c r="D995" s="56"/>
    </row>
    <row r="996">
      <c r="D996" s="56"/>
    </row>
    <row r="997">
      <c r="D997" s="56"/>
    </row>
    <row r="998">
      <c r="D998" s="56"/>
    </row>
    <row r="999">
      <c r="D999" s="56"/>
    </row>
    <row r="1000">
      <c r="D1000" s="56"/>
    </row>
    <row r="1001">
      <c r="D1001" s="56"/>
    </row>
    <row r="1002">
      <c r="D1002" s="56"/>
    </row>
    <row r="1003">
      <c r="D1003" s="56"/>
    </row>
  </sheetData>
  <dataValidations>
    <dataValidation type="list" allowBlank="1" sqref="H2:H45">
      <formula1>Weapons</formula1>
    </dataValidation>
    <dataValidation type="list" allowBlank="1" sqref="K2:L45">
      <formula1>Skills</formula1>
    </dataValidation>
    <dataValidation type="list" allowBlank="1" sqref="A2:A45">
      <formula1>Factions</formula1>
    </dataValidation>
    <dataValidation type="list" allowBlank="1" sqref="M2:N45">
      <formula1>Skills</formula1>
    </dataValidation>
    <dataValidation type="list" allowBlank="1" sqref="I2:I45">
      <formula1>Armour</formula1>
    </dataValidation>
    <dataValidation type="list" allowBlank="1" sqref="D2:D45">
      <formula1>"1,2,3"</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3</v>
      </c>
    </row>
    <row r="2">
      <c r="A2" s="2" t="s">
        <v>4</v>
      </c>
      <c r="B2" s="2" t="s">
        <v>6</v>
      </c>
      <c r="C2" s="2" t="s">
        <v>8</v>
      </c>
    </row>
    <row r="3">
      <c r="A3" s="2" t="s">
        <v>11</v>
      </c>
      <c r="B3" s="2" t="s">
        <v>13</v>
      </c>
      <c r="C3" s="2" t="s">
        <v>15</v>
      </c>
    </row>
    <row r="4">
      <c r="A4" s="2" t="s">
        <v>16</v>
      </c>
      <c r="B4" s="2" t="s">
        <v>17</v>
      </c>
      <c r="C4" s="2" t="s">
        <v>18</v>
      </c>
    </row>
    <row r="5">
      <c r="A5" s="2" t="s">
        <v>19</v>
      </c>
      <c r="B5" s="2" t="s">
        <v>21</v>
      </c>
      <c r="C5" s="2" t="s">
        <v>22</v>
      </c>
    </row>
    <row r="6">
      <c r="A6" s="2" t="s">
        <v>20</v>
      </c>
      <c r="C6" s="2" t="s">
        <v>30</v>
      </c>
    </row>
    <row r="7">
      <c r="A7" s="2" t="s">
        <v>8</v>
      </c>
      <c r="C7" s="2" t="s">
        <v>2</v>
      </c>
    </row>
    <row r="8">
      <c r="A8" s="2" t="s">
        <v>35</v>
      </c>
      <c r="C8" s="2" t="s">
        <v>38</v>
      </c>
    </row>
    <row r="9">
      <c r="A9" s="2" t="s">
        <v>41</v>
      </c>
      <c r="C9" s="2" t="s">
        <v>43</v>
      </c>
    </row>
    <row r="10">
      <c r="C10" s="2" t="s">
        <v>45</v>
      </c>
    </row>
    <row r="11">
      <c r="C11" s="2" t="s">
        <v>47</v>
      </c>
    </row>
    <row r="12">
      <c r="C12" s="2" t="s">
        <v>49</v>
      </c>
    </row>
    <row r="13">
      <c r="C13" s="2" t="s">
        <v>51</v>
      </c>
    </row>
    <row r="14">
      <c r="C14" s="2" t="s">
        <v>52</v>
      </c>
    </row>
    <row r="15">
      <c r="C15" s="2" t="s">
        <v>53</v>
      </c>
    </row>
    <row r="16">
      <c r="C16" s="2" t="s">
        <v>54</v>
      </c>
    </row>
    <row r="17">
      <c r="C17" s="2" t="s">
        <v>56</v>
      </c>
    </row>
    <row r="18">
      <c r="C18" s="2" t="s">
        <v>58</v>
      </c>
    </row>
    <row r="19">
      <c r="C19" s="2">
        <v>3.0</v>
      </c>
    </row>
    <row r="20">
      <c r="C20" s="2">
        <v>4.0</v>
      </c>
    </row>
    <row r="21">
      <c r="C21" s="2">
        <v>5.0</v>
      </c>
    </row>
    <row r="22">
      <c r="C22" s="2">
        <v>6.0</v>
      </c>
    </row>
    <row r="23">
      <c r="C23" s="2">
        <v>7.0</v>
      </c>
    </row>
    <row r="24">
      <c r="C24" s="2" t="s">
        <v>60</v>
      </c>
    </row>
    <row r="25">
      <c r="C25" s="2" t="s">
        <v>61</v>
      </c>
    </row>
    <row r="26">
      <c r="C26" s="2" t="s">
        <v>62</v>
      </c>
    </row>
    <row r="27">
      <c r="C27" s="2" t="s">
        <v>63</v>
      </c>
    </row>
    <row r="28">
      <c r="C28" s="2" t="s">
        <v>64</v>
      </c>
    </row>
    <row r="29">
      <c r="C29" s="2" t="s">
        <v>65</v>
      </c>
    </row>
    <row r="30">
      <c r="C30" s="2" t="s">
        <v>66</v>
      </c>
    </row>
    <row r="31">
      <c r="C31" s="2" t="s">
        <v>67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20.88"/>
  </cols>
  <sheetData>
    <row r="1">
      <c r="A1" s="2" t="s">
        <v>1</v>
      </c>
      <c r="B1" s="2" t="s">
        <v>5</v>
      </c>
      <c r="C1" s="2" t="s">
        <v>7</v>
      </c>
      <c r="D1" s="2" t="s">
        <v>9</v>
      </c>
      <c r="E1" s="2" t="s">
        <v>10</v>
      </c>
    </row>
    <row r="2">
      <c r="A2" s="2" t="s">
        <v>12</v>
      </c>
      <c r="B2" s="2" t="s">
        <v>14</v>
      </c>
      <c r="C2" s="2">
        <v>1.0</v>
      </c>
      <c r="D2" s="2">
        <v>1.0</v>
      </c>
      <c r="E2" s="2">
        <v>1.0</v>
      </c>
    </row>
    <row r="3">
      <c r="A3" s="2" t="s">
        <v>20</v>
      </c>
      <c r="B3" s="2" t="s">
        <v>23</v>
      </c>
      <c r="C3" s="2">
        <v>1.0</v>
      </c>
      <c r="E3" s="2">
        <v>1.0</v>
      </c>
    </row>
    <row r="4">
      <c r="A4" s="2" t="s">
        <v>24</v>
      </c>
      <c r="B4" s="2" t="s">
        <v>25</v>
      </c>
    </row>
    <row r="5">
      <c r="A5" s="2" t="s">
        <v>16</v>
      </c>
      <c r="B5" s="2" t="s">
        <v>26</v>
      </c>
      <c r="C5" s="2">
        <v>1.0</v>
      </c>
    </row>
    <row r="6">
      <c r="A6" s="2" t="s">
        <v>11</v>
      </c>
      <c r="B6" s="2" t="s">
        <v>27</v>
      </c>
      <c r="E6" s="2">
        <v>1.0</v>
      </c>
    </row>
    <row r="7">
      <c r="A7" s="2" t="s">
        <v>28</v>
      </c>
      <c r="B7" s="2" t="s">
        <v>29</v>
      </c>
    </row>
    <row r="8">
      <c r="A8" s="2" t="s">
        <v>31</v>
      </c>
      <c r="C8" s="2">
        <v>1.0</v>
      </c>
    </row>
    <row r="9">
      <c r="A9" s="2" t="s">
        <v>32</v>
      </c>
      <c r="E9" s="2">
        <v>1.0</v>
      </c>
    </row>
    <row r="10">
      <c r="A10" s="2" t="s">
        <v>33</v>
      </c>
      <c r="B10" s="2" t="s">
        <v>34</v>
      </c>
      <c r="C10" s="2">
        <v>1.0</v>
      </c>
    </row>
    <row r="11">
      <c r="A11" s="2" t="s">
        <v>36</v>
      </c>
      <c r="B11" s="2" t="s">
        <v>37</v>
      </c>
      <c r="E11" s="2">
        <v>1.0</v>
      </c>
    </row>
    <row r="12">
      <c r="A12" s="2" t="s">
        <v>39</v>
      </c>
      <c r="B12" s="2" t="s">
        <v>40</v>
      </c>
      <c r="C12" s="2">
        <v>1.0</v>
      </c>
    </row>
    <row r="13">
      <c r="A13" s="2" t="s">
        <v>42</v>
      </c>
      <c r="E13" s="2">
        <v>1.0</v>
      </c>
    </row>
    <row r="15">
      <c r="A15" s="2" t="s">
        <v>44</v>
      </c>
      <c r="C15" s="2">
        <v>1.0</v>
      </c>
    </row>
    <row r="16">
      <c r="A16" s="2" t="s">
        <v>46</v>
      </c>
      <c r="C16" s="2">
        <v>1.0</v>
      </c>
    </row>
    <row r="17">
      <c r="A17" s="2" t="s">
        <v>48</v>
      </c>
      <c r="C17" s="2">
        <v>1.0</v>
      </c>
    </row>
    <row r="18">
      <c r="A18" s="2" t="s">
        <v>50</v>
      </c>
      <c r="D18" s="2">
        <v>1.0</v>
      </c>
    </row>
    <row r="19">
      <c r="D19" s="2">
        <v>1.0</v>
      </c>
    </row>
    <row r="20">
      <c r="D20" s="2">
        <v>1.0</v>
      </c>
    </row>
    <row r="21">
      <c r="A21" s="2" t="s">
        <v>55</v>
      </c>
      <c r="E21" s="2">
        <v>1.0</v>
      </c>
    </row>
    <row r="22">
      <c r="A22" s="2" t="s">
        <v>57</v>
      </c>
      <c r="E22" s="2">
        <v>1.0</v>
      </c>
    </row>
    <row r="23">
      <c r="A23" s="2" t="s">
        <v>59</v>
      </c>
      <c r="E23" s="2">
        <v>1.0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hidden="1" min="1" max="1" width="5.63"/>
    <col customWidth="1" min="3" max="3" width="7.13"/>
    <col customWidth="1" hidden="1" min="4" max="4" width="9.38"/>
    <col customWidth="1" min="5" max="33" width="7.0"/>
    <col customWidth="1" min="34" max="36" width="7.5"/>
    <col customWidth="1" min="37" max="37" width="8.75"/>
    <col customWidth="1" min="38" max="41" width="9.13"/>
    <col customWidth="1" min="42" max="42" width="8.88"/>
    <col customWidth="1" min="43" max="43" width="12.88"/>
    <col customWidth="1" min="44" max="44" width="14.25"/>
    <col customWidth="1" min="45" max="46" width="10.0"/>
    <col customWidth="1" min="47" max="47" width="18.38"/>
    <col customWidth="1" min="48" max="48" width="12.0"/>
    <col customWidth="1" min="49" max="49" width="11.88"/>
    <col customWidth="1" min="50" max="50" width="9.5"/>
  </cols>
  <sheetData>
    <row r="1">
      <c r="A1" s="17" t="s">
        <v>106</v>
      </c>
      <c r="D1" s="18"/>
      <c r="E1" s="19" t="s">
        <v>73</v>
      </c>
      <c r="AD1" s="19"/>
      <c r="AE1" s="19"/>
      <c r="AF1" s="19"/>
      <c r="AG1" s="20"/>
      <c r="AH1" s="21" t="s">
        <v>89</v>
      </c>
      <c r="AK1" s="22" t="s">
        <v>117</v>
      </c>
      <c r="AP1" s="23" t="s">
        <v>119</v>
      </c>
      <c r="AQ1" s="24"/>
      <c r="AR1" s="25" t="s">
        <v>96</v>
      </c>
      <c r="AV1" s="25"/>
      <c r="AW1" s="26" t="s">
        <v>95</v>
      </c>
      <c r="AX1" s="28" t="s">
        <v>125</v>
      </c>
      <c r="AY1" s="29"/>
      <c r="AZ1" s="29"/>
      <c r="BA1" s="29"/>
    </row>
    <row r="2">
      <c r="A2" s="17"/>
      <c r="B2" s="17"/>
      <c r="C2" s="31"/>
      <c r="D2" s="18"/>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20"/>
      <c r="AH2" s="21"/>
      <c r="AI2" s="21"/>
      <c r="AJ2" s="34"/>
      <c r="AK2" s="22"/>
      <c r="AL2" s="22"/>
      <c r="AM2" s="22"/>
      <c r="AN2" s="22"/>
      <c r="AO2" s="36"/>
      <c r="AP2" s="23"/>
      <c r="AQ2" s="37"/>
      <c r="AR2" s="25"/>
      <c r="AS2" s="25"/>
      <c r="AT2" s="25"/>
      <c r="AU2" s="38"/>
      <c r="AV2" s="38"/>
      <c r="AW2" s="26"/>
      <c r="AX2" s="28"/>
      <c r="AY2" s="29"/>
      <c r="AZ2" s="29"/>
      <c r="BA2" s="29"/>
    </row>
    <row r="3">
      <c r="A3" s="40"/>
      <c r="B3" s="40"/>
      <c r="C3" s="41"/>
      <c r="D3" s="42"/>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5"/>
      <c r="AH3" s="46"/>
      <c r="AI3" s="46"/>
      <c r="AJ3" s="47"/>
      <c r="AK3" s="48"/>
      <c r="AL3" s="48"/>
      <c r="AM3" s="48"/>
      <c r="AN3" s="48"/>
      <c r="AO3" s="49"/>
      <c r="AP3" s="50"/>
      <c r="AQ3" s="51"/>
      <c r="AR3" s="52"/>
      <c r="AS3" s="52"/>
      <c r="AT3" s="52"/>
      <c r="AU3" s="53"/>
      <c r="AV3" s="53"/>
      <c r="AW3" s="54"/>
      <c r="AX3" s="55"/>
      <c r="AY3" s="56"/>
      <c r="AZ3" s="56"/>
      <c r="BA3" s="56"/>
    </row>
    <row r="4" ht="22.5" customHeight="1">
      <c r="A4" s="58" t="s">
        <v>83</v>
      </c>
      <c r="B4" s="58" t="s">
        <v>68</v>
      </c>
      <c r="C4" s="59" t="s">
        <v>70</v>
      </c>
      <c r="D4" s="61" t="s">
        <v>141</v>
      </c>
      <c r="E4" s="63" t="s">
        <v>81</v>
      </c>
      <c r="F4" s="63" t="s">
        <v>142</v>
      </c>
      <c r="G4" s="63" t="s">
        <v>140</v>
      </c>
      <c r="H4" s="63" t="s">
        <v>143</v>
      </c>
      <c r="I4" s="63" t="s">
        <v>144</v>
      </c>
      <c r="J4" s="63" t="s">
        <v>145</v>
      </c>
      <c r="K4" s="63" t="s">
        <v>146</v>
      </c>
      <c r="L4" s="63" t="s">
        <v>148</v>
      </c>
      <c r="M4" s="65" t="s">
        <v>149</v>
      </c>
      <c r="N4" s="63" t="s">
        <v>151</v>
      </c>
      <c r="O4" s="63" t="s">
        <v>152</v>
      </c>
      <c r="P4" s="63" t="s">
        <v>154</v>
      </c>
      <c r="Q4" s="63" t="s">
        <v>156</v>
      </c>
      <c r="R4" s="63" t="s">
        <v>157</v>
      </c>
      <c r="S4" s="63" t="s">
        <v>158</v>
      </c>
      <c r="T4" s="65" t="s">
        <v>75</v>
      </c>
      <c r="U4" s="65" t="s">
        <v>159</v>
      </c>
      <c r="V4" s="65" t="s">
        <v>160</v>
      </c>
      <c r="W4" s="65" t="s">
        <v>161</v>
      </c>
      <c r="X4" s="65" t="s">
        <v>162</v>
      </c>
      <c r="Y4" s="65" t="s">
        <v>163</v>
      </c>
      <c r="Z4" s="65" t="s">
        <v>164</v>
      </c>
      <c r="AA4" s="65" t="s">
        <v>165</v>
      </c>
      <c r="AB4" s="63" t="s">
        <v>166</v>
      </c>
      <c r="AC4" s="63" t="s">
        <v>168</v>
      </c>
      <c r="AD4" s="65" t="s">
        <v>169</v>
      </c>
      <c r="AE4" s="65" t="s">
        <v>170</v>
      </c>
      <c r="AF4" s="65" t="s">
        <v>172</v>
      </c>
      <c r="AG4" s="70" t="s">
        <v>173</v>
      </c>
      <c r="AH4" s="71" t="s">
        <v>174</v>
      </c>
      <c r="AI4" s="71" t="s">
        <v>175</v>
      </c>
      <c r="AJ4" s="72" t="s">
        <v>176</v>
      </c>
      <c r="AK4" s="73" t="s">
        <v>177</v>
      </c>
      <c r="AL4" s="73" t="s">
        <v>178</v>
      </c>
      <c r="AM4" s="73" t="s">
        <v>179</v>
      </c>
      <c r="AN4" s="73" t="s">
        <v>180</v>
      </c>
      <c r="AO4" s="74" t="s">
        <v>181</v>
      </c>
      <c r="AP4" s="75" t="s">
        <v>182</v>
      </c>
      <c r="AQ4" s="77" t="s">
        <v>183</v>
      </c>
      <c r="AR4" s="78" t="s">
        <v>184</v>
      </c>
      <c r="AS4" s="78" t="s">
        <v>185</v>
      </c>
      <c r="AT4" s="78" t="s">
        <v>186</v>
      </c>
      <c r="AU4" s="79" t="s">
        <v>187</v>
      </c>
      <c r="AV4" s="79" t="s">
        <v>188</v>
      </c>
      <c r="AW4" s="80" t="s">
        <v>189</v>
      </c>
      <c r="AX4" s="81" t="s">
        <v>190</v>
      </c>
      <c r="AY4" s="56"/>
      <c r="AZ4" s="56"/>
      <c r="BA4" s="56"/>
    </row>
    <row r="5" ht="22.5" hidden="1" customHeight="1">
      <c r="A5" s="82" t="str">
        <f t="shared" ref="A5:A40" si="1">TEXT(FLOOR((ROW()-1) * 0.25,1), "00")</f>
        <v>01</v>
      </c>
      <c r="B5" s="44" t="str">
        <f>VLOOKUP(A5, Factions!A:B, 2, FALSE)</f>
        <v>Gobbo</v>
      </c>
      <c r="C5" s="83">
        <v>1.0</v>
      </c>
      <c r="D5" s="85">
        <f>IF($C5="All",COUNTIFS(Units!$E:$E, $B5),COUNTIFS(Units!$E:$E, $B5, Units!$I:$I, $C5)
)
</f>
        <v>6</v>
      </c>
      <c r="E5" s="87">
        <f>IF($C5="All",COUNTIFS(Units!$E:$E, $B5, Units!$G:$G, E$4),COUNTIFS(Units!$E:$E, $B5, Units!$G:$G, E$4, Units!$I:$I, $C5)
)
</f>
        <v>1</v>
      </c>
      <c r="F5" s="87">
        <f>IF($C5="All",COUNTIFS(Units!$E:$E, $B5, Units!$G:$G, F$4),COUNTIFS(Units!$E:$E, $B5, Units!$G:$G, F$4, Units!$I:$I, $C5)
)
</f>
        <v>1</v>
      </c>
      <c r="G5" s="87">
        <f>IF($C5="All",COUNTIFS(Units!$E:$E, $B5, Units!$G:$G, G$4),COUNTIFS(Units!$E:$E, $B5, Units!$G:$G, G$4, Units!$I:$I, $C5)
)
</f>
        <v>1</v>
      </c>
      <c r="H5" s="87">
        <f>IF($C5="All",COUNTIFS(Units!$E:$E, $B5, Units!$G:$G, H$4),COUNTIFS(Units!$E:$E, $B5, Units!$G:$G, H$4, Units!$I:$I, $C5)
)
</f>
        <v>1</v>
      </c>
      <c r="I5" s="87">
        <f>IF($C5="All",COUNTIFS(Units!$E:$E, $B5, Units!$G:$G, I$4),COUNTIFS(Units!$E:$E, $B5, Units!$G:$G, I$4, Units!$I:$I, $C5)
)
</f>
        <v>0</v>
      </c>
      <c r="J5" s="87">
        <f>IF($C5="All",COUNTIFS(Units!$E:$E, $B5, Units!$G:$G, J$4),COUNTIFS(Units!$E:$E, $B5, Units!$G:$G, J$4, Units!$I:$I, $C5)
)
</f>
        <v>0</v>
      </c>
      <c r="K5" s="87">
        <f>IF($C5="All",COUNTIFS(Units!$E:$E, $B5, Units!$G:$G, K$4),COUNTIFS(Units!$E:$E, $B5, Units!$G:$G, K$4, Units!$I:$I, $C5)
)
</f>
        <v>1</v>
      </c>
      <c r="L5" s="87">
        <f>IF($C5="All",COUNTIFS(Units!$E:$E, $B5, Units!$G:$G, L$4),COUNTIFS(Units!$E:$E, $B5, Units!$G:$G, L$4, Units!$I:$I, $C5)
)
</f>
        <v>0</v>
      </c>
      <c r="M5" s="87"/>
      <c r="N5" s="87">
        <f>IF($C5="All",COUNTIFS(Units!$E:$E, $B5, Units!$G:$G, N$4),COUNTIFS(Units!$E:$E, $B5, Units!$G:$G, N$4, Units!$I:$I, $C5)
)
</f>
        <v>0</v>
      </c>
      <c r="O5" s="87">
        <f>IF($C5="All",COUNTIFS(Units!$E:$E, $B5, Units!$G:$G, O$4),COUNTIFS(Units!$E:$E, $B5, Units!$G:$G, O$4, Units!$I:$I, $C5)
)
</f>
        <v>0</v>
      </c>
      <c r="P5" s="87">
        <f>IF($C5="All",COUNTIFS(Units!$E:$E, $B5, Units!$G:$G, P$4),COUNTIFS(Units!$E:$E, $B5, Units!$G:$G, P$4, Units!$I:$I, $C5)
)
</f>
        <v>0</v>
      </c>
      <c r="Q5" s="87">
        <f>IF($C5="All",COUNTIFS(Units!$E:$E, $B5, Units!$G:$G, Q$4),COUNTIFS(Units!$E:$E, $B5, Units!$G:$G, Q$4, Units!$I:$I, $C5)
)
</f>
        <v>0</v>
      </c>
      <c r="R5" s="87">
        <f>IF($C5="All",COUNTIFS(Units!$E:$E, $B5, Units!$G:$G, R$4),COUNTIFS(Units!$E:$E, $B5, Units!$G:$G, R$4, Units!$I:$I, $C5)
)
</f>
        <v>0</v>
      </c>
      <c r="S5" s="87">
        <f>IF($C5="All",COUNTIFS(Units!$E:$E, $B5, Units!$G:$G, S$4),COUNTIFS(Units!$E:$E, $B5, Units!$G:$G, S$4, Units!$I:$I, $C5)
)
</f>
        <v>0</v>
      </c>
      <c r="T5" s="87">
        <f>IF($C5="All",COUNTIFS(Units!$E:$E, $B5, Units!$G:$G, T$4),COUNTIFS(Units!$E:$E, $B5, Units!$G:$G, T$4, Units!$I:$I, $C5)
)
</f>
        <v>1</v>
      </c>
      <c r="U5" s="87">
        <f>IF($C5="All",COUNTIFS(Units!$E:$E, $B5, Units!$G:$G, U$4),COUNTIFS(Units!$E:$E, $B5, Units!$G:$G, U$4, Units!$I:$I, $C5)
)
</f>
        <v>0</v>
      </c>
      <c r="V5" s="87">
        <f>IF($C5="All",COUNTIFS(Units!$E:$E, $B5, Units!$G:$G, V$4),COUNTIFS(Units!$E:$E, $B5, Units!$G:$G, V$4, Units!$I:$I, $C5)
)
</f>
        <v>0</v>
      </c>
      <c r="W5" s="87">
        <f>IF($C5="All",COUNTIFS(Units!$E:$E, $B5, Units!$G:$G, W$4),COUNTIFS(Units!$E:$E, $B5, Units!$G:$G, W$4, Units!$I:$I, $C5)
)
</f>
        <v>0</v>
      </c>
      <c r="X5" s="87">
        <f>IF($C5="All",COUNTIFS(Units!$E:$E, $B5, Units!$G:$G, X$4),COUNTIFS(Units!$E:$E, $B5, Units!$G:$G, X$4, Units!$I:$I, $C5)
)
</f>
        <v>0</v>
      </c>
      <c r="Y5" s="87">
        <f>IF($C5="All",COUNTIFS(Units!$E:$E, $B5, Units!$G:$G, Y$4),COUNTIFS(Units!$E:$E, $B5, Units!$G:$G, Y$4, Units!$I:$I, $C5)
)
</f>
        <v>0</v>
      </c>
      <c r="Z5" s="87">
        <f>IF($C5="All",COUNTIFS(Units!$E:$E, $B5, Units!$G:$G, Z$4),COUNTIFS(Units!$E:$E, $B5, Units!$G:$G, Z$4, Units!$I:$I, $C5)
)
</f>
        <v>0</v>
      </c>
      <c r="AA5" s="87">
        <f>IF($C5="All",COUNTIFS(Units!$E:$E, $B5, Units!$G:$G, AA$4),COUNTIFS(Units!$E:$E, $B5, Units!$G:$G, AA$4, Units!$I:$I, $C5)
)
</f>
        <v>0</v>
      </c>
      <c r="AB5" s="87">
        <f>IF($C5="All",COUNTIFS(Units!$E:$E, $B5, Units!$G:$G, AB$4),COUNTIFS(Units!$E:$E, $B5, Units!$G:$G, AB$4, Units!$I:$I, $C5)
)
</f>
        <v>0</v>
      </c>
      <c r="AC5" s="87">
        <f>IF($C5="All",COUNTIFS(Units!$E:$E, $B5, Units!$G:$G, AC$4),COUNTIFS(Units!$E:$E, $B5, Units!$G:$G, AC$4, Units!$I:$I, $C5)
)
</f>
        <v>0</v>
      </c>
      <c r="AD5" s="87">
        <f t="shared" ref="AD5:AD68" si="2">sum(E5,G5,H5,I5,J5,K5)</f>
        <v>4</v>
      </c>
      <c r="AE5" s="87">
        <f t="shared" ref="AE5:AE68" si="3">sum(L5,M5,N5,O5)</f>
        <v>0</v>
      </c>
      <c r="AF5" s="87">
        <f t="shared" ref="AF5:AF68" si="4">sum(F5,Q5,R5)</f>
        <v>1</v>
      </c>
      <c r="AG5" s="91">
        <f t="shared" ref="AG5:AG68" si="5">sum(P5,S5,T5)</f>
        <v>1</v>
      </c>
      <c r="AH5" s="85">
        <f>IF($C5=1,COUNTIFS(Units!$E:$E, $B5, Units!$J:$J, 1, Units!$I:$I, 1),0)
</f>
        <v>1</v>
      </c>
      <c r="AI5" s="85">
        <f>IF($C5=1,COUNTIFS(Units!$E:$E, $B5, Units!$J:$J, 2, Units!$I:$I, 1),0)
</f>
        <v>3</v>
      </c>
      <c r="AJ5" s="94">
        <f>IF($C5=1,COUNTIFS(Units!$E:$E, $B5, Units!$J:$J, 3, Units!$I:$I, 1),0)
</f>
        <v>2</v>
      </c>
      <c r="AK5" s="85">
        <f>IF($C5="All",COUNTIFS(Units!$E:$E, $B5, Units!$R:$R, "-"),COUNTIFS(Units!$E:$E, $B5, Units!$R:$R, "-", Units!$I:$I, $C5)
)
</f>
        <v>1</v>
      </c>
      <c r="AL5" s="85">
        <f>IF($C5="All",COUNTIFS(Units!$E:$E, $B5, Units!$R:$R, 6),COUNTIFS(Units!$E:$E, $B5, Units!$R:$R, 6, Units!$I:$I, $C5)
)
</f>
        <v>3</v>
      </c>
      <c r="AM5" s="85">
        <f>IF($C5="All",COUNTIFS(Units!$E:$E, $B5, Units!$R:$R, 5),COUNTIFS(Units!$E:$E, $B5, Units!$R:$R, 5, Units!$I:$I, $C5)
)
</f>
        <v>2</v>
      </c>
      <c r="AN5" s="85">
        <f>IF($C5="All",COUNTIFS(Units!$E:$E, $B5, Units!$R:$R, 4),COUNTIFS(Units!$E:$E, $B5, Units!$R:$R, 4, Units!$I:$I, $C5)
)
</f>
        <v>0</v>
      </c>
      <c r="AO5" s="94">
        <f>IF($C5="All",COUNTIFS(Units!$E:$E, $B5, Units!$R:$R, 3),COUNTIFS(Units!$E:$E, $B5, Units!$R:$R, 3, Units!$I:$I, $C5)
)
</f>
        <v>0</v>
      </c>
      <c r="AP5" s="85">
        <f>IF($C5="All",COUNTIFS(Units!$E:$E, $B5, Units!$M:$M, "&lt;&gt;1"),COUNTIFS(Units!$E:$E, $B5, Units!$M:$M, "&lt;&gt;1", Units!$I:$I, $C5)
)
</f>
        <v>1</v>
      </c>
      <c r="AQ5" s="94">
        <f>IF($C5="All",COUNTIFS(Units!$E:$E, $B5, Units!$S:$S, "*Maneouverable*"),COUNTIFS(Units!$E:$E, $B5, Units!$S:$S, "*Maneouverable*", Units!$I:$I, $C5)
)
</f>
        <v>0</v>
      </c>
      <c r="AR5" s="96">
        <f>IF($C5="All", 
    AVERAGEIFS(Units!$Q:$Q, Units!$E:$E, $B5, Units!$AY:$AY, false), 
    AVERAGEIFS(Units!$Q:$Q, Units!$E:$E, $B5, Units!$I:$I, $C5, Units!$AY:$AY, false)
)
</f>
        <v>1</v>
      </c>
      <c r="AS5" s="85">
        <f>IF($C5="All",COUNTIFS(Units!$E:$E, $B5, Units!$Q:$Q, "&lt;&gt;1"),COUNTIFS(Units!$E:$E, $B5, Units!$Q:$Q, "&lt;&gt;1", Units!$I:$I, $C5)
)</f>
        <v>0</v>
      </c>
      <c r="AT5" s="85">
        <f>AS5 - IF($C5="All",COUNTIFS(Units!$E:$E, $B5, Units!$Q:$Q, 2),COUNTIFS(Units!$E:$E, $B5, Units!$Q:$Q, 2, Units!$I:$I, $C5)
)</f>
        <v>0</v>
      </c>
      <c r="AU5" s="96">
        <f>IF($C5="All", 
    AVERAGEIFS(Units!$AQ:$AQ, Units!$E:$E, $B5, Units!$AY:$AY, false), 
    AVERAGEIFS(Units!$AQ:$AQ, Units!$E:$E, $B5, Units!$I:$I, $C5, Units!$AY:$AY, false)
)
</f>
        <v>6</v>
      </c>
      <c r="AV5" s="96">
        <f>IF($C5="All", 
    AVERAGEIFS(Units!$AR:$AR, Units!$E:$E, $B5, Units!$AY:$AY, false), 
    AVERAGEIFS(Units!$AR:$AR, Units!$E:$E, $B5, Units!$I:$I, $C5, Units!$AY:$AY, false)
)</f>
        <v>7.6</v>
      </c>
      <c r="AW5" s="96">
        <f>IF($C5="All", 
    AVERAGEIFS(Units!$AW:$AW, Units!$E:$E, $B5, Units!$AY:$AY, false), 
    AVERAGEIFS(Units!$AW:$AW, Units!$E:$E, $B5, Units!$I:$I, $C5, Units!$AY:$AY, false)
)
</f>
        <v>3.666666667</v>
      </c>
    </row>
    <row r="6" ht="22.5" hidden="1" customHeight="1">
      <c r="A6" s="82" t="str">
        <f t="shared" si="1"/>
        <v>01</v>
      </c>
      <c r="B6" s="85" t="str">
        <f>VLOOKUP(A6, Factions!A:B, 2, FALSE)</f>
        <v>Gobbo</v>
      </c>
      <c r="C6" s="83">
        <v>2.0</v>
      </c>
      <c r="D6" s="85">
        <f>IF($C6="All",COUNTIFS(Units!$E:$E, $B6),COUNTIFS(Units!$E:$E, $B6, Units!$I:$I, $C6)
)
</f>
        <v>9</v>
      </c>
      <c r="E6" s="87">
        <f>IF($C6="All",COUNTIFS(Units!$E:$E, $B6, Units!$G:$G, E$4),COUNTIFS(Units!$E:$E, $B6, Units!$G:$G, E$4, Units!$I:$I, $C6)
)
</f>
        <v>0</v>
      </c>
      <c r="F6" s="87">
        <f>IF($C6="All",COUNTIFS(Units!$E:$E, $B6, Units!$G:$G, F$4),COUNTIFS(Units!$E:$E, $B6, Units!$G:$G, F$4, Units!$I:$I, $C6)
)
</f>
        <v>0</v>
      </c>
      <c r="G6" s="87">
        <f>IF($C6="All",COUNTIFS(Units!$E:$E, $B6, Units!$G:$G, G$4),COUNTIFS(Units!$E:$E, $B6, Units!$G:$G, G$4, Units!$I:$I, $C6)
)
</f>
        <v>0</v>
      </c>
      <c r="H6" s="87">
        <f>IF($C6="All",COUNTIFS(Units!$E:$E, $B6, Units!$G:$G, H$4),COUNTIFS(Units!$E:$E, $B6, Units!$G:$G, H$4, Units!$I:$I, $C6)
)
</f>
        <v>0</v>
      </c>
      <c r="I6" s="87">
        <f>IF($C6="All",COUNTIFS(Units!$E:$E, $B6, Units!$G:$G, I$4),COUNTIFS(Units!$E:$E, $B6, Units!$G:$G, I$4, Units!$I:$I, $C6)
)
</f>
        <v>1</v>
      </c>
      <c r="J6" s="87">
        <f>IF($C6="All",COUNTIFS(Units!$E:$E, $B6, Units!$G:$G, J$4),COUNTIFS(Units!$E:$E, $B6, Units!$G:$G, J$4, Units!$I:$I, $C6)
)
</f>
        <v>1</v>
      </c>
      <c r="K6" s="87">
        <f>IF($C6="All",COUNTIFS(Units!$E:$E, $B6, Units!$G:$G, K$4),COUNTIFS(Units!$E:$E, $B6, Units!$G:$G, K$4, Units!$I:$I, $C6)
)
</f>
        <v>1</v>
      </c>
      <c r="L6" s="87">
        <f>IF($C6="All",COUNTIFS(Units!$E:$E, $B6, Units!$G:$G, L$4),COUNTIFS(Units!$E:$E, $B6, Units!$G:$G, L$4, Units!$I:$I, $C6)
)
</f>
        <v>0</v>
      </c>
      <c r="M6" s="87"/>
      <c r="N6" s="87">
        <f>IF($C6="All",COUNTIFS(Units!$E:$E, $B6, Units!$G:$G, N$4),COUNTIFS(Units!$E:$E, $B6, Units!$G:$G, N$4, Units!$I:$I, $C6)
)
</f>
        <v>2</v>
      </c>
      <c r="O6" s="87">
        <f>IF($C6="All",COUNTIFS(Units!$E:$E, $B6, Units!$G:$G, O$4),COUNTIFS(Units!$E:$E, $B6, Units!$G:$G, O$4, Units!$I:$I, $C6)
)
</f>
        <v>0</v>
      </c>
      <c r="P6" s="87">
        <f>IF($C6="All",COUNTIFS(Units!$E:$E, $B6, Units!$G:$G, P$4),COUNTIFS(Units!$E:$E, $B6, Units!$G:$G, P$4, Units!$I:$I, $C6)
)
</f>
        <v>1</v>
      </c>
      <c r="Q6" s="87">
        <f>IF($C6="All",COUNTIFS(Units!$E:$E, $B6, Units!$G:$G, Q$4),COUNTIFS(Units!$E:$E, $B6, Units!$G:$G, Q$4, Units!$I:$I, $C6)
)
</f>
        <v>2</v>
      </c>
      <c r="R6" s="87">
        <f>IF($C6="All",COUNTIFS(Units!$E:$E, $B6, Units!$G:$G, R$4),COUNTIFS(Units!$E:$E, $B6, Units!$G:$G, R$4, Units!$I:$I, $C6)
)
</f>
        <v>0</v>
      </c>
      <c r="S6" s="87">
        <f>IF($C6="All",COUNTIFS(Units!$E:$E, $B6, Units!$G:$G, S$4),COUNTIFS(Units!$E:$E, $B6, Units!$G:$G, S$4, Units!$I:$I, $C6)
)
</f>
        <v>0</v>
      </c>
      <c r="T6" s="87">
        <f>IF($C6="All",COUNTIFS(Units!$E:$E, $B6, Units!$G:$G, T$4),COUNTIFS(Units!$E:$E, $B6, Units!$G:$G, T$4, Units!$I:$I, $C6)
)
</f>
        <v>1</v>
      </c>
      <c r="U6" s="87">
        <f>IF($C6="All",COUNTIFS(Units!$E:$E, $B6, Units!$G:$G, U$4),COUNTIFS(Units!$E:$E, $B6, Units!$G:$G, U$4, Units!$I:$I, $C6)
)
</f>
        <v>0</v>
      </c>
      <c r="V6" s="87">
        <f>IF($C6="All",COUNTIFS(Units!$E:$E, $B6, Units!$G:$G, V$4),COUNTIFS(Units!$E:$E, $B6, Units!$G:$G, V$4, Units!$I:$I, $C6)
)
</f>
        <v>0</v>
      </c>
      <c r="W6" s="87">
        <f>IF($C6="All",COUNTIFS(Units!$E:$E, $B6, Units!$G:$G, W$4),COUNTIFS(Units!$E:$E, $B6, Units!$G:$G, W$4, Units!$I:$I, $C6)
)
</f>
        <v>0</v>
      </c>
      <c r="X6" s="87">
        <f>IF($C6="All",COUNTIFS(Units!$E:$E, $B6, Units!$G:$G, X$4),COUNTIFS(Units!$E:$E, $B6, Units!$G:$G, X$4, Units!$I:$I, $C6)
)
</f>
        <v>0</v>
      </c>
      <c r="Y6" s="87">
        <f>IF($C6="All",COUNTIFS(Units!$E:$E, $B6, Units!$G:$G, Y$4),COUNTIFS(Units!$E:$E, $B6, Units!$G:$G, Y$4, Units!$I:$I, $C6)
)
</f>
        <v>0</v>
      </c>
      <c r="Z6" s="87">
        <f>IF($C6="All",COUNTIFS(Units!$E:$E, $B6, Units!$G:$G, Z$4),COUNTIFS(Units!$E:$E, $B6, Units!$G:$G, Z$4, Units!$I:$I, $C6)
)
</f>
        <v>0</v>
      </c>
      <c r="AA6" s="87">
        <f>IF($C6="All",COUNTIFS(Units!$E:$E, $B6, Units!$G:$G, AA$4),COUNTIFS(Units!$E:$E, $B6, Units!$G:$G, AA$4, Units!$I:$I, $C6)
)
</f>
        <v>0</v>
      </c>
      <c r="AB6" s="87">
        <f>IF($C6="All",COUNTIFS(Units!$E:$E, $B6, Units!$G:$G, AB$4),COUNTIFS(Units!$E:$E, $B6, Units!$G:$G, AB$4, Units!$I:$I, $C6)
)
</f>
        <v>0</v>
      </c>
      <c r="AC6" s="87">
        <f>IF($C6="All",COUNTIFS(Units!$E:$E, $B6, Units!$G:$G, AC$4),COUNTIFS(Units!$E:$E, $B6, Units!$G:$G, AC$4, Units!$I:$I, $C6)
)
</f>
        <v>0</v>
      </c>
      <c r="AD6" s="87">
        <f t="shared" si="2"/>
        <v>3</v>
      </c>
      <c r="AE6" s="87">
        <f t="shared" si="3"/>
        <v>2</v>
      </c>
      <c r="AF6" s="87">
        <f t="shared" si="4"/>
        <v>2</v>
      </c>
      <c r="AG6" s="91">
        <f t="shared" si="5"/>
        <v>2</v>
      </c>
      <c r="AH6" s="85">
        <f>IF($C6=1,COUNTIFS(Units!$E:$E, $B6, Units!$J:$J, 1, Units!$I:$I, 1),0)
</f>
        <v>0</v>
      </c>
      <c r="AI6" s="85">
        <f>IF($C6=1,COUNTIFS(Units!$E:$E, $B6, Units!$J:$J, 2, Units!$I:$I, 1),0)
</f>
        <v>0</v>
      </c>
      <c r="AJ6" s="94">
        <f>IF($C6=1,COUNTIFS(Units!$E:$E, $B6, Units!$J:$J, 3, Units!$I:$I, 1),0)
</f>
        <v>0</v>
      </c>
      <c r="AK6" s="85">
        <f>IF($C6="All",COUNTIFS(Units!$E:$E, $B6, Units!$R:$R, "-"),COUNTIFS(Units!$E:$E, $B6, Units!$R:$R, "-", Units!$I:$I, $C6)
)
</f>
        <v>2</v>
      </c>
      <c r="AL6" s="85">
        <f>IF($C6="All",COUNTIFS(Units!$E:$E, $B6, Units!$R:$R, 6),COUNTIFS(Units!$E:$E, $B6, Units!$R:$R, 6, Units!$I:$I, $C6)
)
</f>
        <v>2</v>
      </c>
      <c r="AM6" s="85">
        <f>IF($C6="All",COUNTIFS(Units!$E:$E, $B6, Units!$R:$R, 5),COUNTIFS(Units!$E:$E, $B6, Units!$R:$R, 5, Units!$I:$I, $C6)
)
</f>
        <v>3</v>
      </c>
      <c r="AN6" s="85">
        <f>IF($C6="All",COUNTIFS(Units!$E:$E, $B6, Units!$R:$R, 4),COUNTIFS(Units!$E:$E, $B6, Units!$R:$R, 4, Units!$I:$I, $C6)
)
</f>
        <v>1</v>
      </c>
      <c r="AO6" s="94">
        <f>IF($C6="All",COUNTIFS(Units!$E:$E, $B6, Units!$R:$R, 3),COUNTIFS(Units!$E:$E, $B6, Units!$R:$R, 3, Units!$I:$I, $C6)
)
</f>
        <v>1</v>
      </c>
      <c r="AP6" s="85">
        <f>IF($C6="All",COUNTIFS(Units!$E:$E, $B6, Units!$M:$M, "&lt;&gt;1"),COUNTIFS(Units!$E:$E, $B6, Units!$M:$M, "&lt;&gt;1", Units!$I:$I, $C6)
)
</f>
        <v>3</v>
      </c>
      <c r="AQ6" s="94">
        <f>IF($C6="All",COUNTIFS(Units!$E:$E, $B6, Units!$S:$S, "*Maneouverable*"),COUNTIFS(Units!$E:$E, $B6, Units!$S:$S, "*Maneouverable*", Units!$I:$I, $C6)
)
</f>
        <v>0</v>
      </c>
      <c r="AR6" s="96">
        <f>IF($C6="All", 
    AVERAGEIFS(Units!$Q:$Q, Units!$E:$E, $B6, Units!$AY:$AY, false), 
    AVERAGEIFS(Units!$Q:$Q, Units!$E:$E, $B6, Units!$I:$I, $C6, Units!$AY:$AY, false)
)
</f>
        <v>2.714285714</v>
      </c>
      <c r="AS6" s="85">
        <f>IF($C6="All",COUNTIFS(Units!$E:$E, $B6, Units!$Q:$Q, "&lt;&gt;1"),COUNTIFS(Units!$E:$E, $B6, Units!$Q:$Q, "&lt;&gt;1", Units!$I:$I, $C6)
)</f>
        <v>6</v>
      </c>
      <c r="AT6" s="85">
        <f>AS6 - IF($C6="All",COUNTIFS(Units!$E:$E, $B6, Units!$Q:$Q, 2),COUNTIFS(Units!$E:$E, $B6, Units!$Q:$Q, 2, Units!$I:$I, $C6)
)</f>
        <v>5</v>
      </c>
      <c r="AU6" s="96">
        <f>IF($C6="All", 
    AVERAGEIFS(Units!$AQ:$AQ, Units!$E:$E, $B6, Units!$AY:$AY, false), 
    AVERAGEIFS(Units!$AQ:$AQ, Units!$E:$E, $B6, Units!$I:$I, $C6, Units!$AY:$AY, false)
)
</f>
        <v>6.285714286</v>
      </c>
      <c r="AV6" s="96">
        <f>IF($C6="All", 
    AVERAGEIFS(Units!$AR:$AR, Units!$E:$E, $B6, Units!$AY:$AY, false), 
    AVERAGEIFS(Units!$AR:$AR, Units!$E:$E, $B6, Units!$I:$I, $C6, Units!$AY:$AY, false)
)</f>
        <v>10.42857143</v>
      </c>
      <c r="AW6" s="96">
        <f>IF($C6="All", 
    AVERAGEIFS(Units!$AW:$AW, Units!$E:$E, $B6, Units!$AY:$AY, false), 
    AVERAGEIFS(Units!$AW:$AW, Units!$E:$E, $B6, Units!$I:$I, $C6, Units!$AY:$AY, false)
)
</f>
        <v>4.714285714</v>
      </c>
    </row>
    <row r="7" ht="22.5" hidden="1" customHeight="1">
      <c r="A7" s="82" t="str">
        <f t="shared" si="1"/>
        <v>01</v>
      </c>
      <c r="B7" s="85" t="str">
        <f>VLOOKUP(A7, Factions!A:B, 2, FALSE)</f>
        <v>Gobbo</v>
      </c>
      <c r="C7" s="83">
        <v>3.0</v>
      </c>
      <c r="D7" s="85">
        <f>IF($C7="All",COUNTIFS(Units!$E:$E, $B7),COUNTIFS(Units!$E:$E, $B7, Units!$I:$I, $C7)
)
</f>
        <v>5</v>
      </c>
      <c r="E7" s="87">
        <f>IF($C7="All",COUNTIFS(Units!$E:$E, $B7, Units!$G:$G, E$4),COUNTIFS(Units!$E:$E, $B7, Units!$G:$G, E$4, Units!$I:$I, $C7)
)
</f>
        <v>0</v>
      </c>
      <c r="F7" s="87">
        <f>IF($C7="All",COUNTIFS(Units!$E:$E, $B7, Units!$G:$G, F$4),COUNTIFS(Units!$E:$E, $B7, Units!$G:$G, F$4, Units!$I:$I, $C7)
)
</f>
        <v>0</v>
      </c>
      <c r="G7" s="87">
        <f>IF($C7="All",COUNTIFS(Units!$E:$E, $B7, Units!$G:$G, G$4),COUNTIFS(Units!$E:$E, $B7, Units!$G:$G, G$4, Units!$I:$I, $C7)
)
</f>
        <v>0</v>
      </c>
      <c r="H7" s="87">
        <f>IF($C7="All",COUNTIFS(Units!$E:$E, $B7, Units!$G:$G, H$4),COUNTIFS(Units!$E:$E, $B7, Units!$G:$G, H$4, Units!$I:$I, $C7)
)
</f>
        <v>0</v>
      </c>
      <c r="I7" s="87">
        <f>IF($C7="All",COUNTIFS(Units!$E:$E, $B7, Units!$G:$G, I$4),COUNTIFS(Units!$E:$E, $B7, Units!$G:$G, I$4, Units!$I:$I, $C7)
)
</f>
        <v>0</v>
      </c>
      <c r="J7" s="87">
        <f>IF($C7="All",COUNTIFS(Units!$E:$E, $B7, Units!$G:$G, J$4),COUNTIFS(Units!$E:$E, $B7, Units!$G:$G, J$4, Units!$I:$I, $C7)
)
</f>
        <v>0</v>
      </c>
      <c r="K7" s="87">
        <f>IF($C7="All",COUNTIFS(Units!$E:$E, $B7, Units!$G:$G, K$4),COUNTIFS(Units!$E:$E, $B7, Units!$G:$G, K$4, Units!$I:$I, $C7)
)
</f>
        <v>0</v>
      </c>
      <c r="L7" s="87">
        <f>IF($C7="All",COUNTIFS(Units!$E:$E, $B7, Units!$G:$G, L$4),COUNTIFS(Units!$E:$E, $B7, Units!$G:$G, L$4, Units!$I:$I, $C7)
)
</f>
        <v>0</v>
      </c>
      <c r="M7" s="87"/>
      <c r="N7" s="87">
        <f>IF($C7="All",COUNTIFS(Units!$E:$E, $B7, Units!$G:$G, N$4),COUNTIFS(Units!$E:$E, $B7, Units!$G:$G, N$4, Units!$I:$I, $C7)
)
</f>
        <v>0</v>
      </c>
      <c r="O7" s="87">
        <f>IF($C7="All",COUNTIFS(Units!$E:$E, $B7, Units!$G:$G, O$4),COUNTIFS(Units!$E:$E, $B7, Units!$G:$G, O$4, Units!$I:$I, $C7)
)
</f>
        <v>0</v>
      </c>
      <c r="P7" s="87">
        <f>IF($C7="All",COUNTIFS(Units!$E:$E, $B7, Units!$G:$G, P$4),COUNTIFS(Units!$E:$E, $B7, Units!$G:$G, P$4, Units!$I:$I, $C7)
)
</f>
        <v>0</v>
      </c>
      <c r="Q7" s="87">
        <f>IF($C7="All",COUNTIFS(Units!$E:$E, $B7, Units!$G:$G, Q$4),COUNTIFS(Units!$E:$E, $B7, Units!$G:$G, Q$4, Units!$I:$I, $C7)
)
</f>
        <v>0</v>
      </c>
      <c r="R7" s="87">
        <f>IF($C7="All",COUNTIFS(Units!$E:$E, $B7, Units!$G:$G, R$4),COUNTIFS(Units!$E:$E, $B7, Units!$G:$G, R$4, Units!$I:$I, $C7)
)
</f>
        <v>0</v>
      </c>
      <c r="S7" s="87">
        <f>IF($C7="All",COUNTIFS(Units!$E:$E, $B7, Units!$G:$G, S$4),COUNTIFS(Units!$E:$E, $B7, Units!$G:$G, S$4, Units!$I:$I, $C7)
)
</f>
        <v>0</v>
      </c>
      <c r="T7" s="87">
        <f>IF($C7="All",COUNTIFS(Units!$E:$E, $B7, Units!$G:$G, T$4),COUNTIFS(Units!$E:$E, $B7, Units!$G:$G, T$4, Units!$I:$I, $C7)
)
</f>
        <v>0</v>
      </c>
      <c r="U7" s="87">
        <f>IF($C7="All",COUNTIFS(Units!$E:$E, $B7, Units!$G:$G, U$4),COUNTIFS(Units!$E:$E, $B7, Units!$G:$G, U$4, Units!$I:$I, $C7)
)
</f>
        <v>1</v>
      </c>
      <c r="V7" s="87">
        <f>IF($C7="All",COUNTIFS(Units!$E:$E, $B7, Units!$G:$G, V$4),COUNTIFS(Units!$E:$E, $B7, Units!$G:$G, V$4, Units!$I:$I, $C7)
)
</f>
        <v>1</v>
      </c>
      <c r="W7" s="87">
        <f>IF($C7="All",COUNTIFS(Units!$E:$E, $B7, Units!$G:$G, W$4),COUNTIFS(Units!$E:$E, $B7, Units!$G:$G, W$4, Units!$I:$I, $C7)
)
</f>
        <v>0</v>
      </c>
      <c r="X7" s="87">
        <f>IF($C7="All",COUNTIFS(Units!$E:$E, $B7, Units!$G:$G, X$4),COUNTIFS(Units!$E:$E, $B7, Units!$G:$G, X$4, Units!$I:$I, $C7)
)
</f>
        <v>1</v>
      </c>
      <c r="Y7" s="87">
        <f>IF($C7="All",COUNTIFS(Units!$E:$E, $B7, Units!$G:$G, Y$4),COUNTIFS(Units!$E:$E, $B7, Units!$G:$G, Y$4, Units!$I:$I, $C7)
)
</f>
        <v>0</v>
      </c>
      <c r="Z7" s="87">
        <f>IF($C7="All",COUNTIFS(Units!$E:$E, $B7, Units!$G:$G, Z$4),COUNTIFS(Units!$E:$E, $B7, Units!$G:$G, Z$4, Units!$I:$I, $C7)
)
</f>
        <v>1</v>
      </c>
      <c r="AA7" s="87">
        <f>IF($C7="All",COUNTIFS(Units!$E:$E, $B7, Units!$G:$G, AA$4),COUNTIFS(Units!$E:$E, $B7, Units!$G:$G, AA$4, Units!$I:$I, $C7)
)
</f>
        <v>1</v>
      </c>
      <c r="AB7" s="87">
        <f>IF($C7="All",COUNTIFS(Units!$E:$E, $B7, Units!$G:$G, AB$4),COUNTIFS(Units!$E:$E, $B7, Units!$G:$G, AB$4, Units!$I:$I, $C7)
)
</f>
        <v>0</v>
      </c>
      <c r="AC7" s="87">
        <f>IF($C7="All",COUNTIFS(Units!$E:$E, $B7, Units!$G:$G, AC$4),COUNTIFS(Units!$E:$E, $B7, Units!$G:$G, AC$4, Units!$I:$I, $C7)
)
</f>
        <v>0</v>
      </c>
      <c r="AD7" s="87">
        <f t="shared" si="2"/>
        <v>0</v>
      </c>
      <c r="AE7" s="87">
        <f t="shared" si="3"/>
        <v>0</v>
      </c>
      <c r="AF7" s="87">
        <f t="shared" si="4"/>
        <v>0</v>
      </c>
      <c r="AG7" s="91">
        <f t="shared" si="5"/>
        <v>0</v>
      </c>
      <c r="AH7" s="85">
        <f>IF($C7=1,COUNTIFS(Units!$E:$E, $B7, Units!$J:$J, 1, Units!$I:$I, 1),0)
</f>
        <v>0</v>
      </c>
      <c r="AI7" s="85">
        <f>IF($C7=1,COUNTIFS(Units!$E:$E, $B7, Units!$J:$J, 2, Units!$I:$I, 1),0)
</f>
        <v>0</v>
      </c>
      <c r="AJ7" s="94">
        <f>IF($C7=1,COUNTIFS(Units!$E:$E, $B7, Units!$J:$J, 3, Units!$I:$I, 1),0)
</f>
        <v>0</v>
      </c>
      <c r="AK7" s="85">
        <f>IF($C7="All",COUNTIFS(Units!$E:$E, $B7, Units!$R:$R, "-"),COUNTIFS(Units!$E:$E, $B7, Units!$R:$R, "-", Units!$I:$I, $C7)
)
</f>
        <v>2</v>
      </c>
      <c r="AL7" s="85">
        <f>IF($C7="All",COUNTIFS(Units!$E:$E, $B7, Units!$R:$R, 6),COUNTIFS(Units!$E:$E, $B7, Units!$R:$R, 6, Units!$I:$I, $C7)
)
</f>
        <v>0</v>
      </c>
      <c r="AM7" s="85">
        <f>IF($C7="All",COUNTIFS(Units!$E:$E, $B7, Units!$R:$R, 5),COUNTIFS(Units!$E:$E, $B7, Units!$R:$R, 5, Units!$I:$I, $C7)
)
</f>
        <v>3</v>
      </c>
      <c r="AN7" s="85">
        <f>IF($C7="All",COUNTIFS(Units!$E:$E, $B7, Units!$R:$R, 4),COUNTIFS(Units!$E:$E, $B7, Units!$R:$R, 4, Units!$I:$I, $C7)
)
</f>
        <v>0</v>
      </c>
      <c r="AO7" s="94">
        <f>IF($C7="All",COUNTIFS(Units!$E:$E, $B7, Units!$R:$R, 3),COUNTIFS(Units!$E:$E, $B7, Units!$R:$R, 3, Units!$I:$I, $C7)
)
</f>
        <v>0</v>
      </c>
      <c r="AP7" s="85">
        <f>IF($C7="All",COUNTIFS(Units!$E:$E, $B7, Units!$M:$M, "&lt;&gt;1"),COUNTIFS(Units!$E:$E, $B7, Units!$M:$M, "&lt;&gt;1", Units!$I:$I, $C7)
)
</f>
        <v>2</v>
      </c>
      <c r="AQ7" s="94">
        <f>IF($C7="All",COUNTIFS(Units!$E:$E, $B7, Units!$S:$S, "*Maneouverable*"),COUNTIFS(Units!$E:$E, $B7, Units!$S:$S, "*Maneouverable*", Units!$I:$I, $C7)
)
</f>
        <v>0</v>
      </c>
      <c r="AR7" s="96">
        <f>IF($C7="All", 
    AVERAGEIFS(Units!$Q:$Q, Units!$E:$E, $B7, Units!$AY:$AY, false), 
    AVERAGEIFS(Units!$Q:$Q, Units!$E:$E, $B7, Units!$I:$I, $C7, Units!$AY:$AY, false)
)
</f>
        <v>6</v>
      </c>
      <c r="AS7" s="85">
        <f>IF($C7="All",COUNTIFS(Units!$E:$E, $B7, Units!$Q:$Q, "&lt;&gt;1"),COUNTIFS(Units!$E:$E, $B7, Units!$Q:$Q, "&lt;&gt;1", Units!$I:$I, $C7)
)</f>
        <v>5</v>
      </c>
      <c r="AT7" s="85">
        <f>AS7 - IF($C7="All",COUNTIFS(Units!$E:$E, $B7, Units!$Q:$Q, 2),COUNTIFS(Units!$E:$E, $B7, Units!$Q:$Q, 2, Units!$I:$I, $C7)
)</f>
        <v>5</v>
      </c>
      <c r="AU7" s="96">
        <f>IF($C7="All", 
    AVERAGEIFS(Units!$AQ:$AQ, Units!$E:$E, $B7, Units!$AY:$AY, false), 
    AVERAGEIFS(Units!$AQ:$AQ, Units!$E:$E, $B7, Units!$I:$I, $C7, Units!$AY:$AY, false)
)
</f>
        <v>6</v>
      </c>
      <c r="AV7" s="96">
        <f>IF($C7="All", 
    AVERAGEIFS(Units!$AR:$AR, Units!$E:$E, $B7, Units!$AY:$AY, false), 
    AVERAGEIFS(Units!$AR:$AR, Units!$E:$E, $B7, Units!$I:$I, $C7, Units!$AY:$AY, false)
)</f>
        <v>7.5</v>
      </c>
      <c r="AW7" s="96">
        <f>IF($C7="All", 
    AVERAGEIFS(Units!$AW:$AW, Units!$E:$E, $B7, Units!$AY:$AY, false), 
    AVERAGEIFS(Units!$AW:$AW, Units!$E:$E, $B7, Units!$I:$I, $C7, Units!$AY:$AY, false)
)
</f>
        <v>4.666666667</v>
      </c>
    </row>
    <row r="8" ht="22.5" customHeight="1">
      <c r="A8" s="82" t="str">
        <f t="shared" si="1"/>
        <v>01</v>
      </c>
      <c r="B8" s="85" t="str">
        <f>VLOOKUP(A8, Factions!A:B, 2, FALSE)</f>
        <v>Gobbo</v>
      </c>
      <c r="C8" s="83" t="s">
        <v>382</v>
      </c>
      <c r="D8" s="85">
        <f>IF($C8="All",COUNTIFS(Units!$E:$E, $B8),COUNTIFS(Units!$E:$E, $B8, Units!$I:$I, $C8)
)
</f>
        <v>20</v>
      </c>
      <c r="E8" s="87">
        <f>IF($C8="All",COUNTIFS(Units!$E:$E, $B8, Units!$G:$G, E$4),COUNTIFS(Units!$E:$E, $B8, Units!$G:$G, E$4, Units!$I:$I, $C8)
)
</f>
        <v>1</v>
      </c>
      <c r="F8" s="87">
        <f>IF($C8="All",COUNTIFS(Units!$E:$E, $B8, Units!$G:$G, F$4),COUNTIFS(Units!$E:$E, $B8, Units!$G:$G, F$4, Units!$I:$I, $C8)
)
</f>
        <v>1</v>
      </c>
      <c r="G8" s="87">
        <f>IF($C8="All",COUNTIFS(Units!$E:$E, $B8, Units!$G:$G, G$4),COUNTIFS(Units!$E:$E, $B8, Units!$G:$G, G$4, Units!$I:$I, $C8)
)
</f>
        <v>1</v>
      </c>
      <c r="H8" s="87">
        <f>IF($C8="All",COUNTIFS(Units!$E:$E, $B8, Units!$G:$G, H$4),COUNTIFS(Units!$E:$E, $B8, Units!$G:$G, H$4, Units!$I:$I, $C8)
)
</f>
        <v>1</v>
      </c>
      <c r="I8" s="87">
        <f>IF($C8="All",COUNTIFS(Units!$E:$E, $B8, Units!$G:$G, I$4),COUNTIFS(Units!$E:$E, $B8, Units!$G:$G, I$4, Units!$I:$I, $C8)
)
</f>
        <v>1</v>
      </c>
      <c r="J8" s="87">
        <f>IF($C8="All",COUNTIFS(Units!$E:$E, $B8, Units!$G:$G, J$4),COUNTIFS(Units!$E:$E, $B8, Units!$G:$G, J$4, Units!$I:$I, $C8)
)
</f>
        <v>1</v>
      </c>
      <c r="K8" s="87">
        <f>IF($C8="All",COUNTIFS(Units!$E:$E, $B8, Units!$G:$G, K$4),COUNTIFS(Units!$E:$E, $B8, Units!$G:$G, K$4, Units!$I:$I, $C8)
)
</f>
        <v>2</v>
      </c>
      <c r="L8" s="87">
        <f>IF($C8="All",COUNTIFS(Units!$E:$E, $B8, Units!$G:$G, L$4),COUNTIFS(Units!$E:$E, $B8, Units!$G:$G, L$4, Units!$I:$I, $C8)
)
</f>
        <v>0</v>
      </c>
      <c r="M8" s="87"/>
      <c r="N8" s="87">
        <f>IF($C8="All",COUNTIFS(Units!$E:$E, $B8, Units!$G:$G, N$4),COUNTIFS(Units!$E:$E, $B8, Units!$G:$G, N$4, Units!$I:$I, $C8)
)
</f>
        <v>2</v>
      </c>
      <c r="O8" s="87">
        <f>IF($C8="All",COUNTIFS(Units!$E:$E, $B8, Units!$G:$G, O$4),COUNTIFS(Units!$E:$E, $B8, Units!$G:$G, O$4, Units!$I:$I, $C8)
)
</f>
        <v>0</v>
      </c>
      <c r="P8" s="87">
        <f>IF($C8="All",COUNTIFS(Units!$E:$E, $B8, Units!$G:$G, P$4),COUNTIFS(Units!$E:$E, $B8, Units!$G:$G, P$4, Units!$I:$I, $C8)
)
</f>
        <v>1</v>
      </c>
      <c r="Q8" s="87">
        <f>IF($C8="All",COUNTIFS(Units!$E:$E, $B8, Units!$G:$G, Q$4),COUNTIFS(Units!$E:$E, $B8, Units!$G:$G, Q$4, Units!$I:$I, $C8)
)
</f>
        <v>2</v>
      </c>
      <c r="R8" s="87">
        <f>IF($C8="All",COUNTIFS(Units!$E:$E, $B8, Units!$G:$G, R$4),COUNTIFS(Units!$E:$E, $B8, Units!$G:$G, R$4, Units!$I:$I, $C8)
)
</f>
        <v>0</v>
      </c>
      <c r="S8" s="87">
        <f>IF($C8="All",COUNTIFS(Units!$E:$E, $B8, Units!$G:$G, S$4),COUNTIFS(Units!$E:$E, $B8, Units!$G:$G, S$4, Units!$I:$I, $C8)
)
</f>
        <v>0</v>
      </c>
      <c r="T8" s="87">
        <f>IF($C8="All",COUNTIFS(Units!$E:$E, $B8, Units!$G:$G, T$4),COUNTIFS(Units!$E:$E, $B8, Units!$G:$G, T$4, Units!$I:$I, $C8)
)
</f>
        <v>2</v>
      </c>
      <c r="U8" s="87">
        <f>IF($C8="All",COUNTIFS(Units!$E:$E, $B8, Units!$G:$G, U$4),COUNTIFS(Units!$E:$E, $B8, Units!$G:$G, U$4, Units!$I:$I, $C8)
)
</f>
        <v>1</v>
      </c>
      <c r="V8" s="87">
        <f>IF($C8="All",COUNTIFS(Units!$E:$E, $B8, Units!$G:$G, V$4),COUNTIFS(Units!$E:$E, $B8, Units!$G:$G, V$4, Units!$I:$I, $C8)
)
</f>
        <v>1</v>
      </c>
      <c r="W8" s="87">
        <f>IF($C8="All",COUNTIFS(Units!$E:$E, $B8, Units!$G:$G, W$4),COUNTIFS(Units!$E:$E, $B8, Units!$G:$G, W$4, Units!$I:$I, $C8)
)
</f>
        <v>0</v>
      </c>
      <c r="X8" s="87">
        <f>IF($C8="All",COUNTIFS(Units!$E:$E, $B8, Units!$G:$G, X$4),COUNTIFS(Units!$E:$E, $B8, Units!$G:$G, X$4, Units!$I:$I, $C8)
)
</f>
        <v>1</v>
      </c>
      <c r="Y8" s="87">
        <f>IF($C8="All",COUNTIFS(Units!$E:$E, $B8, Units!$G:$G, Y$4),COUNTIFS(Units!$E:$E, $B8, Units!$G:$G, Y$4, Units!$I:$I, $C8)
)
</f>
        <v>0</v>
      </c>
      <c r="Z8" s="87">
        <f>IF($C8="All",COUNTIFS(Units!$E:$E, $B8, Units!$G:$G, Z$4),COUNTIFS(Units!$E:$E, $B8, Units!$G:$G, Z$4, Units!$I:$I, $C8)
)
</f>
        <v>1</v>
      </c>
      <c r="AA8" s="87">
        <f>IF($C8="All",COUNTIFS(Units!$E:$E, $B8, Units!$G:$G, AA$4),COUNTIFS(Units!$E:$E, $B8, Units!$G:$G, AA$4, Units!$I:$I, $C8)
)
</f>
        <v>1</v>
      </c>
      <c r="AB8" s="87">
        <f>IF($C8="All",COUNTIFS(Units!$E:$E, $B8, Units!$G:$G, AB$4),COUNTIFS(Units!$E:$E, $B8, Units!$G:$G, AB$4, Units!$I:$I, $C8)
)
</f>
        <v>0</v>
      </c>
      <c r="AC8" s="87">
        <f>IF($C8="All",COUNTIFS(Units!$E:$E, $B8, Units!$G:$G, AC$4),COUNTIFS(Units!$E:$E, $B8, Units!$G:$G, AC$4, Units!$I:$I, $C8)
)
</f>
        <v>0</v>
      </c>
      <c r="AD8" s="87">
        <f t="shared" si="2"/>
        <v>7</v>
      </c>
      <c r="AE8" s="87">
        <f t="shared" si="3"/>
        <v>2</v>
      </c>
      <c r="AF8" s="87">
        <f t="shared" si="4"/>
        <v>3</v>
      </c>
      <c r="AG8" s="91">
        <f t="shared" si="5"/>
        <v>3</v>
      </c>
      <c r="AH8" s="85">
        <f>IF($C8=1,COUNTIFS(Units!$E:$E, $B8, Units!$J:$J, 1, Units!$I:$I, 1),0)
</f>
        <v>0</v>
      </c>
      <c r="AI8" s="85">
        <f>IF($C8=1,COUNTIFS(Units!$E:$E, $B8, Units!$J:$J, 2, Units!$I:$I, 1),0)
</f>
        <v>0</v>
      </c>
      <c r="AJ8" s="94">
        <f>IF($C8=1,COUNTIFS(Units!$E:$E, $B8, Units!$J:$J, 3, Units!$I:$I, 1),0)
</f>
        <v>0</v>
      </c>
      <c r="AK8" s="85">
        <f>IF($C8="All",COUNTIFS(Units!$E:$E, $B8, Units!$R:$R, "-"),COUNTIFS(Units!$E:$E, $B8, Units!$R:$R, "-", Units!$I:$I, $C8)
)
</f>
        <v>5</v>
      </c>
      <c r="AL8" s="85">
        <f>IF($C8="All",COUNTIFS(Units!$E:$E, $B8, Units!$R:$R, 6),COUNTIFS(Units!$E:$E, $B8, Units!$R:$R, 6, Units!$I:$I, $C8)
)
</f>
        <v>5</v>
      </c>
      <c r="AM8" s="85">
        <f>IF($C8="All",COUNTIFS(Units!$E:$E, $B8, Units!$R:$R, 5),COUNTIFS(Units!$E:$E, $B8, Units!$R:$R, 5, Units!$I:$I, $C8)
)
</f>
        <v>8</v>
      </c>
      <c r="AN8" s="85">
        <f>IF($C8="All",COUNTIFS(Units!$E:$E, $B8, Units!$R:$R, 4),COUNTIFS(Units!$E:$E, $B8, Units!$R:$R, 4, Units!$I:$I, $C8)
)
</f>
        <v>1</v>
      </c>
      <c r="AO8" s="94">
        <f>IF($C8="All",COUNTIFS(Units!$E:$E, $B8, Units!$R:$R, 3),COUNTIFS(Units!$E:$E, $B8, Units!$R:$R, 3, Units!$I:$I, $C8)
)
</f>
        <v>1</v>
      </c>
      <c r="AP8" s="85">
        <f>IF($C8="All",COUNTIFS(Units!$E:$E, $B8, Units!$M:$M, "&lt;&gt;1"),COUNTIFS(Units!$E:$E, $B8, Units!$M:$M, "&lt;&gt;1", Units!$I:$I, $C8)
)
</f>
        <v>6</v>
      </c>
      <c r="AQ8" s="94">
        <f>IF($C8="All",COUNTIFS(Units!$E:$E, $B8, Units!$S:$S, "*Maneouverable*"),COUNTIFS(Units!$E:$E, $B8, Units!$S:$S, "*Maneouverable*", Units!$I:$I, $C8)
)
</f>
        <v>0</v>
      </c>
      <c r="AR8" s="96">
        <f>IF($C8="All", 
    AVERAGEIFS(Units!$Q:$Q, Units!$E:$E, $B8, Units!$AY:$AY, false), 
    AVERAGEIFS(Units!$Q:$Q, Units!$E:$E, $B8, Units!$I:$I, $C8, Units!$AY:$AY, false)
)
</f>
        <v>2.466666667</v>
      </c>
      <c r="AS8" s="85">
        <f>IF($C8="All",COUNTIFS(Units!$E:$E, $B8, Units!$Q:$Q, "&lt;&gt;1"),COUNTIFS(Units!$E:$E, $B8, Units!$Q:$Q, "&lt;&gt;1", Units!$I:$I, $C8)
)</f>
        <v>11</v>
      </c>
      <c r="AT8" s="85">
        <f>AS8 - IF($C8="All",COUNTIFS(Units!$E:$E, $B8, Units!$Q:$Q, 2),COUNTIFS(Units!$E:$E, $B8, Units!$Q:$Q, 2, Units!$I:$I, $C8)
)</f>
        <v>10</v>
      </c>
      <c r="AU8" s="96">
        <f>IF($C8="All", 
    AVERAGEIFS(Units!$AQ:$AQ, Units!$E:$E, $B8, Units!$AY:$AY, false), 
    AVERAGEIFS(Units!$AQ:$AQ, Units!$E:$E, $B8, Units!$I:$I, $C8, Units!$AY:$AY, false)
)
</f>
        <v>6.133333333</v>
      </c>
      <c r="AV8" s="96">
        <f>IF($C8="All", 
    AVERAGEIFS(Units!$AR:$AR, Units!$E:$E, $B8, Units!$AY:$AY, false), 
    AVERAGEIFS(Units!$AR:$AR, Units!$E:$E, $B8, Units!$I:$I, $C8, Units!$AY:$AY, false)
)</f>
        <v>8.906666667</v>
      </c>
      <c r="AW8" s="96">
        <f>IF($C8="All", 
    AVERAGEIFS(Units!$AW:$AW, Units!$E:$E, $B8, Units!$AY:$AY, false), 
    AVERAGEIFS(Units!$AW:$AW, Units!$E:$E, $B8, Units!$I:$I, $C8, Units!$AY:$AY, false)
)
</f>
        <v>4.288888889</v>
      </c>
    </row>
    <row r="9" ht="22.5" hidden="1" customHeight="1">
      <c r="A9" s="82" t="str">
        <f t="shared" si="1"/>
        <v>02</v>
      </c>
      <c r="B9" s="85" t="str">
        <f>VLOOKUP(A9, Factions!A:B, 2, FALSE)</f>
        <v>Ratkin</v>
      </c>
      <c r="C9" s="83">
        <v>1.0</v>
      </c>
      <c r="D9" s="85">
        <f>IF($C9="All",COUNTIFS(Units!$E:$E, $B9),COUNTIFS(Units!$E:$E, $B9, Units!$I:$I, $C9)
)
</f>
        <v>6</v>
      </c>
      <c r="E9" s="87">
        <f>IF($C9="All",COUNTIFS(Units!$E:$E, $B9, Units!$G:$G, E$4),COUNTIFS(Units!$E:$E, $B9, Units!$G:$G, E$4, Units!$I:$I, $C9)
)
</f>
        <v>1</v>
      </c>
      <c r="F9" s="87">
        <f>IF($C9="All",COUNTIFS(Units!$E:$E, $B9, Units!$G:$G, F$4),COUNTIFS(Units!$E:$E, $B9, Units!$G:$G, F$4, Units!$I:$I, $C9)
)
</f>
        <v>1</v>
      </c>
      <c r="G9" s="87">
        <f>IF($C9="All",COUNTIFS(Units!$E:$E, $B9, Units!$G:$G, G$4),COUNTIFS(Units!$E:$E, $B9, Units!$G:$G, G$4, Units!$I:$I, $C9)
)
</f>
        <v>2</v>
      </c>
      <c r="H9" s="87">
        <f>IF($C9="All",COUNTIFS(Units!$E:$E, $B9, Units!$G:$G, H$4),COUNTIFS(Units!$E:$E, $B9, Units!$G:$G, H$4, Units!$I:$I, $C9)
)
</f>
        <v>1</v>
      </c>
      <c r="I9" s="87">
        <f>IF($C9="All",COUNTIFS(Units!$E:$E, $B9, Units!$G:$G, I$4),COUNTIFS(Units!$E:$E, $B9, Units!$G:$G, I$4, Units!$I:$I, $C9)
)
</f>
        <v>0</v>
      </c>
      <c r="J9" s="87">
        <f>IF($C9="All",COUNTIFS(Units!$E:$E, $B9, Units!$G:$G, J$4),COUNTIFS(Units!$E:$E, $B9, Units!$G:$G, J$4, Units!$I:$I, $C9)
)
</f>
        <v>0</v>
      </c>
      <c r="K9" s="87">
        <f>IF($C9="All",COUNTIFS(Units!$E:$E, $B9, Units!$G:$G, K$4),COUNTIFS(Units!$E:$E, $B9, Units!$G:$G, K$4, Units!$I:$I, $C9)
)
</f>
        <v>1</v>
      </c>
      <c r="L9" s="87">
        <f>IF($C9="All",COUNTIFS(Units!$E:$E, $B9, Units!$G:$G, L$4),COUNTIFS(Units!$E:$E, $B9, Units!$G:$G, L$4, Units!$I:$I, $C9)
)
</f>
        <v>0</v>
      </c>
      <c r="M9" s="87"/>
      <c r="N9" s="87">
        <f>IF($C9="All",COUNTIFS(Units!$E:$E, $B9, Units!$G:$G, N$4),COUNTIFS(Units!$E:$E, $B9, Units!$G:$G, N$4, Units!$I:$I, $C9)
)
</f>
        <v>0</v>
      </c>
      <c r="O9" s="87">
        <f>IF($C9="All",COUNTIFS(Units!$E:$E, $B9, Units!$G:$G, O$4),COUNTIFS(Units!$E:$E, $B9, Units!$G:$G, O$4, Units!$I:$I, $C9)
)
</f>
        <v>0</v>
      </c>
      <c r="P9" s="87">
        <f>IF($C9="All",COUNTIFS(Units!$E:$E, $B9, Units!$G:$G, P$4),COUNTIFS(Units!$E:$E, $B9, Units!$G:$G, P$4, Units!$I:$I, $C9)
)
</f>
        <v>0</v>
      </c>
      <c r="Q9" s="87">
        <f>IF($C9="All",COUNTIFS(Units!$E:$E, $B9, Units!$G:$G, Q$4),COUNTIFS(Units!$E:$E, $B9, Units!$G:$G, Q$4, Units!$I:$I, $C9)
)
</f>
        <v>0</v>
      </c>
      <c r="R9" s="87">
        <f>IF($C9="All",COUNTIFS(Units!$E:$E, $B9, Units!$G:$G, R$4),COUNTIFS(Units!$E:$E, $B9, Units!$G:$G, R$4, Units!$I:$I, $C9)
)
</f>
        <v>0</v>
      </c>
      <c r="S9" s="87">
        <f>IF($C9="All",COUNTIFS(Units!$E:$E, $B9, Units!$G:$G, S$4),COUNTIFS(Units!$E:$E, $B9, Units!$G:$G, S$4, Units!$I:$I, $C9)
)
</f>
        <v>0</v>
      </c>
      <c r="T9" s="87">
        <f>IF($C9="All",COUNTIFS(Units!$E:$E, $B9, Units!$G:$G, T$4),COUNTIFS(Units!$E:$E, $B9, Units!$G:$G, T$4, Units!$I:$I, $C9)
)
</f>
        <v>0</v>
      </c>
      <c r="U9" s="87">
        <f>IF($C9="All",COUNTIFS(Units!$E:$E, $B9, Units!$G:$G, U$4),COUNTIFS(Units!$E:$E, $B9, Units!$G:$G, U$4, Units!$I:$I, $C9)
)
</f>
        <v>0</v>
      </c>
      <c r="V9" s="87">
        <f>IF($C9="All",COUNTIFS(Units!$E:$E, $B9, Units!$G:$G, V$4),COUNTIFS(Units!$E:$E, $B9, Units!$G:$G, V$4, Units!$I:$I, $C9)
)
</f>
        <v>0</v>
      </c>
      <c r="W9" s="87">
        <f>IF($C9="All",COUNTIFS(Units!$E:$E, $B9, Units!$G:$G, W$4),COUNTIFS(Units!$E:$E, $B9, Units!$G:$G, W$4, Units!$I:$I, $C9)
)
</f>
        <v>0</v>
      </c>
      <c r="X9" s="87">
        <f>IF($C9="All",COUNTIFS(Units!$E:$E, $B9, Units!$G:$G, X$4),COUNTIFS(Units!$E:$E, $B9, Units!$G:$G, X$4, Units!$I:$I, $C9)
)
</f>
        <v>0</v>
      </c>
      <c r="Y9" s="87">
        <f>IF($C9="All",COUNTIFS(Units!$E:$E, $B9, Units!$G:$G, Y$4),COUNTIFS(Units!$E:$E, $B9, Units!$G:$G, Y$4, Units!$I:$I, $C9)
)
</f>
        <v>0</v>
      </c>
      <c r="Z9" s="87">
        <f>IF($C9="All",COUNTIFS(Units!$E:$E, $B9, Units!$G:$G, Z$4),COUNTIFS(Units!$E:$E, $B9, Units!$G:$G, Z$4, Units!$I:$I, $C9)
)
</f>
        <v>0</v>
      </c>
      <c r="AA9" s="87">
        <f>IF($C9="All",COUNTIFS(Units!$E:$E, $B9, Units!$G:$G, AA$4),COUNTIFS(Units!$E:$E, $B9, Units!$G:$G, AA$4, Units!$I:$I, $C9)
)
</f>
        <v>0</v>
      </c>
      <c r="AB9" s="87">
        <f>IF($C9="All",COUNTIFS(Units!$E:$E, $B9, Units!$G:$G, AB$4),COUNTIFS(Units!$E:$E, $B9, Units!$G:$G, AB$4, Units!$I:$I, $C9)
)
</f>
        <v>0</v>
      </c>
      <c r="AC9" s="87">
        <f>IF($C9="All",COUNTIFS(Units!$E:$E, $B9, Units!$G:$G, AC$4),COUNTIFS(Units!$E:$E, $B9, Units!$G:$G, AC$4, Units!$I:$I, $C9)
)
</f>
        <v>0</v>
      </c>
      <c r="AD9" s="87">
        <f t="shared" si="2"/>
        <v>5</v>
      </c>
      <c r="AE9" s="87">
        <f t="shared" si="3"/>
        <v>0</v>
      </c>
      <c r="AF9" s="87">
        <f t="shared" si="4"/>
        <v>1</v>
      </c>
      <c r="AG9" s="91">
        <f t="shared" si="5"/>
        <v>0</v>
      </c>
      <c r="AH9" s="85">
        <f>IF($C9=1,COUNTIFS(Units!$E:$E, $B9, Units!$J:$J, 1, Units!$I:$I, 1),0)
</f>
        <v>2</v>
      </c>
      <c r="AI9" s="85">
        <f>IF($C9=1,COUNTIFS(Units!$E:$E, $B9, Units!$J:$J, 2, Units!$I:$I, 1),0)
</f>
        <v>2</v>
      </c>
      <c r="AJ9" s="94">
        <f>IF($C9=1,COUNTIFS(Units!$E:$E, $B9, Units!$J:$J, 3, Units!$I:$I, 1),0)
</f>
        <v>2</v>
      </c>
      <c r="AK9" s="85">
        <f>IF($C9="All",COUNTIFS(Units!$E:$E, $B9, Units!$R:$R, "-"),COUNTIFS(Units!$E:$E, $B9, Units!$R:$R, "-", Units!$I:$I, $C9)
)
</f>
        <v>4</v>
      </c>
      <c r="AL9" s="85">
        <f>IF($C9="All",COUNTIFS(Units!$E:$E, $B9, Units!$R:$R, 6),COUNTIFS(Units!$E:$E, $B9, Units!$R:$R, 6, Units!$I:$I, $C9)
)
</f>
        <v>2</v>
      </c>
      <c r="AM9" s="85">
        <f>IF($C9="All",COUNTIFS(Units!$E:$E, $B9, Units!$R:$R, 5),COUNTIFS(Units!$E:$E, $B9, Units!$R:$R, 5, Units!$I:$I, $C9)
)
</f>
        <v>0</v>
      </c>
      <c r="AN9" s="85">
        <f>IF($C9="All",COUNTIFS(Units!$E:$E, $B9, Units!$R:$R, 4),COUNTIFS(Units!$E:$E, $B9, Units!$R:$R, 4, Units!$I:$I, $C9)
)
</f>
        <v>0</v>
      </c>
      <c r="AO9" s="94">
        <f>IF($C9="All",COUNTIFS(Units!$E:$E, $B9, Units!$R:$R, 3),COUNTIFS(Units!$E:$E, $B9, Units!$R:$R, 3, Units!$I:$I, $C9)
)
</f>
        <v>0</v>
      </c>
      <c r="AP9" s="85">
        <f>IF($C9="All",COUNTIFS(Units!$E:$E, $B9, Units!$M:$M, "&lt;&gt;1"),COUNTIFS(Units!$E:$E, $B9, Units!$M:$M, "&lt;&gt;1", Units!$I:$I, $C9)
)
</f>
        <v>1</v>
      </c>
      <c r="AQ9" s="94">
        <f>IF($C9="All",COUNTIFS(Units!$E:$E, $B9, Units!$S:$S, "*Maneouverable*"),COUNTIFS(Units!$E:$E, $B9, Units!$S:$S, "*Maneouverable*", Units!$I:$I, $C9)
)
</f>
        <v>0</v>
      </c>
      <c r="AR9" s="96">
        <f>IF($C9="All", 
    AVERAGEIFS(Units!$Q:$Q, Units!$E:$E, $B9, Units!$AY:$AY, false), 
    AVERAGEIFS(Units!$Q:$Q, Units!$E:$E, $B9, Units!$I:$I, $C9, Units!$AY:$AY, false)
)
</f>
        <v>1</v>
      </c>
      <c r="AS9" s="85">
        <f>IF($C9="All",COUNTIFS(Units!$E:$E, $B9, Units!$Q:$Q, "&lt;&gt;1"),COUNTIFS(Units!$E:$E, $B9, Units!$Q:$Q, "&lt;&gt;1", Units!$I:$I, $C9)
)</f>
        <v>0</v>
      </c>
      <c r="AT9" s="85">
        <f>AS9 - IF($C9="All",COUNTIFS(Units!$E:$E, $B9, Units!$Q:$Q, 2),COUNTIFS(Units!$E:$E, $B9, Units!$Q:$Q, 2, Units!$I:$I, $C9)
)</f>
        <v>0</v>
      </c>
      <c r="AU9" s="96">
        <f>IF($C9="All", 
    AVERAGEIFS(Units!$AQ:$AQ, Units!$E:$E, $B9, Units!$AY:$AY, false), 
    AVERAGEIFS(Units!$AQ:$AQ, Units!$E:$E, $B9, Units!$I:$I, $C9, Units!$AY:$AY, false)
)
</f>
        <v>9</v>
      </c>
      <c r="AV9" s="96">
        <f>IF($C9="All", 
    AVERAGEIFS(Units!$AR:$AR, Units!$E:$E, $B9, Units!$AY:$AY, false), 
    AVERAGEIFS(Units!$AR:$AR, Units!$E:$E, $B9, Units!$I:$I, $C9, Units!$AY:$AY, false)
)</f>
        <v>9.6</v>
      </c>
      <c r="AW9" s="96">
        <f>IF($C9="All", 
    AVERAGEIFS(Units!$AW:$AW, Units!$E:$E, $B9, Units!$AY:$AY, false), 
    AVERAGEIFS(Units!$AW:$AW, Units!$E:$E, $B9, Units!$I:$I, $C9, Units!$AY:$AY, false)
)
</f>
        <v>2.583333333</v>
      </c>
    </row>
    <row r="10" ht="22.5" hidden="1" customHeight="1">
      <c r="A10" s="82" t="str">
        <f t="shared" si="1"/>
        <v>02</v>
      </c>
      <c r="B10" s="85" t="str">
        <f>VLOOKUP(A10, Factions!A:B, 2, FALSE)</f>
        <v>Ratkin</v>
      </c>
      <c r="C10" s="83">
        <v>2.0</v>
      </c>
      <c r="D10" s="85">
        <f>IF($C10="All",COUNTIFS(Units!$E:$E, $B10),COUNTIFS(Units!$E:$E, $B10, Units!$I:$I, $C10)
)
</f>
        <v>9</v>
      </c>
      <c r="E10" s="87">
        <f>IF($C10="All",COUNTIFS(Units!$E:$E, $B10, Units!$G:$G, E$4),COUNTIFS(Units!$E:$E, $B10, Units!$G:$G, E$4, Units!$I:$I, $C10)
)
</f>
        <v>0</v>
      </c>
      <c r="F10" s="87">
        <f>IF($C10="All",COUNTIFS(Units!$E:$E, $B10, Units!$G:$G, F$4),COUNTIFS(Units!$E:$E, $B10, Units!$G:$G, F$4, Units!$I:$I, $C10)
)
</f>
        <v>0</v>
      </c>
      <c r="G10" s="87">
        <f>IF($C10="All",COUNTIFS(Units!$E:$E, $B10, Units!$G:$G, G$4),COUNTIFS(Units!$E:$E, $B10, Units!$G:$G, G$4, Units!$I:$I, $C10)
)
</f>
        <v>0</v>
      </c>
      <c r="H10" s="87">
        <f>IF($C10="All",COUNTIFS(Units!$E:$E, $B10, Units!$G:$G, H$4),COUNTIFS(Units!$E:$E, $B10, Units!$G:$G, H$4, Units!$I:$I, $C10)
)
</f>
        <v>0</v>
      </c>
      <c r="I10" s="87">
        <f>IF($C10="All",COUNTIFS(Units!$E:$E, $B10, Units!$G:$G, I$4),COUNTIFS(Units!$E:$E, $B10, Units!$G:$G, I$4, Units!$I:$I, $C10)
)
</f>
        <v>1</v>
      </c>
      <c r="J10" s="87">
        <f>IF($C10="All",COUNTIFS(Units!$E:$E, $B10, Units!$G:$G, J$4),COUNTIFS(Units!$E:$E, $B10, Units!$G:$G, J$4, Units!$I:$I, $C10)
)
</f>
        <v>1</v>
      </c>
      <c r="K10" s="87">
        <f>IF($C10="All",COUNTIFS(Units!$E:$E, $B10, Units!$G:$G, K$4),COUNTIFS(Units!$E:$E, $B10, Units!$G:$G, K$4, Units!$I:$I, $C10)
)
</f>
        <v>1</v>
      </c>
      <c r="L10" s="87">
        <f>IF($C10="All",COUNTIFS(Units!$E:$E, $B10, Units!$G:$G, L$4),COUNTIFS(Units!$E:$E, $B10, Units!$G:$G, L$4, Units!$I:$I, $C10)
)
</f>
        <v>0</v>
      </c>
      <c r="M10" s="87"/>
      <c r="N10" s="87">
        <f>IF($C10="All",COUNTIFS(Units!$E:$E, $B10, Units!$G:$G, N$4),COUNTIFS(Units!$E:$E, $B10, Units!$G:$G, N$4, Units!$I:$I, $C10)
)
</f>
        <v>2</v>
      </c>
      <c r="O10" s="87">
        <f>IF($C10="All",COUNTIFS(Units!$E:$E, $B10, Units!$G:$G, O$4),COUNTIFS(Units!$E:$E, $B10, Units!$G:$G, O$4, Units!$I:$I, $C10)
)
</f>
        <v>0</v>
      </c>
      <c r="P10" s="87">
        <f>IF($C10="All",COUNTIFS(Units!$E:$E, $B10, Units!$G:$G, P$4),COUNTIFS(Units!$E:$E, $B10, Units!$G:$G, P$4, Units!$I:$I, $C10)
)
</f>
        <v>0</v>
      </c>
      <c r="Q10" s="87">
        <f>IF($C10="All",COUNTIFS(Units!$E:$E, $B10, Units!$G:$G, Q$4),COUNTIFS(Units!$E:$E, $B10, Units!$G:$G, Q$4, Units!$I:$I, $C10)
)
</f>
        <v>0</v>
      </c>
      <c r="R10" s="87">
        <f>IF($C10="All",COUNTIFS(Units!$E:$E, $B10, Units!$G:$G, R$4),COUNTIFS(Units!$E:$E, $B10, Units!$G:$G, R$4, Units!$I:$I, $C10)
)
</f>
        <v>0</v>
      </c>
      <c r="S10" s="87">
        <f>IF($C10="All",COUNTIFS(Units!$E:$E, $B10, Units!$G:$G, S$4),COUNTIFS(Units!$E:$E, $B10, Units!$G:$G, S$4, Units!$I:$I, $C10)
)
</f>
        <v>3</v>
      </c>
      <c r="T10" s="87">
        <f>IF($C10="All",COUNTIFS(Units!$E:$E, $B10, Units!$G:$G, T$4),COUNTIFS(Units!$E:$E, $B10, Units!$G:$G, T$4, Units!$I:$I, $C10)
)
</f>
        <v>1</v>
      </c>
      <c r="U10" s="87">
        <f>IF($C10="All",COUNTIFS(Units!$E:$E, $B10, Units!$G:$G, U$4),COUNTIFS(Units!$E:$E, $B10, Units!$G:$G, U$4, Units!$I:$I, $C10)
)
</f>
        <v>0</v>
      </c>
      <c r="V10" s="87">
        <f>IF($C10="All",COUNTIFS(Units!$E:$E, $B10, Units!$G:$G, V$4),COUNTIFS(Units!$E:$E, $B10, Units!$G:$G, V$4, Units!$I:$I, $C10)
)
</f>
        <v>0</v>
      </c>
      <c r="W10" s="87">
        <f>IF($C10="All",COUNTIFS(Units!$E:$E, $B10, Units!$G:$G, W$4),COUNTIFS(Units!$E:$E, $B10, Units!$G:$G, W$4, Units!$I:$I, $C10)
)
</f>
        <v>0</v>
      </c>
      <c r="X10" s="87">
        <f>IF($C10="All",COUNTIFS(Units!$E:$E, $B10, Units!$G:$G, X$4),COUNTIFS(Units!$E:$E, $B10, Units!$G:$G, X$4, Units!$I:$I, $C10)
)
</f>
        <v>0</v>
      </c>
      <c r="Y10" s="87">
        <f>IF($C10="All",COUNTIFS(Units!$E:$E, $B10, Units!$G:$G, Y$4),COUNTIFS(Units!$E:$E, $B10, Units!$G:$G, Y$4, Units!$I:$I, $C10)
)
</f>
        <v>0</v>
      </c>
      <c r="Z10" s="87">
        <f>IF($C10="All",COUNTIFS(Units!$E:$E, $B10, Units!$G:$G, Z$4),COUNTIFS(Units!$E:$E, $B10, Units!$G:$G, Z$4, Units!$I:$I, $C10)
)
</f>
        <v>0</v>
      </c>
      <c r="AA10" s="87">
        <f>IF($C10="All",COUNTIFS(Units!$E:$E, $B10, Units!$G:$G, AA$4),COUNTIFS(Units!$E:$E, $B10, Units!$G:$G, AA$4, Units!$I:$I, $C10)
)
</f>
        <v>0</v>
      </c>
      <c r="AB10" s="87">
        <f>IF($C10="All",COUNTIFS(Units!$E:$E, $B10, Units!$G:$G, AB$4),COUNTIFS(Units!$E:$E, $B10, Units!$G:$G, AB$4, Units!$I:$I, $C10)
)
</f>
        <v>0</v>
      </c>
      <c r="AC10" s="87">
        <f>IF($C10="All",COUNTIFS(Units!$E:$E, $B10, Units!$G:$G, AC$4),COUNTIFS(Units!$E:$E, $B10, Units!$G:$G, AC$4, Units!$I:$I, $C10)
)
</f>
        <v>0</v>
      </c>
      <c r="AD10" s="87">
        <f t="shared" si="2"/>
        <v>3</v>
      </c>
      <c r="AE10" s="87">
        <f t="shared" si="3"/>
        <v>2</v>
      </c>
      <c r="AF10" s="87">
        <f t="shared" si="4"/>
        <v>0</v>
      </c>
      <c r="AG10" s="91">
        <f t="shared" si="5"/>
        <v>4</v>
      </c>
      <c r="AH10" s="85">
        <f>IF($C10=1,COUNTIFS(Units!$E:$E, $B10, Units!$J:$J, 1, Units!$I:$I, 1),0)
</f>
        <v>0</v>
      </c>
      <c r="AI10" s="85">
        <f>IF($C10=1,COUNTIFS(Units!$E:$E, $B10, Units!$J:$J, 2, Units!$I:$I, 1),0)
</f>
        <v>0</v>
      </c>
      <c r="AJ10" s="94">
        <f>IF($C10=1,COUNTIFS(Units!$E:$E, $B10, Units!$J:$J, 3, Units!$I:$I, 1),0)
</f>
        <v>0</v>
      </c>
      <c r="AK10" s="85">
        <f>IF($C10="All",COUNTIFS(Units!$E:$E, $B10, Units!$R:$R, "-"),COUNTIFS(Units!$E:$E, $B10, Units!$R:$R, "-", Units!$I:$I, $C10)
)
</f>
        <v>1</v>
      </c>
      <c r="AL10" s="85">
        <f>IF($C10="All",COUNTIFS(Units!$E:$E, $B10, Units!$R:$R, 6),COUNTIFS(Units!$E:$E, $B10, Units!$R:$R, 6, Units!$I:$I, $C10)
)
</f>
        <v>2</v>
      </c>
      <c r="AM10" s="85">
        <f>IF($C10="All",COUNTIFS(Units!$E:$E, $B10, Units!$R:$R, 5),COUNTIFS(Units!$E:$E, $B10, Units!$R:$R, 5, Units!$I:$I, $C10)
)
</f>
        <v>5</v>
      </c>
      <c r="AN10" s="85">
        <f>IF($C10="All",COUNTIFS(Units!$E:$E, $B10, Units!$R:$R, 4),COUNTIFS(Units!$E:$E, $B10, Units!$R:$R, 4, Units!$I:$I, $C10)
)
</f>
        <v>1</v>
      </c>
      <c r="AO10" s="94">
        <f>IF($C10="All",COUNTIFS(Units!$E:$E, $B10, Units!$R:$R, 3),COUNTIFS(Units!$E:$E, $B10, Units!$R:$R, 3, Units!$I:$I, $C10)
)
</f>
        <v>0</v>
      </c>
      <c r="AP10" s="85">
        <f>IF($C10="All",COUNTIFS(Units!$E:$E, $B10, Units!$M:$M, "&lt;&gt;1"),COUNTIFS(Units!$E:$E, $B10, Units!$M:$M, "&lt;&gt;1", Units!$I:$I, $C10)
)
</f>
        <v>4</v>
      </c>
      <c r="AQ10" s="94">
        <f>IF($C10="All",COUNTIFS(Units!$E:$E, $B10, Units!$S:$S, "*Maneouverable*"),COUNTIFS(Units!$E:$E, $B10, Units!$S:$S, "*Maneouverable*", Units!$I:$I, $C10)
)
</f>
        <v>0</v>
      </c>
      <c r="AR10" s="96">
        <f>IF($C10="All", 
    AVERAGEIFS(Units!$Q:$Q, Units!$E:$E, $B10, Units!$AY:$AY, false), 
    AVERAGEIFS(Units!$Q:$Q, Units!$E:$E, $B10, Units!$I:$I, $C10, Units!$AY:$AY, false)
)
</f>
        <v>2.666666667</v>
      </c>
      <c r="AS10" s="85">
        <f>IF($C10="All",COUNTIFS(Units!$E:$E, $B10, Units!$Q:$Q, "&lt;&gt;1"),COUNTIFS(Units!$E:$E, $B10, Units!$Q:$Q, "&lt;&gt;1", Units!$I:$I, $C10)
)</f>
        <v>6</v>
      </c>
      <c r="AT10" s="85">
        <f>AS10 - IF($C10="All",COUNTIFS(Units!$E:$E, $B10, Units!$Q:$Q, 2),COUNTIFS(Units!$E:$E, $B10, Units!$Q:$Q, 2, Units!$I:$I, $C10)
)</f>
        <v>6</v>
      </c>
      <c r="AU10" s="96">
        <f>IF($C10="All", 
    AVERAGEIFS(Units!$AQ:$AQ, Units!$E:$E, $B10, Units!$AY:$AY, false), 
    AVERAGEIFS(Units!$AQ:$AQ, Units!$E:$E, $B10, Units!$I:$I, $C10, Units!$AY:$AY, false)
)
</f>
        <v>6.666666667</v>
      </c>
      <c r="AV10" s="96">
        <f>IF($C10="All", 
    AVERAGEIFS(Units!$AR:$AR, Units!$E:$E, $B10, Units!$AY:$AY, false), 
    AVERAGEIFS(Units!$AR:$AR, Units!$E:$E, $B10, Units!$I:$I, $C10, Units!$AY:$AY, false)
)</f>
        <v>9.35</v>
      </c>
      <c r="AW10" s="96">
        <f>IF($C10="All", 
    AVERAGEIFS(Units!$AW:$AW, Units!$E:$E, $B10, Units!$AY:$AY, false), 
    AVERAGEIFS(Units!$AW:$AW, Units!$E:$E, $B10, Units!$I:$I, $C10, Units!$AY:$AY, false)
)
</f>
        <v>3.083333333</v>
      </c>
    </row>
    <row r="11" ht="22.5" hidden="1" customHeight="1">
      <c r="A11" s="82" t="str">
        <f t="shared" si="1"/>
        <v>02</v>
      </c>
      <c r="B11" s="85" t="str">
        <f>VLOOKUP(A11, Factions!A:B, 2, FALSE)</f>
        <v>Ratkin</v>
      </c>
      <c r="C11" s="83">
        <v>3.0</v>
      </c>
      <c r="D11" s="85">
        <f>IF($C11="All",COUNTIFS(Units!$E:$E, $B11),COUNTIFS(Units!$E:$E, $B11, Units!$I:$I, $C11)
)
</f>
        <v>5</v>
      </c>
      <c r="E11" s="87">
        <f>IF($C11="All",COUNTIFS(Units!$E:$E, $B11, Units!$G:$G, E$4),COUNTIFS(Units!$E:$E, $B11, Units!$G:$G, E$4, Units!$I:$I, $C11)
)
</f>
        <v>0</v>
      </c>
      <c r="F11" s="87">
        <f>IF($C11="All",COUNTIFS(Units!$E:$E, $B11, Units!$G:$G, F$4),COUNTIFS(Units!$E:$E, $B11, Units!$G:$G, F$4, Units!$I:$I, $C11)
)
</f>
        <v>0</v>
      </c>
      <c r="G11" s="87">
        <f>IF($C11="All",COUNTIFS(Units!$E:$E, $B11, Units!$G:$G, G$4),COUNTIFS(Units!$E:$E, $B11, Units!$G:$G, G$4, Units!$I:$I, $C11)
)
</f>
        <v>0</v>
      </c>
      <c r="H11" s="87">
        <f>IF($C11="All",COUNTIFS(Units!$E:$E, $B11, Units!$G:$G, H$4),COUNTIFS(Units!$E:$E, $B11, Units!$G:$G, H$4, Units!$I:$I, $C11)
)
</f>
        <v>0</v>
      </c>
      <c r="I11" s="87">
        <f>IF($C11="All",COUNTIFS(Units!$E:$E, $B11, Units!$G:$G, I$4),COUNTIFS(Units!$E:$E, $B11, Units!$G:$G, I$4, Units!$I:$I, $C11)
)
</f>
        <v>0</v>
      </c>
      <c r="J11" s="87">
        <f>IF($C11="All",COUNTIFS(Units!$E:$E, $B11, Units!$G:$G, J$4),COUNTIFS(Units!$E:$E, $B11, Units!$G:$G, J$4, Units!$I:$I, $C11)
)
</f>
        <v>0</v>
      </c>
      <c r="K11" s="87">
        <f>IF($C11="All",COUNTIFS(Units!$E:$E, $B11, Units!$G:$G, K$4),COUNTIFS(Units!$E:$E, $B11, Units!$G:$G, K$4, Units!$I:$I, $C11)
)
</f>
        <v>0</v>
      </c>
      <c r="L11" s="87">
        <f>IF($C11="All",COUNTIFS(Units!$E:$E, $B11, Units!$G:$G, L$4),COUNTIFS(Units!$E:$E, $B11, Units!$G:$G, L$4, Units!$I:$I, $C11)
)
</f>
        <v>0</v>
      </c>
      <c r="M11" s="87"/>
      <c r="N11" s="87">
        <f>IF($C11="All",COUNTIFS(Units!$E:$E, $B11, Units!$G:$G, N$4),COUNTIFS(Units!$E:$E, $B11, Units!$G:$G, N$4, Units!$I:$I, $C11)
)
</f>
        <v>0</v>
      </c>
      <c r="O11" s="87">
        <f>IF($C11="All",COUNTIFS(Units!$E:$E, $B11, Units!$G:$G, O$4),COUNTIFS(Units!$E:$E, $B11, Units!$G:$G, O$4, Units!$I:$I, $C11)
)
</f>
        <v>0</v>
      </c>
      <c r="P11" s="87">
        <f>IF($C11="All",COUNTIFS(Units!$E:$E, $B11, Units!$G:$G, P$4),COUNTIFS(Units!$E:$E, $B11, Units!$G:$G, P$4, Units!$I:$I, $C11)
)
</f>
        <v>0</v>
      </c>
      <c r="Q11" s="87">
        <f>IF($C11="All",COUNTIFS(Units!$E:$E, $B11, Units!$G:$G, Q$4),COUNTIFS(Units!$E:$E, $B11, Units!$G:$G, Q$4, Units!$I:$I, $C11)
)
</f>
        <v>0</v>
      </c>
      <c r="R11" s="87">
        <f>IF($C11="All",COUNTIFS(Units!$E:$E, $B11, Units!$G:$G, R$4),COUNTIFS(Units!$E:$E, $B11, Units!$G:$G, R$4, Units!$I:$I, $C11)
)
</f>
        <v>0</v>
      </c>
      <c r="S11" s="87">
        <f>IF($C11="All",COUNTIFS(Units!$E:$E, $B11, Units!$G:$G, S$4),COUNTIFS(Units!$E:$E, $B11, Units!$G:$G, S$4, Units!$I:$I, $C11)
)
</f>
        <v>0</v>
      </c>
      <c r="T11" s="87">
        <f>IF($C11="All",COUNTIFS(Units!$E:$E, $B11, Units!$G:$G, T$4),COUNTIFS(Units!$E:$E, $B11, Units!$G:$G, T$4, Units!$I:$I, $C11)
)
</f>
        <v>0</v>
      </c>
      <c r="U11" s="87">
        <f>IF($C11="All",COUNTIFS(Units!$E:$E, $B11, Units!$G:$G, U$4),COUNTIFS(Units!$E:$E, $B11, Units!$G:$G, U$4, Units!$I:$I, $C11)
)
</f>
        <v>1</v>
      </c>
      <c r="V11" s="87">
        <f>IF($C11="All",COUNTIFS(Units!$E:$E, $B11, Units!$G:$G, V$4),COUNTIFS(Units!$E:$E, $B11, Units!$G:$G, V$4, Units!$I:$I, $C11)
)
</f>
        <v>1</v>
      </c>
      <c r="W11" s="87">
        <f>IF($C11="All",COUNTIFS(Units!$E:$E, $B11, Units!$G:$G, W$4),COUNTIFS(Units!$E:$E, $B11, Units!$G:$G, W$4, Units!$I:$I, $C11)
)
</f>
        <v>0</v>
      </c>
      <c r="X11" s="87">
        <f>IF($C11="All",COUNTIFS(Units!$E:$E, $B11, Units!$G:$G, X$4),COUNTIFS(Units!$E:$E, $B11, Units!$G:$G, X$4, Units!$I:$I, $C11)
)
</f>
        <v>2</v>
      </c>
      <c r="Y11" s="87">
        <f>IF($C11="All",COUNTIFS(Units!$E:$E, $B11, Units!$G:$G, Y$4),COUNTIFS(Units!$E:$E, $B11, Units!$G:$G, Y$4, Units!$I:$I, $C11)
)
</f>
        <v>0</v>
      </c>
      <c r="Z11" s="87">
        <f>IF($C11="All",COUNTIFS(Units!$E:$E, $B11, Units!$G:$G, Z$4),COUNTIFS(Units!$E:$E, $B11, Units!$G:$G, Z$4, Units!$I:$I, $C11)
)
</f>
        <v>0</v>
      </c>
      <c r="AA11" s="87">
        <f>IF($C11="All",COUNTIFS(Units!$E:$E, $B11, Units!$G:$G, AA$4),COUNTIFS(Units!$E:$E, $B11, Units!$G:$G, AA$4, Units!$I:$I, $C11)
)
</f>
        <v>0</v>
      </c>
      <c r="AB11" s="87">
        <f>IF($C11="All",COUNTIFS(Units!$E:$E, $B11, Units!$G:$G, AB$4),COUNTIFS(Units!$E:$E, $B11, Units!$G:$G, AB$4, Units!$I:$I, $C11)
)
</f>
        <v>0</v>
      </c>
      <c r="AC11" s="87">
        <f>IF($C11="All",COUNTIFS(Units!$E:$E, $B11, Units!$G:$G, AC$4),COUNTIFS(Units!$E:$E, $B11, Units!$G:$G, AC$4, Units!$I:$I, $C11)
)
</f>
        <v>1</v>
      </c>
      <c r="AD11" s="87">
        <f t="shared" si="2"/>
        <v>0</v>
      </c>
      <c r="AE11" s="87">
        <f t="shared" si="3"/>
        <v>0</v>
      </c>
      <c r="AF11" s="87">
        <f t="shared" si="4"/>
        <v>0</v>
      </c>
      <c r="AG11" s="91">
        <f t="shared" si="5"/>
        <v>0</v>
      </c>
      <c r="AH11" s="85">
        <f>IF($C11=1,COUNTIFS(Units!$E:$E, $B11, Units!$J:$J, 1, Units!$I:$I, 1),0)
</f>
        <v>0</v>
      </c>
      <c r="AI11" s="85">
        <f>IF($C11=1,COUNTIFS(Units!$E:$E, $B11, Units!$J:$J, 2, Units!$I:$I, 1),0)
</f>
        <v>0</v>
      </c>
      <c r="AJ11" s="94">
        <f>IF($C11=1,COUNTIFS(Units!$E:$E, $B11, Units!$J:$J, 3, Units!$I:$I, 1),0)
</f>
        <v>0</v>
      </c>
      <c r="AK11" s="85">
        <f>IF($C11="All",COUNTIFS(Units!$E:$E, $B11, Units!$R:$R, "-"),COUNTIFS(Units!$E:$E, $B11, Units!$R:$R, "-", Units!$I:$I, $C11)
)
</f>
        <v>0</v>
      </c>
      <c r="AL11" s="85">
        <f>IF($C11="All",COUNTIFS(Units!$E:$E, $B11, Units!$R:$R, 6),COUNTIFS(Units!$E:$E, $B11, Units!$R:$R, 6, Units!$I:$I, $C11)
)
</f>
        <v>0</v>
      </c>
      <c r="AM11" s="85">
        <f>IF($C11="All",COUNTIFS(Units!$E:$E, $B11, Units!$R:$R, 5),COUNTIFS(Units!$E:$E, $B11, Units!$R:$R, 5, Units!$I:$I, $C11)
)
</f>
        <v>4</v>
      </c>
      <c r="AN11" s="85">
        <f>IF($C11="All",COUNTIFS(Units!$E:$E, $B11, Units!$R:$R, 4),COUNTIFS(Units!$E:$E, $B11, Units!$R:$R, 4, Units!$I:$I, $C11)
)
</f>
        <v>1</v>
      </c>
      <c r="AO11" s="94">
        <f>IF($C11="All",COUNTIFS(Units!$E:$E, $B11, Units!$R:$R, 3),COUNTIFS(Units!$E:$E, $B11, Units!$R:$R, 3, Units!$I:$I, $C11)
)
</f>
        <v>0</v>
      </c>
      <c r="AP11" s="85">
        <f>IF($C11="All",COUNTIFS(Units!$E:$E, $B11, Units!$M:$M, "&lt;&gt;1"),COUNTIFS(Units!$E:$E, $B11, Units!$M:$M, "&lt;&gt;1", Units!$I:$I, $C11)
)
</f>
        <v>2</v>
      </c>
      <c r="AQ11" s="94">
        <f>IF($C11="All",COUNTIFS(Units!$E:$E, $B11, Units!$S:$S, "*Maneouverable*"),COUNTIFS(Units!$E:$E, $B11, Units!$S:$S, "*Maneouverable*", Units!$I:$I, $C11)
)
</f>
        <v>0</v>
      </c>
      <c r="AR11" s="96">
        <f>IF($C11="All", 
    AVERAGEIFS(Units!$Q:$Q, Units!$E:$E, $B11, Units!$AY:$AY, false), 
    AVERAGEIFS(Units!$Q:$Q, Units!$E:$E, $B11, Units!$I:$I, $C11, Units!$AY:$AY, false)
)
</f>
        <v>3.666666667</v>
      </c>
      <c r="AS11" s="85">
        <f>IF($C11="All",COUNTIFS(Units!$E:$E, $B11, Units!$Q:$Q, "&lt;&gt;1"),COUNTIFS(Units!$E:$E, $B11, Units!$Q:$Q, "&lt;&gt;1", Units!$I:$I, $C11)
)</f>
        <v>5</v>
      </c>
      <c r="AT11" s="85">
        <f>AS11 - IF($C11="All",COUNTIFS(Units!$E:$E, $B11, Units!$Q:$Q, 2),COUNTIFS(Units!$E:$E, $B11, Units!$Q:$Q, 2, Units!$I:$I, $C11)
)</f>
        <v>4</v>
      </c>
      <c r="AU11" s="96">
        <f>IF($C11="All", 
    AVERAGEIFS(Units!$AQ:$AQ, Units!$E:$E, $B11, Units!$AY:$AY, false), 
    AVERAGEIFS(Units!$AQ:$AQ, Units!$E:$E, $B11, Units!$I:$I, $C11, Units!$AY:$AY, false)
)
</f>
        <v>4.666666667</v>
      </c>
      <c r="AV11" s="96">
        <f>IF($C11="All", 
    AVERAGEIFS(Units!$AR:$AR, Units!$E:$E, $B11, Units!$AY:$AY, false), 
    AVERAGEIFS(Units!$AR:$AR, Units!$E:$E, $B11, Units!$I:$I, $C11, Units!$AY:$AY, false)
)</f>
        <v>7.833333333</v>
      </c>
      <c r="AW11" s="96">
        <f>IF($C11="All", 
    AVERAGEIFS(Units!$AW:$AW, Units!$E:$E, $B11, Units!$AY:$AY, false), 
    AVERAGEIFS(Units!$AW:$AW, Units!$E:$E, $B11, Units!$I:$I, $C11, Units!$AY:$AY, false)
)
</f>
        <v>3.666666667</v>
      </c>
    </row>
    <row r="12" ht="22.5" customHeight="1">
      <c r="A12" s="82" t="str">
        <f t="shared" si="1"/>
        <v>02</v>
      </c>
      <c r="B12" s="85" t="str">
        <f>VLOOKUP(A12, Factions!A:B, 2, FALSE)</f>
        <v>Ratkin</v>
      </c>
      <c r="C12" s="83" t="s">
        <v>382</v>
      </c>
      <c r="D12" s="85">
        <f>IF($C12="All",COUNTIFS(Units!$E:$E, $B12),COUNTIFS(Units!$E:$E, $B12, Units!$I:$I, $C12)
)
</f>
        <v>20</v>
      </c>
      <c r="E12" s="87">
        <f>IF($C12="All",COUNTIFS(Units!$E:$E, $B12, Units!$G:$G, E$4),COUNTIFS(Units!$E:$E, $B12, Units!$G:$G, E$4, Units!$I:$I, $C12)
)
</f>
        <v>1</v>
      </c>
      <c r="F12" s="87">
        <f>IF($C12="All",COUNTIFS(Units!$E:$E, $B12, Units!$G:$G, F$4),COUNTIFS(Units!$E:$E, $B12, Units!$G:$G, F$4, Units!$I:$I, $C12)
)
</f>
        <v>1</v>
      </c>
      <c r="G12" s="87">
        <f>IF($C12="All",COUNTIFS(Units!$E:$E, $B12, Units!$G:$G, G$4),COUNTIFS(Units!$E:$E, $B12, Units!$G:$G, G$4, Units!$I:$I, $C12)
)
</f>
        <v>2</v>
      </c>
      <c r="H12" s="87">
        <f>IF($C12="All",COUNTIFS(Units!$E:$E, $B12, Units!$G:$G, H$4),COUNTIFS(Units!$E:$E, $B12, Units!$G:$G, H$4, Units!$I:$I, $C12)
)
</f>
        <v>1</v>
      </c>
      <c r="I12" s="87">
        <f>IF($C12="All",COUNTIFS(Units!$E:$E, $B12, Units!$G:$G, I$4),COUNTIFS(Units!$E:$E, $B12, Units!$G:$G, I$4, Units!$I:$I, $C12)
)
</f>
        <v>1</v>
      </c>
      <c r="J12" s="87">
        <f>IF($C12="All",COUNTIFS(Units!$E:$E, $B12, Units!$G:$G, J$4),COUNTIFS(Units!$E:$E, $B12, Units!$G:$G, J$4, Units!$I:$I, $C12)
)
</f>
        <v>1</v>
      </c>
      <c r="K12" s="87">
        <f>IF($C12="All",COUNTIFS(Units!$E:$E, $B12, Units!$G:$G, K$4),COUNTIFS(Units!$E:$E, $B12, Units!$G:$G, K$4, Units!$I:$I, $C12)
)
</f>
        <v>2</v>
      </c>
      <c r="L12" s="87">
        <f>IF($C12="All",COUNTIFS(Units!$E:$E, $B12, Units!$G:$G, L$4),COUNTIFS(Units!$E:$E, $B12, Units!$G:$G, L$4, Units!$I:$I, $C12)
)
</f>
        <v>0</v>
      </c>
      <c r="M12" s="87"/>
      <c r="N12" s="87">
        <f>IF($C12="All",COUNTIFS(Units!$E:$E, $B12, Units!$G:$G, N$4),COUNTIFS(Units!$E:$E, $B12, Units!$G:$G, N$4, Units!$I:$I, $C12)
)
</f>
        <v>2</v>
      </c>
      <c r="O12" s="87">
        <f>IF($C12="All",COUNTIFS(Units!$E:$E, $B12, Units!$G:$G, O$4),COUNTIFS(Units!$E:$E, $B12, Units!$G:$G, O$4, Units!$I:$I, $C12)
)
</f>
        <v>0</v>
      </c>
      <c r="P12" s="87">
        <f>IF($C12="All",COUNTIFS(Units!$E:$E, $B12, Units!$G:$G, P$4),COUNTIFS(Units!$E:$E, $B12, Units!$G:$G, P$4, Units!$I:$I, $C12)
)
</f>
        <v>0</v>
      </c>
      <c r="Q12" s="87">
        <f>IF($C12="All",COUNTIFS(Units!$E:$E, $B12, Units!$G:$G, Q$4),COUNTIFS(Units!$E:$E, $B12, Units!$G:$G, Q$4, Units!$I:$I, $C12)
)
</f>
        <v>0</v>
      </c>
      <c r="R12" s="87">
        <f>IF($C12="All",COUNTIFS(Units!$E:$E, $B12, Units!$G:$G, R$4),COUNTIFS(Units!$E:$E, $B12, Units!$G:$G, R$4, Units!$I:$I, $C12)
)
</f>
        <v>0</v>
      </c>
      <c r="S12" s="87">
        <f>IF($C12="All",COUNTIFS(Units!$E:$E, $B12, Units!$G:$G, S$4),COUNTIFS(Units!$E:$E, $B12, Units!$G:$G, S$4, Units!$I:$I, $C12)
)
</f>
        <v>3</v>
      </c>
      <c r="T12" s="87">
        <f>IF($C12="All",COUNTIFS(Units!$E:$E, $B12, Units!$G:$G, T$4),COUNTIFS(Units!$E:$E, $B12, Units!$G:$G, T$4, Units!$I:$I, $C12)
)
</f>
        <v>1</v>
      </c>
      <c r="U12" s="87">
        <f>IF($C12="All",COUNTIFS(Units!$E:$E, $B12, Units!$G:$G, U$4),COUNTIFS(Units!$E:$E, $B12, Units!$G:$G, U$4, Units!$I:$I, $C12)
)
</f>
        <v>1</v>
      </c>
      <c r="V12" s="87">
        <f>IF($C12="All",COUNTIFS(Units!$E:$E, $B12, Units!$G:$G, V$4),COUNTIFS(Units!$E:$E, $B12, Units!$G:$G, V$4, Units!$I:$I, $C12)
)
</f>
        <v>1</v>
      </c>
      <c r="W12" s="87">
        <f>IF($C12="All",COUNTIFS(Units!$E:$E, $B12, Units!$G:$G, W$4),COUNTIFS(Units!$E:$E, $B12, Units!$G:$G, W$4, Units!$I:$I, $C12)
)
</f>
        <v>0</v>
      </c>
      <c r="X12" s="87">
        <f>IF($C12="All",COUNTIFS(Units!$E:$E, $B12, Units!$G:$G, X$4),COUNTIFS(Units!$E:$E, $B12, Units!$G:$G, X$4, Units!$I:$I, $C12)
)
</f>
        <v>2</v>
      </c>
      <c r="Y12" s="87">
        <f>IF($C12="All",COUNTIFS(Units!$E:$E, $B12, Units!$G:$G, Y$4),COUNTIFS(Units!$E:$E, $B12, Units!$G:$G, Y$4, Units!$I:$I, $C12)
)
</f>
        <v>0</v>
      </c>
      <c r="Z12" s="87">
        <f>IF($C12="All",COUNTIFS(Units!$E:$E, $B12, Units!$G:$G, Z$4),COUNTIFS(Units!$E:$E, $B12, Units!$G:$G, Z$4, Units!$I:$I, $C12)
)
</f>
        <v>0</v>
      </c>
      <c r="AA12" s="87">
        <f>IF($C12="All",COUNTIFS(Units!$E:$E, $B12, Units!$G:$G, AA$4),COUNTIFS(Units!$E:$E, $B12, Units!$G:$G, AA$4, Units!$I:$I, $C12)
)
</f>
        <v>0</v>
      </c>
      <c r="AB12" s="87">
        <f>IF($C12="All",COUNTIFS(Units!$E:$E, $B12, Units!$G:$G, AB$4),COUNTIFS(Units!$E:$E, $B12, Units!$G:$G, AB$4, Units!$I:$I, $C12)
)
</f>
        <v>0</v>
      </c>
      <c r="AC12" s="87">
        <f>IF($C12="All",COUNTIFS(Units!$E:$E, $B12, Units!$G:$G, AC$4),COUNTIFS(Units!$E:$E, $B12, Units!$G:$G, AC$4, Units!$I:$I, $C12)
)
</f>
        <v>1</v>
      </c>
      <c r="AD12" s="87">
        <f t="shared" si="2"/>
        <v>8</v>
      </c>
      <c r="AE12" s="87">
        <f t="shared" si="3"/>
        <v>2</v>
      </c>
      <c r="AF12" s="87">
        <f t="shared" si="4"/>
        <v>1</v>
      </c>
      <c r="AG12" s="91">
        <f t="shared" si="5"/>
        <v>4</v>
      </c>
      <c r="AH12" s="85">
        <f>IF($C12=1,COUNTIFS(Units!$E:$E, $B12, Units!$J:$J, 1, Units!$I:$I, 1),0)
</f>
        <v>0</v>
      </c>
      <c r="AI12" s="85">
        <f>IF($C12=1,COUNTIFS(Units!$E:$E, $B12, Units!$J:$J, 2, Units!$I:$I, 1),0)
</f>
        <v>0</v>
      </c>
      <c r="AJ12" s="94">
        <f>IF($C12=1,COUNTIFS(Units!$E:$E, $B12, Units!$J:$J, 3, Units!$I:$I, 1),0)
</f>
        <v>0</v>
      </c>
      <c r="AK12" s="85">
        <f>IF($C12="All",COUNTIFS(Units!$E:$E, $B12, Units!$R:$R, "-"),COUNTIFS(Units!$E:$E, $B12, Units!$R:$R, "-", Units!$I:$I, $C12)
)
</f>
        <v>5</v>
      </c>
      <c r="AL12" s="85">
        <f>IF($C12="All",COUNTIFS(Units!$E:$E, $B12, Units!$R:$R, 6),COUNTIFS(Units!$E:$E, $B12, Units!$R:$R, 6, Units!$I:$I, $C12)
)
</f>
        <v>4</v>
      </c>
      <c r="AM12" s="85">
        <f>IF($C12="All",COUNTIFS(Units!$E:$E, $B12, Units!$R:$R, 5),COUNTIFS(Units!$E:$E, $B12, Units!$R:$R, 5, Units!$I:$I, $C12)
)
</f>
        <v>9</v>
      </c>
      <c r="AN12" s="85">
        <f>IF($C12="All",COUNTIFS(Units!$E:$E, $B12, Units!$R:$R, 4),COUNTIFS(Units!$E:$E, $B12, Units!$R:$R, 4, Units!$I:$I, $C12)
)
</f>
        <v>2</v>
      </c>
      <c r="AO12" s="94">
        <f>IF($C12="All",COUNTIFS(Units!$E:$E, $B12, Units!$R:$R, 3),COUNTIFS(Units!$E:$E, $B12, Units!$R:$R, 3, Units!$I:$I, $C12)
)
</f>
        <v>0</v>
      </c>
      <c r="AP12" s="85">
        <f>IF($C12="All",COUNTIFS(Units!$E:$E, $B12, Units!$M:$M, "&lt;&gt;1"),COUNTIFS(Units!$E:$E, $B12, Units!$M:$M, "&lt;&gt;1", Units!$I:$I, $C12)
)
</f>
        <v>7</v>
      </c>
      <c r="AQ12" s="94">
        <f>IF($C12="All",COUNTIFS(Units!$E:$E, $B12, Units!$S:$S, "*Maneouverable*"),COUNTIFS(Units!$E:$E, $B12, Units!$S:$S, "*Maneouverable*", Units!$I:$I, $C12)
)
</f>
        <v>0</v>
      </c>
      <c r="AR12" s="96">
        <f>IF($C12="All", 
    AVERAGEIFS(Units!$Q:$Q, Units!$E:$E, $B12, Units!$AY:$AY, false), 
    AVERAGEIFS(Units!$Q:$Q, Units!$E:$E, $B12, Units!$I:$I, $C12, Units!$AY:$AY, false)
)
</f>
        <v>2.2</v>
      </c>
      <c r="AS12" s="85">
        <f>IF($C12="All",COUNTIFS(Units!$E:$E, $B12, Units!$Q:$Q, "&lt;&gt;1"),COUNTIFS(Units!$E:$E, $B12, Units!$Q:$Q, "&lt;&gt;1", Units!$I:$I, $C12)
)</f>
        <v>11</v>
      </c>
      <c r="AT12" s="85">
        <f>AS12 - IF($C12="All",COUNTIFS(Units!$E:$E, $B12, Units!$Q:$Q, 2),COUNTIFS(Units!$E:$E, $B12, Units!$Q:$Q, 2, Units!$I:$I, $C12)
)</f>
        <v>10</v>
      </c>
      <c r="AU12" s="96">
        <f>IF($C12="All", 
    AVERAGEIFS(Units!$AQ:$AQ, Units!$E:$E, $B12, Units!$AY:$AY, false), 
    AVERAGEIFS(Units!$AQ:$AQ, Units!$E:$E, $B12, Units!$I:$I, $C12, Units!$AY:$AY, false)
)
</f>
        <v>7.2</v>
      </c>
      <c r="AV12" s="96">
        <f>IF($C12="All", 
    AVERAGEIFS(Units!$AR:$AR, Units!$E:$E, $B12, Units!$AY:$AY, false), 
    AVERAGEIFS(Units!$AR:$AR, Units!$E:$E, $B12, Units!$I:$I, $C12, Units!$AY:$AY, false)
)</f>
        <v>9.146666667</v>
      </c>
      <c r="AW12" s="96">
        <f>IF($C12="All", 
    AVERAGEIFS(Units!$AW:$AW, Units!$E:$E, $B12, Units!$AY:$AY, false), 
    AVERAGEIFS(Units!$AW:$AW, Units!$E:$E, $B12, Units!$I:$I, $C12, Units!$AY:$AY, false)
)
</f>
        <v>3</v>
      </c>
    </row>
    <row r="13" ht="22.5" hidden="1" customHeight="1">
      <c r="A13" s="82" t="str">
        <f t="shared" si="1"/>
        <v>03</v>
      </c>
      <c r="B13" s="85" t="str">
        <f>VLOOKUP(A13, Factions!A:B, 2, FALSE)</f>
        <v>Boneborn</v>
      </c>
      <c r="C13" s="83">
        <v>1.0</v>
      </c>
      <c r="D13" s="85">
        <f>IF($C13="All",COUNTIFS(Units!$E:$E, $B13),COUNTIFS(Units!$E:$E, $B13, Units!$I:$I, $C13)
)
</f>
        <v>6</v>
      </c>
      <c r="E13" s="87">
        <f>IF($C13="All",COUNTIFS(Units!$E:$E, $B13, Units!$G:$G, E$4),COUNTIFS(Units!$E:$E, $B13, Units!$G:$G, E$4, Units!$I:$I, $C13)
)
</f>
        <v>1</v>
      </c>
      <c r="F13" s="87">
        <f>IF($C13="All",COUNTIFS(Units!$E:$E, $B13, Units!$G:$G, F$4),COUNTIFS(Units!$E:$E, $B13, Units!$G:$G, F$4, Units!$I:$I, $C13)
)
</f>
        <v>1</v>
      </c>
      <c r="G13" s="87">
        <f>IF($C13="All",COUNTIFS(Units!$E:$E, $B13, Units!$G:$G, G$4),COUNTIFS(Units!$E:$E, $B13, Units!$G:$G, G$4, Units!$I:$I, $C13)
)
</f>
        <v>1</v>
      </c>
      <c r="H13" s="87">
        <f>IF($C13="All",COUNTIFS(Units!$E:$E, $B13, Units!$G:$G, H$4),COUNTIFS(Units!$E:$E, $B13, Units!$G:$G, H$4, Units!$I:$I, $C13)
)
</f>
        <v>1</v>
      </c>
      <c r="I13" s="87">
        <f>IF($C13="All",COUNTIFS(Units!$E:$E, $B13, Units!$G:$G, I$4),COUNTIFS(Units!$E:$E, $B13, Units!$G:$G, I$4, Units!$I:$I, $C13)
)
</f>
        <v>2</v>
      </c>
      <c r="J13" s="87">
        <f>IF($C13="All",COUNTIFS(Units!$E:$E, $B13, Units!$G:$G, J$4),COUNTIFS(Units!$E:$E, $B13, Units!$G:$G, J$4, Units!$I:$I, $C13)
)
</f>
        <v>0</v>
      </c>
      <c r="K13" s="87">
        <f>IF($C13="All",COUNTIFS(Units!$E:$E, $B13, Units!$G:$G, K$4),COUNTIFS(Units!$E:$E, $B13, Units!$G:$G, K$4, Units!$I:$I, $C13)
)
</f>
        <v>0</v>
      </c>
      <c r="L13" s="87">
        <f>IF($C13="All",COUNTIFS(Units!$E:$E, $B13, Units!$G:$G, L$4),COUNTIFS(Units!$E:$E, $B13, Units!$G:$G, L$4, Units!$I:$I, $C13)
)
</f>
        <v>0</v>
      </c>
      <c r="M13" s="87"/>
      <c r="N13" s="87">
        <f>IF($C13="All",COUNTIFS(Units!$E:$E, $B13, Units!$G:$G, N$4),COUNTIFS(Units!$E:$E, $B13, Units!$G:$G, N$4, Units!$I:$I, $C13)
)
</f>
        <v>0</v>
      </c>
      <c r="O13" s="87">
        <f>IF($C13="All",COUNTIFS(Units!$E:$E, $B13, Units!$G:$G, O$4),COUNTIFS(Units!$E:$E, $B13, Units!$G:$G, O$4, Units!$I:$I, $C13)
)
</f>
        <v>0</v>
      </c>
      <c r="P13" s="87">
        <f>IF($C13="All",COUNTIFS(Units!$E:$E, $B13, Units!$G:$G, P$4),COUNTIFS(Units!$E:$E, $B13, Units!$G:$G, P$4, Units!$I:$I, $C13)
)
</f>
        <v>0</v>
      </c>
      <c r="Q13" s="87">
        <f>IF($C13="All",COUNTIFS(Units!$E:$E, $B13, Units!$G:$G, Q$4),COUNTIFS(Units!$E:$E, $B13, Units!$G:$G, Q$4, Units!$I:$I, $C13)
)
</f>
        <v>0</v>
      </c>
      <c r="R13" s="87">
        <f>IF($C13="All",COUNTIFS(Units!$E:$E, $B13, Units!$G:$G, R$4),COUNTIFS(Units!$E:$E, $B13, Units!$G:$G, R$4, Units!$I:$I, $C13)
)
</f>
        <v>0</v>
      </c>
      <c r="S13" s="87">
        <f>IF($C13="All",COUNTIFS(Units!$E:$E, $B13, Units!$G:$G, S$4),COUNTIFS(Units!$E:$E, $B13, Units!$G:$G, S$4, Units!$I:$I, $C13)
)
</f>
        <v>0</v>
      </c>
      <c r="T13" s="87">
        <f>IF($C13="All",COUNTIFS(Units!$E:$E, $B13, Units!$G:$G, T$4),COUNTIFS(Units!$E:$E, $B13, Units!$G:$G, T$4, Units!$I:$I, $C13)
)
</f>
        <v>0</v>
      </c>
      <c r="U13" s="87">
        <f>IF($C13="All",COUNTIFS(Units!$E:$E, $B13, Units!$G:$G, U$4),COUNTIFS(Units!$E:$E, $B13, Units!$G:$G, U$4, Units!$I:$I, $C13)
)
</f>
        <v>0</v>
      </c>
      <c r="V13" s="87">
        <f>IF($C13="All",COUNTIFS(Units!$E:$E, $B13, Units!$G:$G, V$4),COUNTIFS(Units!$E:$E, $B13, Units!$G:$G, V$4, Units!$I:$I, $C13)
)
</f>
        <v>0</v>
      </c>
      <c r="W13" s="87">
        <f>IF($C13="All",COUNTIFS(Units!$E:$E, $B13, Units!$G:$G, W$4),COUNTIFS(Units!$E:$E, $B13, Units!$G:$G, W$4, Units!$I:$I, $C13)
)
</f>
        <v>0</v>
      </c>
      <c r="X13" s="87">
        <f>IF($C13="All",COUNTIFS(Units!$E:$E, $B13, Units!$G:$G, X$4),COUNTIFS(Units!$E:$E, $B13, Units!$G:$G, X$4, Units!$I:$I, $C13)
)
</f>
        <v>0</v>
      </c>
      <c r="Y13" s="87">
        <f>IF($C13="All",COUNTIFS(Units!$E:$E, $B13, Units!$G:$G, Y$4),COUNTIFS(Units!$E:$E, $B13, Units!$G:$G, Y$4, Units!$I:$I, $C13)
)
</f>
        <v>0</v>
      </c>
      <c r="Z13" s="87">
        <f>IF($C13="All",COUNTIFS(Units!$E:$E, $B13, Units!$G:$G, Z$4),COUNTIFS(Units!$E:$E, $B13, Units!$G:$G, Z$4, Units!$I:$I, $C13)
)
</f>
        <v>0</v>
      </c>
      <c r="AA13" s="87">
        <f>IF($C13="All",COUNTIFS(Units!$E:$E, $B13, Units!$G:$G, AA$4),COUNTIFS(Units!$E:$E, $B13, Units!$G:$G, AA$4, Units!$I:$I, $C13)
)
</f>
        <v>0</v>
      </c>
      <c r="AB13" s="87">
        <f>IF($C13="All",COUNTIFS(Units!$E:$E, $B13, Units!$G:$G, AB$4),COUNTIFS(Units!$E:$E, $B13, Units!$G:$G, AB$4, Units!$I:$I, $C13)
)
</f>
        <v>0</v>
      </c>
      <c r="AC13" s="87">
        <f>IF($C13="All",COUNTIFS(Units!$E:$E, $B13, Units!$G:$G, AC$4),COUNTIFS(Units!$E:$E, $B13, Units!$G:$G, AC$4, Units!$I:$I, $C13)
)
</f>
        <v>0</v>
      </c>
      <c r="AD13" s="87">
        <f t="shared" si="2"/>
        <v>5</v>
      </c>
      <c r="AE13" s="87">
        <f t="shared" si="3"/>
        <v>0</v>
      </c>
      <c r="AF13" s="87">
        <f t="shared" si="4"/>
        <v>1</v>
      </c>
      <c r="AG13" s="91">
        <f t="shared" si="5"/>
        <v>0</v>
      </c>
      <c r="AH13" s="85">
        <f>IF($C13=1,COUNTIFS(Units!$E:$E, $B13, Units!$J:$J, 1, Units!$I:$I, 1),0)
</f>
        <v>1</v>
      </c>
      <c r="AI13" s="85">
        <f>IF($C13=1,COUNTIFS(Units!$E:$E, $B13, Units!$J:$J, 2, Units!$I:$I, 1),0)
</f>
        <v>3</v>
      </c>
      <c r="AJ13" s="94">
        <f>IF($C13=1,COUNTIFS(Units!$E:$E, $B13, Units!$J:$J, 3, Units!$I:$I, 1),0)
</f>
        <v>2</v>
      </c>
      <c r="AK13" s="85">
        <f>IF($C13="All",COUNTIFS(Units!$E:$E, $B13, Units!$R:$R, "-"),COUNTIFS(Units!$E:$E, $B13, Units!$R:$R, "-", Units!$I:$I, $C13)
)
</f>
        <v>0</v>
      </c>
      <c r="AL13" s="85">
        <f>IF($C13="All",COUNTIFS(Units!$E:$E, $B13, Units!$R:$R, 6),COUNTIFS(Units!$E:$E, $B13, Units!$R:$R, 6, Units!$I:$I, $C13)
)
</f>
        <v>1</v>
      </c>
      <c r="AM13" s="85">
        <f>IF($C13="All",COUNTIFS(Units!$E:$E, $B13, Units!$R:$R, 5),COUNTIFS(Units!$E:$E, $B13, Units!$R:$R, 5, Units!$I:$I, $C13)
)
</f>
        <v>3</v>
      </c>
      <c r="AN13" s="85">
        <f>IF($C13="All",COUNTIFS(Units!$E:$E, $B13, Units!$R:$R, 4),COUNTIFS(Units!$E:$E, $B13, Units!$R:$R, 4, Units!$I:$I, $C13)
)
</f>
        <v>2</v>
      </c>
      <c r="AO13" s="94">
        <f>IF($C13="All",COUNTIFS(Units!$E:$E, $B13, Units!$R:$R, 3),COUNTIFS(Units!$E:$E, $B13, Units!$R:$R, 3, Units!$I:$I, $C13)
)
</f>
        <v>0</v>
      </c>
      <c r="AP13" s="85">
        <f>IF($C13="All",COUNTIFS(Units!$E:$E, $B13, Units!$M:$M, "&lt;&gt;1"),COUNTIFS(Units!$E:$E, $B13, Units!$M:$M, "&lt;&gt;1", Units!$I:$I, $C13)
)
</f>
        <v>0</v>
      </c>
      <c r="AQ13" s="94">
        <f>IF($C13="All",COUNTIFS(Units!$E:$E, $B13, Units!$S:$S, "*Maneouverable*"),COUNTIFS(Units!$E:$E, $B13, Units!$S:$S, "*Maneouverable*", Units!$I:$I, $C13)
)
</f>
        <v>0</v>
      </c>
      <c r="AR13" s="96">
        <f>IF($C13="All", 
    AVERAGEIFS(Units!$Q:$Q, Units!$E:$E, $B13, Units!$AY:$AY, false), 
    AVERAGEIFS(Units!$Q:$Q, Units!$E:$E, $B13, Units!$I:$I, $C13, Units!$AY:$AY, false)
)
</f>
        <v>1</v>
      </c>
      <c r="AS13" s="85">
        <f>IF($C13="All",COUNTIFS(Units!$E:$E, $B13, Units!$Q:$Q, "&lt;&gt;1"),COUNTIFS(Units!$E:$E, $B13, Units!$Q:$Q, "&lt;&gt;1", Units!$I:$I, $C13)
)</f>
        <v>0</v>
      </c>
      <c r="AT13" s="85">
        <f>AS13 - IF($C13="All",COUNTIFS(Units!$E:$E, $B13, Units!$Q:$Q, 2),COUNTIFS(Units!$E:$E, $B13, Units!$Q:$Q, 2, Units!$I:$I, $C13)
)</f>
        <v>0</v>
      </c>
      <c r="AU13" s="96">
        <f>IF($C13="All", 
    AVERAGEIFS(Units!$AQ:$AQ, Units!$E:$E, $B13, Units!$AY:$AY, false), 
    AVERAGEIFS(Units!$AQ:$AQ, Units!$E:$E, $B13, Units!$I:$I, $C13, Units!$AY:$AY, false)
)
</f>
        <v>6</v>
      </c>
      <c r="AV13" s="96">
        <f>IF($C13="All", 
    AVERAGEIFS(Units!$AR:$AR, Units!$E:$E, $B13, Units!$AY:$AY, false), 
    AVERAGEIFS(Units!$AR:$AR, Units!$E:$E, $B13, Units!$I:$I, $C13, Units!$AY:$AY, false)
)</f>
        <v>9.7</v>
      </c>
      <c r="AW13" s="96">
        <f>IF($C13="All", 
    AVERAGEIFS(Units!$AW:$AW, Units!$E:$E, $B13, Units!$AY:$AY, false), 
    AVERAGEIFS(Units!$AW:$AW, Units!$E:$E, $B13, Units!$I:$I, $C13, Units!$AY:$AY, false)
)
</f>
        <v>2.166666667</v>
      </c>
    </row>
    <row r="14" ht="22.5" hidden="1" customHeight="1">
      <c r="A14" s="82" t="str">
        <f t="shared" si="1"/>
        <v>03</v>
      </c>
      <c r="B14" s="85" t="str">
        <f>VLOOKUP(A14, Factions!A:B, 2, FALSE)</f>
        <v>Boneborn</v>
      </c>
      <c r="C14" s="83">
        <v>2.0</v>
      </c>
      <c r="D14" s="85">
        <f>IF($C14="All",COUNTIFS(Units!$E:$E, $B14),COUNTIFS(Units!$E:$E, $B14, Units!$I:$I, $C14)
)
</f>
        <v>9</v>
      </c>
      <c r="E14" s="87">
        <f>IF($C14="All",COUNTIFS(Units!$E:$E, $B14, Units!$G:$G, E$4),COUNTIFS(Units!$E:$E, $B14, Units!$G:$G, E$4, Units!$I:$I, $C14)
)
</f>
        <v>0</v>
      </c>
      <c r="F14" s="87">
        <f>IF($C14="All",COUNTIFS(Units!$E:$E, $B14, Units!$G:$G, F$4),COUNTIFS(Units!$E:$E, $B14, Units!$G:$G, F$4, Units!$I:$I, $C14)
)
</f>
        <v>0</v>
      </c>
      <c r="G14" s="87">
        <f>IF($C14="All",COUNTIFS(Units!$E:$E, $B14, Units!$G:$G, G$4),COUNTIFS(Units!$E:$E, $B14, Units!$G:$G, G$4, Units!$I:$I, $C14)
)
</f>
        <v>0</v>
      </c>
      <c r="H14" s="87">
        <f>IF($C14="All",COUNTIFS(Units!$E:$E, $B14, Units!$G:$G, H$4),COUNTIFS(Units!$E:$E, $B14, Units!$G:$G, H$4, Units!$I:$I, $C14)
)
</f>
        <v>0</v>
      </c>
      <c r="I14" s="87">
        <f>IF($C14="All",COUNTIFS(Units!$E:$E, $B14, Units!$G:$G, I$4),COUNTIFS(Units!$E:$E, $B14, Units!$G:$G, I$4, Units!$I:$I, $C14)
)
</f>
        <v>1</v>
      </c>
      <c r="J14" s="87">
        <f>IF($C14="All",COUNTIFS(Units!$E:$E, $B14, Units!$G:$G, J$4),COUNTIFS(Units!$E:$E, $B14, Units!$G:$G, J$4, Units!$I:$I, $C14)
)
</f>
        <v>1</v>
      </c>
      <c r="K14" s="87">
        <f>IF($C14="All",COUNTIFS(Units!$E:$E, $B14, Units!$G:$G, K$4),COUNTIFS(Units!$E:$E, $B14, Units!$G:$G, K$4, Units!$I:$I, $C14)
)
</f>
        <v>1</v>
      </c>
      <c r="L14" s="87">
        <f>IF($C14="All",COUNTIFS(Units!$E:$E, $B14, Units!$G:$G, L$4),COUNTIFS(Units!$E:$E, $B14, Units!$G:$G, L$4, Units!$I:$I, $C14)
)
</f>
        <v>0</v>
      </c>
      <c r="M14" s="87"/>
      <c r="N14" s="87">
        <f>IF($C14="All",COUNTIFS(Units!$E:$E, $B14, Units!$G:$G, N$4),COUNTIFS(Units!$E:$E, $B14, Units!$G:$G, N$4, Units!$I:$I, $C14)
)
</f>
        <v>0</v>
      </c>
      <c r="O14" s="87">
        <f>IF($C14="All",COUNTIFS(Units!$E:$E, $B14, Units!$G:$G, O$4),COUNTIFS(Units!$E:$E, $B14, Units!$G:$G, O$4, Units!$I:$I, $C14)
)
</f>
        <v>0</v>
      </c>
      <c r="P14" s="87">
        <f>IF($C14="All",COUNTIFS(Units!$E:$E, $B14, Units!$G:$G, P$4),COUNTIFS(Units!$E:$E, $B14, Units!$G:$G, P$4, Units!$I:$I, $C14)
)
</f>
        <v>3</v>
      </c>
      <c r="Q14" s="87">
        <f>IF($C14="All",COUNTIFS(Units!$E:$E, $B14, Units!$G:$G, Q$4),COUNTIFS(Units!$E:$E, $B14, Units!$G:$G, Q$4, Units!$I:$I, $C14)
)
</f>
        <v>0</v>
      </c>
      <c r="R14" s="87">
        <f>IF($C14="All",COUNTIFS(Units!$E:$E, $B14, Units!$G:$G, R$4),COUNTIFS(Units!$E:$E, $B14, Units!$G:$G, R$4, Units!$I:$I, $C14)
)
</f>
        <v>1</v>
      </c>
      <c r="S14" s="87">
        <f>IF($C14="All",COUNTIFS(Units!$E:$E, $B14, Units!$G:$G, S$4),COUNTIFS(Units!$E:$E, $B14, Units!$G:$G, S$4, Units!$I:$I, $C14)
)
</f>
        <v>1</v>
      </c>
      <c r="T14" s="87">
        <f>IF($C14="All",COUNTIFS(Units!$E:$E, $B14, Units!$G:$G, T$4),COUNTIFS(Units!$E:$E, $B14, Units!$G:$G, T$4, Units!$I:$I, $C14)
)
</f>
        <v>1</v>
      </c>
      <c r="U14" s="87">
        <f>IF($C14="All",COUNTIFS(Units!$E:$E, $B14, Units!$G:$G, U$4),COUNTIFS(Units!$E:$E, $B14, Units!$G:$G, U$4, Units!$I:$I, $C14)
)
</f>
        <v>0</v>
      </c>
      <c r="V14" s="87">
        <f>IF($C14="All",COUNTIFS(Units!$E:$E, $B14, Units!$G:$G, V$4),COUNTIFS(Units!$E:$E, $B14, Units!$G:$G, V$4, Units!$I:$I, $C14)
)
</f>
        <v>0</v>
      </c>
      <c r="W14" s="87">
        <f>IF($C14="All",COUNTIFS(Units!$E:$E, $B14, Units!$G:$G, W$4),COUNTIFS(Units!$E:$E, $B14, Units!$G:$G, W$4, Units!$I:$I, $C14)
)
</f>
        <v>0</v>
      </c>
      <c r="X14" s="87">
        <f>IF($C14="All",COUNTIFS(Units!$E:$E, $B14, Units!$G:$G, X$4),COUNTIFS(Units!$E:$E, $B14, Units!$G:$G, X$4, Units!$I:$I, $C14)
)
</f>
        <v>0</v>
      </c>
      <c r="Y14" s="87">
        <f>IF($C14="All",COUNTIFS(Units!$E:$E, $B14, Units!$G:$G, Y$4),COUNTIFS(Units!$E:$E, $B14, Units!$G:$G, Y$4, Units!$I:$I, $C14)
)
</f>
        <v>0</v>
      </c>
      <c r="Z14" s="87">
        <f>IF($C14="All",COUNTIFS(Units!$E:$E, $B14, Units!$G:$G, Z$4),COUNTIFS(Units!$E:$E, $B14, Units!$G:$G, Z$4, Units!$I:$I, $C14)
)
</f>
        <v>0</v>
      </c>
      <c r="AA14" s="87">
        <f>IF($C14="All",COUNTIFS(Units!$E:$E, $B14, Units!$G:$G, AA$4),COUNTIFS(Units!$E:$E, $B14, Units!$G:$G, AA$4, Units!$I:$I, $C14)
)
</f>
        <v>0</v>
      </c>
      <c r="AB14" s="87">
        <f>IF($C14="All",COUNTIFS(Units!$E:$E, $B14, Units!$G:$G, AB$4),COUNTIFS(Units!$E:$E, $B14, Units!$G:$G, AB$4, Units!$I:$I, $C14)
)
</f>
        <v>0</v>
      </c>
      <c r="AC14" s="87">
        <f>IF($C14="All",COUNTIFS(Units!$E:$E, $B14, Units!$G:$G, AC$4),COUNTIFS(Units!$E:$E, $B14, Units!$G:$G, AC$4, Units!$I:$I, $C14)
)
</f>
        <v>0</v>
      </c>
      <c r="AD14" s="87">
        <f t="shared" si="2"/>
        <v>3</v>
      </c>
      <c r="AE14" s="87">
        <f t="shared" si="3"/>
        <v>0</v>
      </c>
      <c r="AF14" s="87">
        <f t="shared" si="4"/>
        <v>1</v>
      </c>
      <c r="AG14" s="91">
        <f t="shared" si="5"/>
        <v>5</v>
      </c>
      <c r="AH14" s="85">
        <f>IF($C14=1,COUNTIFS(Units!$E:$E, $B14, Units!$J:$J, 1, Units!$I:$I, 1),0)
</f>
        <v>0</v>
      </c>
      <c r="AI14" s="85">
        <f>IF($C14=1,COUNTIFS(Units!$E:$E, $B14, Units!$J:$J, 2, Units!$I:$I, 1),0)
</f>
        <v>0</v>
      </c>
      <c r="AJ14" s="94">
        <f>IF($C14=1,COUNTIFS(Units!$E:$E, $B14, Units!$J:$J, 3, Units!$I:$I, 1),0)
</f>
        <v>0</v>
      </c>
      <c r="AK14" s="85">
        <f>IF($C14="All",COUNTIFS(Units!$E:$E, $B14, Units!$R:$R, "-"),COUNTIFS(Units!$E:$E, $B14, Units!$R:$R, "-", Units!$I:$I, $C14)
)
</f>
        <v>0</v>
      </c>
      <c r="AL14" s="85">
        <f>IF($C14="All",COUNTIFS(Units!$E:$E, $B14, Units!$R:$R, 6),COUNTIFS(Units!$E:$E, $B14, Units!$R:$R, 6, Units!$I:$I, $C14)
)
</f>
        <v>2</v>
      </c>
      <c r="AM14" s="85">
        <f>IF($C14="All",COUNTIFS(Units!$E:$E, $B14, Units!$R:$R, 5),COUNTIFS(Units!$E:$E, $B14, Units!$R:$R, 5, Units!$I:$I, $C14)
)
</f>
        <v>6</v>
      </c>
      <c r="AN14" s="85">
        <f>IF($C14="All",COUNTIFS(Units!$E:$E, $B14, Units!$R:$R, 4),COUNTIFS(Units!$E:$E, $B14, Units!$R:$R, 4, Units!$I:$I, $C14)
)
</f>
        <v>1</v>
      </c>
      <c r="AO14" s="94">
        <f>IF($C14="All",COUNTIFS(Units!$E:$E, $B14, Units!$R:$R, 3),COUNTIFS(Units!$E:$E, $B14, Units!$R:$R, 3, Units!$I:$I, $C14)
)
</f>
        <v>0</v>
      </c>
      <c r="AP14" s="85">
        <f>IF($C14="All",COUNTIFS(Units!$E:$E, $B14, Units!$M:$M, "&lt;&gt;1"),COUNTIFS(Units!$E:$E, $B14, Units!$M:$M, "&lt;&gt;1", Units!$I:$I, $C14)
)
</f>
        <v>0</v>
      </c>
      <c r="AQ14" s="94">
        <f>IF($C14="All",COUNTIFS(Units!$E:$E, $B14, Units!$S:$S, "*Maneouverable*"),COUNTIFS(Units!$E:$E, $B14, Units!$S:$S, "*Maneouverable*", Units!$I:$I, $C14)
)
</f>
        <v>0</v>
      </c>
      <c r="AR14" s="96">
        <f>IF($C14="All", 
    AVERAGEIFS(Units!$Q:$Q, Units!$E:$E, $B14, Units!$AY:$AY, false), 
    AVERAGEIFS(Units!$Q:$Q, Units!$E:$E, $B14, Units!$I:$I, $C14, Units!$AY:$AY, false)
)
</f>
        <v>3.571428571</v>
      </c>
      <c r="AS14" s="85">
        <f>IF($C14="All",COUNTIFS(Units!$E:$E, $B14, Units!$Q:$Q, "&lt;&gt;1"),COUNTIFS(Units!$E:$E, $B14, Units!$Q:$Q, "&lt;&gt;1", Units!$I:$I, $C14)
)</f>
        <v>9</v>
      </c>
      <c r="AT14" s="85">
        <f>AS14 - IF($C14="All",COUNTIFS(Units!$E:$E, $B14, Units!$Q:$Q, 2),COUNTIFS(Units!$E:$E, $B14, Units!$Q:$Q, 2, Units!$I:$I, $C14)
)</f>
        <v>3</v>
      </c>
      <c r="AU14" s="96">
        <f>IF($C14="All", 
    AVERAGEIFS(Units!$AQ:$AQ, Units!$E:$E, $B14, Units!$AY:$AY, false), 
    AVERAGEIFS(Units!$AQ:$AQ, Units!$E:$E, $B14, Units!$I:$I, $C14, Units!$AY:$AY, false)
)
</f>
        <v>8.428571429</v>
      </c>
      <c r="AV14" s="96">
        <f>IF($C14="All", 
    AVERAGEIFS(Units!$AR:$AR, Units!$E:$E, $B14, Units!$AY:$AY, false), 
    AVERAGEIFS(Units!$AR:$AR, Units!$E:$E, $B14, Units!$I:$I, $C14, Units!$AY:$AY, false)
)</f>
        <v>12.48571429</v>
      </c>
      <c r="AW14" s="96">
        <f>IF($C14="All", 
    AVERAGEIFS(Units!$AW:$AW, Units!$E:$E, $B14, Units!$AY:$AY, false), 
    AVERAGEIFS(Units!$AW:$AW, Units!$E:$E, $B14, Units!$I:$I, $C14, Units!$AY:$AY, false)
)
</f>
        <v>3.047619048</v>
      </c>
    </row>
    <row r="15" ht="22.5" hidden="1" customHeight="1">
      <c r="A15" s="82" t="str">
        <f t="shared" si="1"/>
        <v>03</v>
      </c>
      <c r="B15" s="85" t="str">
        <f>VLOOKUP(A15, Factions!A:B, 2, FALSE)</f>
        <v>Boneborn</v>
      </c>
      <c r="C15" s="83">
        <v>3.0</v>
      </c>
      <c r="D15" s="85">
        <f>IF($C15="All",COUNTIFS(Units!$E:$E, $B15),COUNTIFS(Units!$E:$E, $B15, Units!$I:$I, $C15)
)
</f>
        <v>5</v>
      </c>
      <c r="E15" s="87">
        <f>IF($C15="All",COUNTIFS(Units!$E:$E, $B15, Units!$G:$G, E$4),COUNTIFS(Units!$E:$E, $B15, Units!$G:$G, E$4, Units!$I:$I, $C15)
)
</f>
        <v>0</v>
      </c>
      <c r="F15" s="87">
        <f>IF($C15="All",COUNTIFS(Units!$E:$E, $B15, Units!$G:$G, F$4),COUNTIFS(Units!$E:$E, $B15, Units!$G:$G, F$4, Units!$I:$I, $C15)
)
</f>
        <v>0</v>
      </c>
      <c r="G15" s="87">
        <f>IF($C15="All",COUNTIFS(Units!$E:$E, $B15, Units!$G:$G, G$4),COUNTIFS(Units!$E:$E, $B15, Units!$G:$G, G$4, Units!$I:$I, $C15)
)
</f>
        <v>0</v>
      </c>
      <c r="H15" s="87">
        <f>IF($C15="All",COUNTIFS(Units!$E:$E, $B15, Units!$G:$G, H$4),COUNTIFS(Units!$E:$E, $B15, Units!$G:$G, H$4, Units!$I:$I, $C15)
)
</f>
        <v>0</v>
      </c>
      <c r="I15" s="87">
        <f>IF($C15="All",COUNTIFS(Units!$E:$E, $B15, Units!$G:$G, I$4),COUNTIFS(Units!$E:$E, $B15, Units!$G:$G, I$4, Units!$I:$I, $C15)
)
</f>
        <v>0</v>
      </c>
      <c r="J15" s="87">
        <f>IF($C15="All",COUNTIFS(Units!$E:$E, $B15, Units!$G:$G, J$4),COUNTIFS(Units!$E:$E, $B15, Units!$G:$G, J$4, Units!$I:$I, $C15)
)
</f>
        <v>0</v>
      </c>
      <c r="K15" s="87">
        <f>IF($C15="All",COUNTIFS(Units!$E:$E, $B15, Units!$G:$G, K$4),COUNTIFS(Units!$E:$E, $B15, Units!$G:$G, K$4, Units!$I:$I, $C15)
)
</f>
        <v>0</v>
      </c>
      <c r="L15" s="87">
        <f>IF($C15="All",COUNTIFS(Units!$E:$E, $B15, Units!$G:$G, L$4),COUNTIFS(Units!$E:$E, $B15, Units!$G:$G, L$4, Units!$I:$I, $C15)
)
</f>
        <v>0</v>
      </c>
      <c r="M15" s="87"/>
      <c r="N15" s="87">
        <f>IF($C15="All",COUNTIFS(Units!$E:$E, $B15, Units!$G:$G, N$4),COUNTIFS(Units!$E:$E, $B15, Units!$G:$G, N$4, Units!$I:$I, $C15)
)
</f>
        <v>0</v>
      </c>
      <c r="O15" s="87">
        <f>IF($C15="All",COUNTIFS(Units!$E:$E, $B15, Units!$G:$G, O$4),COUNTIFS(Units!$E:$E, $B15, Units!$G:$G, O$4, Units!$I:$I, $C15)
)
</f>
        <v>0</v>
      </c>
      <c r="P15" s="87">
        <f>IF($C15="All",COUNTIFS(Units!$E:$E, $B15, Units!$G:$G, P$4),COUNTIFS(Units!$E:$E, $B15, Units!$G:$G, P$4, Units!$I:$I, $C15)
)
</f>
        <v>0</v>
      </c>
      <c r="Q15" s="87">
        <f>IF($C15="All",COUNTIFS(Units!$E:$E, $B15, Units!$G:$G, Q$4),COUNTIFS(Units!$E:$E, $B15, Units!$G:$G, Q$4, Units!$I:$I, $C15)
)
</f>
        <v>0</v>
      </c>
      <c r="R15" s="87">
        <f>IF($C15="All",COUNTIFS(Units!$E:$E, $B15, Units!$G:$G, R$4),COUNTIFS(Units!$E:$E, $B15, Units!$G:$G, R$4, Units!$I:$I, $C15)
)
</f>
        <v>0</v>
      </c>
      <c r="S15" s="87">
        <f>IF($C15="All",COUNTIFS(Units!$E:$E, $B15, Units!$G:$G, S$4),COUNTIFS(Units!$E:$E, $B15, Units!$G:$G, S$4, Units!$I:$I, $C15)
)
</f>
        <v>0</v>
      </c>
      <c r="T15" s="87">
        <f>IF($C15="All",COUNTIFS(Units!$E:$E, $B15, Units!$G:$G, T$4),COUNTIFS(Units!$E:$E, $B15, Units!$G:$G, T$4, Units!$I:$I, $C15)
)
</f>
        <v>0</v>
      </c>
      <c r="U15" s="87">
        <f>IF($C15="All",COUNTIFS(Units!$E:$E, $B15, Units!$G:$G, U$4),COUNTIFS(Units!$E:$E, $B15, Units!$G:$G, U$4, Units!$I:$I, $C15)
)
</f>
        <v>1</v>
      </c>
      <c r="V15" s="87">
        <f>IF($C15="All",COUNTIFS(Units!$E:$E, $B15, Units!$G:$G, V$4),COUNTIFS(Units!$E:$E, $B15, Units!$G:$G, V$4, Units!$I:$I, $C15)
)
</f>
        <v>1</v>
      </c>
      <c r="W15" s="87">
        <f>IF($C15="All",COUNTIFS(Units!$E:$E, $B15, Units!$G:$G, W$4),COUNTIFS(Units!$E:$E, $B15, Units!$G:$G, W$4, Units!$I:$I, $C15)
)
</f>
        <v>0</v>
      </c>
      <c r="X15" s="87">
        <f>IF($C15="All",COUNTIFS(Units!$E:$E, $B15, Units!$G:$G, X$4),COUNTIFS(Units!$E:$E, $B15, Units!$G:$G, X$4, Units!$I:$I, $C15)
)
</f>
        <v>2</v>
      </c>
      <c r="Y15" s="87">
        <f>IF($C15="All",COUNTIFS(Units!$E:$E, $B15, Units!$G:$G, Y$4),COUNTIFS(Units!$E:$E, $B15, Units!$G:$G, Y$4, Units!$I:$I, $C15)
)
</f>
        <v>1</v>
      </c>
      <c r="Z15" s="87">
        <f>IF($C15="All",COUNTIFS(Units!$E:$E, $B15, Units!$G:$G, Z$4),COUNTIFS(Units!$E:$E, $B15, Units!$G:$G, Z$4, Units!$I:$I, $C15)
)
</f>
        <v>0</v>
      </c>
      <c r="AA15" s="87">
        <f>IF($C15="All",COUNTIFS(Units!$E:$E, $B15, Units!$G:$G, AA$4),COUNTIFS(Units!$E:$E, $B15, Units!$G:$G, AA$4, Units!$I:$I, $C15)
)
</f>
        <v>0</v>
      </c>
      <c r="AB15" s="87">
        <f>IF($C15="All",COUNTIFS(Units!$E:$E, $B15, Units!$G:$G, AB$4),COUNTIFS(Units!$E:$E, $B15, Units!$G:$G, AB$4, Units!$I:$I, $C15)
)
</f>
        <v>0</v>
      </c>
      <c r="AC15" s="87">
        <f>IF($C15="All",COUNTIFS(Units!$E:$E, $B15, Units!$G:$G, AC$4),COUNTIFS(Units!$E:$E, $B15, Units!$G:$G, AC$4, Units!$I:$I, $C15)
)
</f>
        <v>0</v>
      </c>
      <c r="AD15" s="87">
        <f t="shared" si="2"/>
        <v>0</v>
      </c>
      <c r="AE15" s="87">
        <f t="shared" si="3"/>
        <v>0</v>
      </c>
      <c r="AF15" s="87">
        <f t="shared" si="4"/>
        <v>0</v>
      </c>
      <c r="AG15" s="91">
        <f t="shared" si="5"/>
        <v>0</v>
      </c>
      <c r="AH15" s="85">
        <f>IF($C15=1,COUNTIFS(Units!$E:$E, $B15, Units!$J:$J, 1, Units!$I:$I, 1),0)
</f>
        <v>0</v>
      </c>
      <c r="AI15" s="85">
        <f>IF($C15=1,COUNTIFS(Units!$E:$E, $B15, Units!$J:$J, 2, Units!$I:$I, 1),0)
</f>
        <v>0</v>
      </c>
      <c r="AJ15" s="94">
        <f>IF($C15=1,COUNTIFS(Units!$E:$E, $B15, Units!$J:$J, 3, Units!$I:$I, 1),0)
</f>
        <v>0</v>
      </c>
      <c r="AK15" s="85">
        <f>IF($C15="All",COUNTIFS(Units!$E:$E, $B15, Units!$R:$R, "-"),COUNTIFS(Units!$E:$E, $B15, Units!$R:$R, "-", Units!$I:$I, $C15)
)
</f>
        <v>0</v>
      </c>
      <c r="AL15" s="85">
        <f>IF($C15="All",COUNTIFS(Units!$E:$E, $B15, Units!$R:$R, 6),COUNTIFS(Units!$E:$E, $B15, Units!$R:$R, 6, Units!$I:$I, $C15)
)
</f>
        <v>0</v>
      </c>
      <c r="AM15" s="85">
        <f>IF($C15="All",COUNTIFS(Units!$E:$E, $B15, Units!$R:$R, 5),COUNTIFS(Units!$E:$E, $B15, Units!$R:$R, 5, Units!$I:$I, $C15)
)
</f>
        <v>3</v>
      </c>
      <c r="AN15" s="85">
        <f>IF($C15="All",COUNTIFS(Units!$E:$E, $B15, Units!$R:$R, 4),COUNTIFS(Units!$E:$E, $B15, Units!$R:$R, 4, Units!$I:$I, $C15)
)
</f>
        <v>1</v>
      </c>
      <c r="AO15" s="94">
        <f>IF($C15="All",COUNTIFS(Units!$E:$E, $B15, Units!$R:$R, 3),COUNTIFS(Units!$E:$E, $B15, Units!$R:$R, 3, Units!$I:$I, $C15)
)
</f>
        <v>1</v>
      </c>
      <c r="AP15" s="85">
        <f>IF($C15="All",COUNTIFS(Units!$E:$E, $B15, Units!$M:$M, "&lt;&gt;1"),COUNTIFS(Units!$E:$E, $B15, Units!$M:$M, "&lt;&gt;1", Units!$I:$I, $C15)
)
</f>
        <v>1</v>
      </c>
      <c r="AQ15" s="94">
        <f>IF($C15="All",COUNTIFS(Units!$E:$E, $B15, Units!$S:$S, "*Maneouverable*"),COUNTIFS(Units!$E:$E, $B15, Units!$S:$S, "*Maneouverable*", Units!$I:$I, $C15)
)
</f>
        <v>0</v>
      </c>
      <c r="AR15" s="96">
        <f>IF($C15="All", 
    AVERAGEIFS(Units!$Q:$Q, Units!$E:$E, $B15, Units!$AY:$AY, false), 
    AVERAGEIFS(Units!$Q:$Q, Units!$E:$E, $B15, Units!$I:$I, $C15, Units!$AY:$AY, false)
)
</f>
        <v>6.666666667</v>
      </c>
      <c r="AS15" s="85">
        <f>IF($C15="All",COUNTIFS(Units!$E:$E, $B15, Units!$Q:$Q, "&lt;&gt;1"),COUNTIFS(Units!$E:$E, $B15, Units!$Q:$Q, "&lt;&gt;1", Units!$I:$I, $C15)
)</f>
        <v>5</v>
      </c>
      <c r="AT15" s="85">
        <f>AS15 - IF($C15="All",COUNTIFS(Units!$E:$E, $B15, Units!$Q:$Q, 2),COUNTIFS(Units!$E:$E, $B15, Units!$Q:$Q, 2, Units!$I:$I, $C15)
)</f>
        <v>5</v>
      </c>
      <c r="AU15" s="96">
        <f>IF($C15="All", 
    AVERAGEIFS(Units!$AQ:$AQ, Units!$E:$E, $B15, Units!$AY:$AY, false), 
    AVERAGEIFS(Units!$AQ:$AQ, Units!$E:$E, $B15, Units!$I:$I, $C15, Units!$AY:$AY, false)
)
</f>
        <v>6.666666667</v>
      </c>
      <c r="AV15" s="96">
        <f>IF($C15="All", 
    AVERAGEIFS(Units!$AR:$AR, Units!$E:$E, $B15, Units!$AY:$AY, false), 
    AVERAGEIFS(Units!$AR:$AR, Units!$E:$E, $B15, Units!$I:$I, $C15, Units!$AY:$AY, false)
)</f>
        <v>11</v>
      </c>
      <c r="AW15" s="96">
        <f>IF($C15="All", 
    AVERAGEIFS(Units!$AW:$AW, Units!$E:$E, $B15, Units!$AY:$AY, false), 
    AVERAGEIFS(Units!$AW:$AW, Units!$E:$E, $B15, Units!$I:$I, $C15, Units!$AY:$AY, false)
)
</f>
        <v>2.888888889</v>
      </c>
    </row>
    <row r="16" ht="22.5" customHeight="1">
      <c r="A16" s="82" t="str">
        <f t="shared" si="1"/>
        <v>03</v>
      </c>
      <c r="B16" s="85" t="str">
        <f>VLOOKUP(A16, Factions!A:B, 2, FALSE)</f>
        <v>Boneborn</v>
      </c>
      <c r="C16" s="83" t="s">
        <v>382</v>
      </c>
      <c r="D16" s="85">
        <f>IF($C16="All",COUNTIFS(Units!$E:$E, $B16),COUNTIFS(Units!$E:$E, $B16, Units!$I:$I, $C16)
)
</f>
        <v>20</v>
      </c>
      <c r="E16" s="87">
        <f>IF($C16="All",COUNTIFS(Units!$E:$E, $B16, Units!$G:$G, E$4),COUNTIFS(Units!$E:$E, $B16, Units!$G:$G, E$4, Units!$I:$I, $C16)
)
</f>
        <v>1</v>
      </c>
      <c r="F16" s="87">
        <f>IF($C16="All",COUNTIFS(Units!$E:$E, $B16, Units!$G:$G, F$4),COUNTIFS(Units!$E:$E, $B16, Units!$G:$G, F$4, Units!$I:$I, $C16)
)
</f>
        <v>1</v>
      </c>
      <c r="G16" s="87">
        <f>IF($C16="All",COUNTIFS(Units!$E:$E, $B16, Units!$G:$G, G$4),COUNTIFS(Units!$E:$E, $B16, Units!$G:$G, G$4, Units!$I:$I, $C16)
)
</f>
        <v>1</v>
      </c>
      <c r="H16" s="87">
        <f>IF($C16="All",COUNTIFS(Units!$E:$E, $B16, Units!$G:$G, H$4),COUNTIFS(Units!$E:$E, $B16, Units!$G:$G, H$4, Units!$I:$I, $C16)
)
</f>
        <v>1</v>
      </c>
      <c r="I16" s="87">
        <f>IF($C16="All",COUNTIFS(Units!$E:$E, $B16, Units!$G:$G, I$4),COUNTIFS(Units!$E:$E, $B16, Units!$G:$G, I$4, Units!$I:$I, $C16)
)
</f>
        <v>3</v>
      </c>
      <c r="J16" s="87">
        <f>IF($C16="All",COUNTIFS(Units!$E:$E, $B16, Units!$G:$G, J$4),COUNTIFS(Units!$E:$E, $B16, Units!$G:$G, J$4, Units!$I:$I, $C16)
)
</f>
        <v>1</v>
      </c>
      <c r="K16" s="87">
        <f>IF($C16="All",COUNTIFS(Units!$E:$E, $B16, Units!$G:$G, K$4),COUNTIFS(Units!$E:$E, $B16, Units!$G:$G, K$4, Units!$I:$I, $C16)
)
</f>
        <v>1</v>
      </c>
      <c r="L16" s="87">
        <f>IF($C16="All",COUNTIFS(Units!$E:$E, $B16, Units!$G:$G, L$4),COUNTIFS(Units!$E:$E, $B16, Units!$G:$G, L$4, Units!$I:$I, $C16)
)
</f>
        <v>0</v>
      </c>
      <c r="M16" s="87"/>
      <c r="N16" s="87">
        <f>IF($C16="All",COUNTIFS(Units!$E:$E, $B16, Units!$G:$G, N$4),COUNTIFS(Units!$E:$E, $B16, Units!$G:$G, N$4, Units!$I:$I, $C16)
)
</f>
        <v>0</v>
      </c>
      <c r="O16" s="87">
        <f>IF($C16="All",COUNTIFS(Units!$E:$E, $B16, Units!$G:$G, O$4),COUNTIFS(Units!$E:$E, $B16, Units!$G:$G, O$4, Units!$I:$I, $C16)
)
</f>
        <v>0</v>
      </c>
      <c r="P16" s="87">
        <f>IF($C16="All",COUNTIFS(Units!$E:$E, $B16, Units!$G:$G, P$4),COUNTIFS(Units!$E:$E, $B16, Units!$G:$G, P$4, Units!$I:$I, $C16)
)
</f>
        <v>3</v>
      </c>
      <c r="Q16" s="87">
        <f>IF($C16="All",COUNTIFS(Units!$E:$E, $B16, Units!$G:$G, Q$4),COUNTIFS(Units!$E:$E, $B16, Units!$G:$G, Q$4, Units!$I:$I, $C16)
)
</f>
        <v>0</v>
      </c>
      <c r="R16" s="87">
        <f>IF($C16="All",COUNTIFS(Units!$E:$E, $B16, Units!$G:$G, R$4),COUNTIFS(Units!$E:$E, $B16, Units!$G:$G, R$4, Units!$I:$I, $C16)
)
</f>
        <v>1</v>
      </c>
      <c r="S16" s="87">
        <f>IF($C16="All",COUNTIFS(Units!$E:$E, $B16, Units!$G:$G, S$4),COUNTIFS(Units!$E:$E, $B16, Units!$G:$G, S$4, Units!$I:$I, $C16)
)
</f>
        <v>1</v>
      </c>
      <c r="T16" s="87">
        <f>IF($C16="All",COUNTIFS(Units!$E:$E, $B16, Units!$G:$G, T$4),COUNTIFS(Units!$E:$E, $B16, Units!$G:$G, T$4, Units!$I:$I, $C16)
)
</f>
        <v>1</v>
      </c>
      <c r="U16" s="87">
        <f>IF($C16="All",COUNTIFS(Units!$E:$E, $B16, Units!$G:$G, U$4),COUNTIFS(Units!$E:$E, $B16, Units!$G:$G, U$4, Units!$I:$I, $C16)
)
</f>
        <v>1</v>
      </c>
      <c r="V16" s="87">
        <f>IF($C16="All",COUNTIFS(Units!$E:$E, $B16, Units!$G:$G, V$4),COUNTIFS(Units!$E:$E, $B16, Units!$G:$G, V$4, Units!$I:$I, $C16)
)
</f>
        <v>1</v>
      </c>
      <c r="W16" s="87">
        <f>IF($C16="All",COUNTIFS(Units!$E:$E, $B16, Units!$G:$G, W$4),COUNTIFS(Units!$E:$E, $B16, Units!$G:$G, W$4, Units!$I:$I, $C16)
)
</f>
        <v>0</v>
      </c>
      <c r="X16" s="87">
        <f>IF($C16="All",COUNTIFS(Units!$E:$E, $B16, Units!$G:$G, X$4),COUNTIFS(Units!$E:$E, $B16, Units!$G:$G, X$4, Units!$I:$I, $C16)
)
</f>
        <v>2</v>
      </c>
      <c r="Y16" s="87">
        <f>IF($C16="All",COUNTIFS(Units!$E:$E, $B16, Units!$G:$G, Y$4),COUNTIFS(Units!$E:$E, $B16, Units!$G:$G, Y$4, Units!$I:$I, $C16)
)
</f>
        <v>1</v>
      </c>
      <c r="Z16" s="87">
        <f>IF($C16="All",COUNTIFS(Units!$E:$E, $B16, Units!$G:$G, Z$4),COUNTIFS(Units!$E:$E, $B16, Units!$G:$G, Z$4, Units!$I:$I, $C16)
)
</f>
        <v>0</v>
      </c>
      <c r="AA16" s="87">
        <f>IF($C16="All",COUNTIFS(Units!$E:$E, $B16, Units!$G:$G, AA$4),COUNTIFS(Units!$E:$E, $B16, Units!$G:$G, AA$4, Units!$I:$I, $C16)
)
</f>
        <v>0</v>
      </c>
      <c r="AB16" s="87">
        <f>IF($C16="All",COUNTIFS(Units!$E:$E, $B16, Units!$G:$G, AB$4),COUNTIFS(Units!$E:$E, $B16, Units!$G:$G, AB$4, Units!$I:$I, $C16)
)
</f>
        <v>0</v>
      </c>
      <c r="AC16" s="87">
        <f>IF($C16="All",COUNTIFS(Units!$E:$E, $B16, Units!$G:$G, AC$4),COUNTIFS(Units!$E:$E, $B16, Units!$G:$G, AC$4, Units!$I:$I, $C16)
)
</f>
        <v>0</v>
      </c>
      <c r="AD16" s="87">
        <f t="shared" si="2"/>
        <v>8</v>
      </c>
      <c r="AE16" s="87">
        <f t="shared" si="3"/>
        <v>0</v>
      </c>
      <c r="AF16" s="87">
        <f t="shared" si="4"/>
        <v>2</v>
      </c>
      <c r="AG16" s="91">
        <f t="shared" si="5"/>
        <v>5</v>
      </c>
      <c r="AH16" s="85">
        <f>IF($C16=1,COUNTIFS(Units!$E:$E, $B16, Units!$J:$J, 1, Units!$I:$I, 1),0)
</f>
        <v>0</v>
      </c>
      <c r="AI16" s="85">
        <f>IF($C16=1,COUNTIFS(Units!$E:$E, $B16, Units!$J:$J, 2, Units!$I:$I, 1),0)
</f>
        <v>0</v>
      </c>
      <c r="AJ16" s="94">
        <f>IF($C16=1,COUNTIFS(Units!$E:$E, $B16, Units!$J:$J, 3, Units!$I:$I, 1),0)
</f>
        <v>0</v>
      </c>
      <c r="AK16" s="85">
        <f>IF($C16="All",COUNTIFS(Units!$E:$E, $B16, Units!$R:$R, "-"),COUNTIFS(Units!$E:$E, $B16, Units!$R:$R, "-", Units!$I:$I, $C16)
)
</f>
        <v>0</v>
      </c>
      <c r="AL16" s="85">
        <f>IF($C16="All",COUNTIFS(Units!$E:$E, $B16, Units!$R:$R, 6),COUNTIFS(Units!$E:$E, $B16, Units!$R:$R, 6, Units!$I:$I, $C16)
)
</f>
        <v>3</v>
      </c>
      <c r="AM16" s="85">
        <f>IF($C16="All",COUNTIFS(Units!$E:$E, $B16, Units!$R:$R, 5),COUNTIFS(Units!$E:$E, $B16, Units!$R:$R, 5, Units!$I:$I, $C16)
)
</f>
        <v>12</v>
      </c>
      <c r="AN16" s="85">
        <f>IF($C16="All",COUNTIFS(Units!$E:$E, $B16, Units!$R:$R, 4),COUNTIFS(Units!$E:$E, $B16, Units!$R:$R, 4, Units!$I:$I, $C16)
)
</f>
        <v>4</v>
      </c>
      <c r="AO16" s="94">
        <f>IF($C16="All",COUNTIFS(Units!$E:$E, $B16, Units!$R:$R, 3),COUNTIFS(Units!$E:$E, $B16, Units!$R:$R, 3, Units!$I:$I, $C16)
)
</f>
        <v>1</v>
      </c>
      <c r="AP16" s="85">
        <f>IF($C16="All",COUNTIFS(Units!$E:$E, $B16, Units!$M:$M, "&lt;&gt;1"),COUNTIFS(Units!$E:$E, $B16, Units!$M:$M, "&lt;&gt;1", Units!$I:$I, $C16)
)
</f>
        <v>1</v>
      </c>
      <c r="AQ16" s="94">
        <f>IF($C16="All",COUNTIFS(Units!$E:$E, $B16, Units!$S:$S, "*Maneouverable*"),COUNTIFS(Units!$E:$E, $B16, Units!$S:$S, "*Maneouverable*", Units!$I:$I, $C16)
)
</f>
        <v>0</v>
      </c>
      <c r="AR16" s="96">
        <f>IF($C16="All", 
    AVERAGEIFS(Units!$Q:$Q, Units!$E:$E, $B16, Units!$AY:$AY, false), 
    AVERAGEIFS(Units!$Q:$Q, Units!$E:$E, $B16, Units!$I:$I, $C16, Units!$AY:$AY, false)
)
</f>
        <v>3.1875</v>
      </c>
      <c r="AS16" s="85">
        <f>IF($C16="All",COUNTIFS(Units!$E:$E, $B16, Units!$Q:$Q, "&lt;&gt;1"),COUNTIFS(Units!$E:$E, $B16, Units!$Q:$Q, "&lt;&gt;1", Units!$I:$I, $C16)
)</f>
        <v>14</v>
      </c>
      <c r="AT16" s="85">
        <f>AS16 - IF($C16="All",COUNTIFS(Units!$E:$E, $B16, Units!$Q:$Q, 2),COUNTIFS(Units!$E:$E, $B16, Units!$Q:$Q, 2, Units!$I:$I, $C16)
)</f>
        <v>8</v>
      </c>
      <c r="AU16" s="96">
        <f>IF($C16="All", 
    AVERAGEIFS(Units!$AQ:$AQ, Units!$E:$E, $B16, Units!$AY:$AY, false), 
    AVERAGEIFS(Units!$AQ:$AQ, Units!$E:$E, $B16, Units!$I:$I, $C16, Units!$AY:$AY, false)
)
</f>
        <v>7.1875</v>
      </c>
      <c r="AV16" s="96">
        <f>IF($C16="All", 
    AVERAGEIFS(Units!$AR:$AR, Units!$E:$E, $B16, Units!$AY:$AY, false), 
    AVERAGEIFS(Units!$AR:$AR, Units!$E:$E, $B16, Units!$I:$I, $C16, Units!$AY:$AY, false)
)</f>
        <v>11.1625</v>
      </c>
      <c r="AW16" s="96">
        <f>IF($C16="All", 
    AVERAGEIFS(Units!$AW:$AW, Units!$E:$E, $B16, Units!$AY:$AY, false), 
    AVERAGEIFS(Units!$AW:$AW, Units!$E:$E, $B16, Units!$I:$I, $C16, Units!$AY:$AY, false)
)
</f>
        <v>2.6875</v>
      </c>
    </row>
    <row r="17" ht="22.5" hidden="1" customHeight="1">
      <c r="A17" s="82" t="str">
        <f t="shared" si="1"/>
        <v>04</v>
      </c>
      <c r="B17" s="85" t="str">
        <f>VLOOKUP(A17, Factions!A:B, 2, FALSE)</f>
        <v>Silk Court</v>
      </c>
      <c r="C17" s="83">
        <v>1.0</v>
      </c>
      <c r="D17" s="85">
        <f>IF($C17="All",COUNTIFS(Units!$E:$E, $B17),COUNTIFS(Units!$E:$E, $B17, Units!$I:$I, $C17)
)
</f>
        <v>6</v>
      </c>
      <c r="E17" s="87">
        <f>IF($C17="All",COUNTIFS(Units!$E:$E, $B17, Units!$G:$G, E$4),COUNTIFS(Units!$E:$E, $B17, Units!$G:$G, E$4, Units!$I:$I, $C17)
)
</f>
        <v>1</v>
      </c>
      <c r="F17" s="87">
        <f>IF($C17="All",COUNTIFS(Units!$E:$E, $B17, Units!$G:$G, F$4),COUNTIFS(Units!$E:$E, $B17, Units!$G:$G, F$4, Units!$I:$I, $C17)
)
</f>
        <v>1</v>
      </c>
      <c r="G17" s="87">
        <f>IF($C17="All",COUNTIFS(Units!$E:$E, $B17, Units!$G:$G, G$4),COUNTIFS(Units!$E:$E, $B17, Units!$G:$G, G$4, Units!$I:$I, $C17)
)
</f>
        <v>0</v>
      </c>
      <c r="H17" s="87">
        <f>IF($C17="All",COUNTIFS(Units!$E:$E, $B17, Units!$G:$G, H$4),COUNTIFS(Units!$E:$E, $B17, Units!$G:$G, H$4, Units!$I:$I, $C17)
)
</f>
        <v>2</v>
      </c>
      <c r="I17" s="87">
        <f>IF($C17="All",COUNTIFS(Units!$E:$E, $B17, Units!$G:$G, I$4),COUNTIFS(Units!$E:$E, $B17, Units!$G:$G, I$4, Units!$I:$I, $C17)
)
</f>
        <v>1</v>
      </c>
      <c r="J17" s="87">
        <f>IF($C17="All",COUNTIFS(Units!$E:$E, $B17, Units!$G:$G, J$4),COUNTIFS(Units!$E:$E, $B17, Units!$G:$G, J$4, Units!$I:$I, $C17)
)
</f>
        <v>0</v>
      </c>
      <c r="K17" s="87">
        <f>IF($C17="All",COUNTIFS(Units!$E:$E, $B17, Units!$G:$G, K$4),COUNTIFS(Units!$E:$E, $B17, Units!$G:$G, K$4, Units!$I:$I, $C17)
)
</f>
        <v>0</v>
      </c>
      <c r="L17" s="87">
        <f>IF($C17="All",COUNTIFS(Units!$E:$E, $B17, Units!$G:$G, L$4),COUNTIFS(Units!$E:$E, $B17, Units!$G:$G, L$4, Units!$I:$I, $C17)
)
</f>
        <v>0</v>
      </c>
      <c r="M17" s="87"/>
      <c r="N17" s="87">
        <f>IF($C17="All",COUNTIFS(Units!$E:$E, $B17, Units!$G:$G, N$4),COUNTIFS(Units!$E:$E, $B17, Units!$G:$G, N$4, Units!$I:$I, $C17)
)
</f>
        <v>0</v>
      </c>
      <c r="O17" s="87">
        <f>IF($C17="All",COUNTIFS(Units!$E:$E, $B17, Units!$G:$G, O$4),COUNTIFS(Units!$E:$E, $B17, Units!$G:$G, O$4, Units!$I:$I, $C17)
)
</f>
        <v>0</v>
      </c>
      <c r="P17" s="87">
        <f>IF($C17="All",COUNTIFS(Units!$E:$E, $B17, Units!$G:$G, P$4),COUNTIFS(Units!$E:$E, $B17, Units!$G:$G, P$4, Units!$I:$I, $C17)
)
</f>
        <v>0</v>
      </c>
      <c r="Q17" s="87">
        <f>IF($C17="All",COUNTIFS(Units!$E:$E, $B17, Units!$G:$G, Q$4),COUNTIFS(Units!$E:$E, $B17, Units!$G:$G, Q$4, Units!$I:$I, $C17)
)
</f>
        <v>0</v>
      </c>
      <c r="R17" s="87">
        <f>IF($C17="All",COUNTIFS(Units!$E:$E, $B17, Units!$G:$G, R$4),COUNTIFS(Units!$E:$E, $B17, Units!$G:$G, R$4, Units!$I:$I, $C17)
)
</f>
        <v>0</v>
      </c>
      <c r="S17" s="87">
        <f>IF($C17="All",COUNTIFS(Units!$E:$E, $B17, Units!$G:$G, S$4),COUNTIFS(Units!$E:$E, $B17, Units!$G:$G, S$4, Units!$I:$I, $C17)
)
</f>
        <v>0</v>
      </c>
      <c r="T17" s="87">
        <f>IF($C17="All",COUNTIFS(Units!$E:$E, $B17, Units!$G:$G, T$4),COUNTIFS(Units!$E:$E, $B17, Units!$G:$G, T$4, Units!$I:$I, $C17)
)
</f>
        <v>1</v>
      </c>
      <c r="U17" s="87">
        <f>IF($C17="All",COUNTIFS(Units!$E:$E, $B17, Units!$G:$G, U$4),COUNTIFS(Units!$E:$E, $B17, Units!$G:$G, U$4, Units!$I:$I, $C17)
)
</f>
        <v>0</v>
      </c>
      <c r="V17" s="87">
        <f>IF($C17="All",COUNTIFS(Units!$E:$E, $B17, Units!$G:$G, V$4),COUNTIFS(Units!$E:$E, $B17, Units!$G:$G, V$4, Units!$I:$I, $C17)
)
</f>
        <v>0</v>
      </c>
      <c r="W17" s="87">
        <f>IF($C17="All",COUNTIFS(Units!$E:$E, $B17, Units!$G:$G, W$4),COUNTIFS(Units!$E:$E, $B17, Units!$G:$G, W$4, Units!$I:$I, $C17)
)
</f>
        <v>0</v>
      </c>
      <c r="X17" s="87">
        <f>IF($C17="All",COUNTIFS(Units!$E:$E, $B17, Units!$G:$G, X$4),COUNTIFS(Units!$E:$E, $B17, Units!$G:$G, X$4, Units!$I:$I, $C17)
)
</f>
        <v>0</v>
      </c>
      <c r="Y17" s="87">
        <f>IF($C17="All",COUNTIFS(Units!$E:$E, $B17, Units!$G:$G, Y$4),COUNTIFS(Units!$E:$E, $B17, Units!$G:$G, Y$4, Units!$I:$I, $C17)
)
</f>
        <v>0</v>
      </c>
      <c r="Z17" s="87">
        <f>IF($C17="All",COUNTIFS(Units!$E:$E, $B17, Units!$G:$G, Z$4),COUNTIFS(Units!$E:$E, $B17, Units!$G:$G, Z$4, Units!$I:$I, $C17)
)
</f>
        <v>0</v>
      </c>
      <c r="AA17" s="87">
        <f>IF($C17="All",COUNTIFS(Units!$E:$E, $B17, Units!$G:$G, AA$4),COUNTIFS(Units!$E:$E, $B17, Units!$G:$G, AA$4, Units!$I:$I, $C17)
)
</f>
        <v>0</v>
      </c>
      <c r="AB17" s="87">
        <f>IF($C17="All",COUNTIFS(Units!$E:$E, $B17, Units!$G:$G, AB$4),COUNTIFS(Units!$E:$E, $B17, Units!$G:$G, AB$4, Units!$I:$I, $C17)
)
</f>
        <v>0</v>
      </c>
      <c r="AC17" s="87">
        <f>IF($C17="All",COUNTIFS(Units!$E:$E, $B17, Units!$G:$G, AC$4),COUNTIFS(Units!$E:$E, $B17, Units!$G:$G, AC$4, Units!$I:$I, $C17)
)
</f>
        <v>0</v>
      </c>
      <c r="AD17" s="87">
        <f t="shared" si="2"/>
        <v>4</v>
      </c>
      <c r="AE17" s="87">
        <f t="shared" si="3"/>
        <v>0</v>
      </c>
      <c r="AF17" s="87">
        <f t="shared" si="4"/>
        <v>1</v>
      </c>
      <c r="AG17" s="91">
        <f t="shared" si="5"/>
        <v>1</v>
      </c>
      <c r="AH17" s="85">
        <f>IF($C17=1,COUNTIFS(Units!$E:$E, $B17, Units!$J:$J, 1, Units!$I:$I, 1),0)
</f>
        <v>0</v>
      </c>
      <c r="AI17" s="85">
        <f>IF($C17=1,COUNTIFS(Units!$E:$E, $B17, Units!$J:$J, 2, Units!$I:$I, 1),0)
</f>
        <v>3</v>
      </c>
      <c r="AJ17" s="94">
        <f>IF($C17=1,COUNTIFS(Units!$E:$E, $B17, Units!$J:$J, 3, Units!$I:$I, 1),0)
</f>
        <v>3</v>
      </c>
      <c r="AK17" s="85">
        <f>IF($C17="All",COUNTIFS(Units!$E:$E, $B17, Units!$R:$R, "-"),COUNTIFS(Units!$E:$E, $B17, Units!$R:$R, "-", Units!$I:$I, $C17)
)
</f>
        <v>0</v>
      </c>
      <c r="AL17" s="85">
        <f>IF($C17="All",COUNTIFS(Units!$E:$E, $B17, Units!$R:$R, 6),COUNTIFS(Units!$E:$E, $B17, Units!$R:$R, 6, Units!$I:$I, $C17)
)
</f>
        <v>1</v>
      </c>
      <c r="AM17" s="85">
        <f>IF($C17="All",COUNTIFS(Units!$E:$E, $B17, Units!$R:$R, 5),COUNTIFS(Units!$E:$E, $B17, Units!$R:$R, 5, Units!$I:$I, $C17)
)
</f>
        <v>4</v>
      </c>
      <c r="AN17" s="85">
        <f>IF($C17="All",COUNTIFS(Units!$E:$E, $B17, Units!$R:$R, 4),COUNTIFS(Units!$E:$E, $B17, Units!$R:$R, 4, Units!$I:$I, $C17)
)
</f>
        <v>1</v>
      </c>
      <c r="AO17" s="94">
        <f>IF($C17="All",COUNTIFS(Units!$E:$E, $B17, Units!$R:$R, 3),COUNTIFS(Units!$E:$E, $B17, Units!$R:$R, 3, Units!$I:$I, $C17)
)
</f>
        <v>0</v>
      </c>
      <c r="AP17" s="85">
        <f>IF($C17="All",COUNTIFS(Units!$E:$E, $B17, Units!$M:$M, "&lt;&gt;1"),COUNTIFS(Units!$E:$E, $B17, Units!$M:$M, "&lt;&gt;1", Units!$I:$I, $C17)
)
</f>
        <v>0</v>
      </c>
      <c r="AQ17" s="94">
        <f>IF($C17="All",COUNTIFS(Units!$E:$E, $B17, Units!$S:$S, "*Maneouverable*"),COUNTIFS(Units!$E:$E, $B17, Units!$S:$S, "*Maneouverable*", Units!$I:$I, $C17)
)
</f>
        <v>0</v>
      </c>
      <c r="AR17" s="96">
        <f>IF($C17="All", 
    AVERAGEIFS(Units!$Q:$Q, Units!$E:$E, $B17, Units!$AY:$AY, false), 
    AVERAGEIFS(Units!$Q:$Q, Units!$E:$E, $B17, Units!$I:$I, $C17, Units!$AY:$AY, false)
)
</f>
        <v>1</v>
      </c>
      <c r="AS17" s="85">
        <f>IF($C17="All",COUNTIFS(Units!$E:$E, $B17, Units!$Q:$Q, "&lt;&gt;1"),COUNTIFS(Units!$E:$E, $B17, Units!$Q:$Q, "&lt;&gt;1", Units!$I:$I, $C17)
)</f>
        <v>0</v>
      </c>
      <c r="AT17" s="85">
        <f>AS17 - IF($C17="All",COUNTIFS(Units!$E:$E, $B17, Units!$Q:$Q, 2),COUNTIFS(Units!$E:$E, $B17, Units!$Q:$Q, 2, Units!$I:$I, $C17)
)</f>
        <v>0</v>
      </c>
      <c r="AU17" s="96">
        <f>IF($C17="All", 
    AVERAGEIFS(Units!$AQ:$AQ, Units!$E:$E, $B17, Units!$AY:$AY, false), 
    AVERAGEIFS(Units!$AQ:$AQ, Units!$E:$E, $B17, Units!$I:$I, $C17, Units!$AY:$AY, false)
)
</f>
        <v>5</v>
      </c>
      <c r="AV17" s="96">
        <f>IF($C17="All", 
    AVERAGEIFS(Units!$AR:$AR, Units!$E:$E, $B17, Units!$AY:$AY, false), 
    AVERAGEIFS(Units!$AR:$AR, Units!$E:$E, $B17, Units!$I:$I, $C17, Units!$AY:$AY, false)
)</f>
        <v>7.666666667</v>
      </c>
      <c r="AW17" s="96">
        <f>IF($C17="All", 
    AVERAGEIFS(Units!$AW:$AW, Units!$E:$E, $B17, Units!$AY:$AY, false), 
    AVERAGEIFS(Units!$AW:$AW, Units!$E:$E, $B17, Units!$I:$I, $C17, Units!$AY:$AY, false)
)
</f>
        <v>2.361111111</v>
      </c>
    </row>
    <row r="18" ht="22.5" hidden="1" customHeight="1">
      <c r="A18" s="82" t="str">
        <f t="shared" si="1"/>
        <v>04</v>
      </c>
      <c r="B18" s="85" t="str">
        <f>VLOOKUP(A18, Factions!A:B, 2, FALSE)</f>
        <v>Silk Court</v>
      </c>
      <c r="C18" s="83">
        <v>2.0</v>
      </c>
      <c r="D18" s="85">
        <f>IF($C18="All",COUNTIFS(Units!$E:$E, $B18),COUNTIFS(Units!$E:$E, $B18, Units!$I:$I, $C18)
)
</f>
        <v>9</v>
      </c>
      <c r="E18" s="87">
        <f>IF($C18="All",COUNTIFS(Units!$E:$E, $B18, Units!$G:$G, E$4),COUNTIFS(Units!$E:$E, $B18, Units!$G:$G, E$4, Units!$I:$I, $C18)
)
</f>
        <v>0</v>
      </c>
      <c r="F18" s="87">
        <f>IF($C18="All",COUNTIFS(Units!$E:$E, $B18, Units!$G:$G, F$4),COUNTIFS(Units!$E:$E, $B18, Units!$G:$G, F$4, Units!$I:$I, $C18)
)
</f>
        <v>0</v>
      </c>
      <c r="G18" s="87">
        <f>IF($C18="All",COUNTIFS(Units!$E:$E, $B18, Units!$G:$G, G$4),COUNTIFS(Units!$E:$E, $B18, Units!$G:$G, G$4, Units!$I:$I, $C18)
)
</f>
        <v>0</v>
      </c>
      <c r="H18" s="87">
        <f>IF($C18="All",COUNTIFS(Units!$E:$E, $B18, Units!$G:$G, H$4),COUNTIFS(Units!$E:$E, $B18, Units!$G:$G, H$4, Units!$I:$I, $C18)
)
</f>
        <v>0</v>
      </c>
      <c r="I18" s="87">
        <f>IF($C18="All",COUNTIFS(Units!$E:$E, $B18, Units!$G:$G, I$4),COUNTIFS(Units!$E:$E, $B18, Units!$G:$G, I$4, Units!$I:$I, $C18)
)
</f>
        <v>1</v>
      </c>
      <c r="J18" s="87">
        <f>IF($C18="All",COUNTIFS(Units!$E:$E, $B18, Units!$G:$G, J$4),COUNTIFS(Units!$E:$E, $B18, Units!$G:$G, J$4, Units!$I:$I, $C18)
)
</f>
        <v>0</v>
      </c>
      <c r="K18" s="87">
        <f>IF($C18="All",COUNTIFS(Units!$E:$E, $B18, Units!$G:$G, K$4),COUNTIFS(Units!$E:$E, $B18, Units!$G:$G, K$4, Units!$I:$I, $C18)
)
</f>
        <v>0</v>
      </c>
      <c r="L18" s="87">
        <f>IF($C18="All",COUNTIFS(Units!$E:$E, $B18, Units!$G:$G, L$4),COUNTIFS(Units!$E:$E, $B18, Units!$G:$G, L$4, Units!$I:$I, $C18)
)
</f>
        <v>1</v>
      </c>
      <c r="M18" s="87"/>
      <c r="N18" s="87">
        <f>IF($C18="All",COUNTIFS(Units!$E:$E, $B18, Units!$G:$G, N$4),COUNTIFS(Units!$E:$E, $B18, Units!$G:$G, N$4, Units!$I:$I, $C18)
)
</f>
        <v>0</v>
      </c>
      <c r="O18" s="87">
        <f>IF($C18="All",COUNTIFS(Units!$E:$E, $B18, Units!$G:$G, O$4),COUNTIFS(Units!$E:$E, $B18, Units!$G:$G, O$4, Units!$I:$I, $C18)
)
</f>
        <v>1</v>
      </c>
      <c r="P18" s="87">
        <f>IF($C18="All",COUNTIFS(Units!$E:$E, $B18, Units!$G:$G, P$4),COUNTIFS(Units!$E:$E, $B18, Units!$G:$G, P$4, Units!$I:$I, $C18)
)
</f>
        <v>0</v>
      </c>
      <c r="Q18" s="87">
        <f>IF($C18="All",COUNTIFS(Units!$E:$E, $B18, Units!$G:$G, Q$4),COUNTIFS(Units!$E:$E, $B18, Units!$G:$G, Q$4, Units!$I:$I, $C18)
)
</f>
        <v>3</v>
      </c>
      <c r="R18" s="87">
        <f>IF($C18="All",COUNTIFS(Units!$E:$E, $B18, Units!$G:$G, R$4),COUNTIFS(Units!$E:$E, $B18, Units!$G:$G, R$4, Units!$I:$I, $C18)
)
</f>
        <v>0</v>
      </c>
      <c r="S18" s="87">
        <f>IF($C18="All",COUNTIFS(Units!$E:$E, $B18, Units!$G:$G, S$4),COUNTIFS(Units!$E:$E, $B18, Units!$G:$G, S$4, Units!$I:$I, $C18)
)
</f>
        <v>0</v>
      </c>
      <c r="T18" s="87">
        <f>IF($C18="All",COUNTIFS(Units!$E:$E, $B18, Units!$G:$G, T$4),COUNTIFS(Units!$E:$E, $B18, Units!$G:$G, T$4, Units!$I:$I, $C18)
)
</f>
        <v>2</v>
      </c>
      <c r="U18" s="87">
        <f>IF($C18="All",COUNTIFS(Units!$E:$E, $B18, Units!$G:$G, U$4),COUNTIFS(Units!$E:$E, $B18, Units!$G:$G, U$4, Units!$I:$I, $C18)
)
</f>
        <v>0</v>
      </c>
      <c r="V18" s="87">
        <f>IF($C18="All",COUNTIFS(Units!$E:$E, $B18, Units!$G:$G, V$4),COUNTIFS(Units!$E:$E, $B18, Units!$G:$G, V$4, Units!$I:$I, $C18)
)
</f>
        <v>0</v>
      </c>
      <c r="W18" s="87">
        <f>IF($C18="All",COUNTIFS(Units!$E:$E, $B18, Units!$G:$G, W$4),COUNTIFS(Units!$E:$E, $B18, Units!$G:$G, W$4, Units!$I:$I, $C18)
)
</f>
        <v>0</v>
      </c>
      <c r="X18" s="87">
        <f>IF($C18="All",COUNTIFS(Units!$E:$E, $B18, Units!$G:$G, X$4),COUNTIFS(Units!$E:$E, $B18, Units!$G:$G, X$4, Units!$I:$I, $C18)
)
</f>
        <v>0</v>
      </c>
      <c r="Y18" s="87">
        <f>IF($C18="All",COUNTIFS(Units!$E:$E, $B18, Units!$G:$G, Y$4),COUNTIFS(Units!$E:$E, $B18, Units!$G:$G, Y$4, Units!$I:$I, $C18)
)
</f>
        <v>0</v>
      </c>
      <c r="Z18" s="87">
        <f>IF($C18="All",COUNTIFS(Units!$E:$E, $B18, Units!$G:$G, Z$4),COUNTIFS(Units!$E:$E, $B18, Units!$G:$G, Z$4, Units!$I:$I, $C18)
)
</f>
        <v>0</v>
      </c>
      <c r="AA18" s="87">
        <f>IF($C18="All",COUNTIFS(Units!$E:$E, $B18, Units!$G:$G, AA$4),COUNTIFS(Units!$E:$E, $B18, Units!$G:$G, AA$4, Units!$I:$I, $C18)
)
</f>
        <v>0</v>
      </c>
      <c r="AB18" s="87">
        <f>IF($C18="All",COUNTIFS(Units!$E:$E, $B18, Units!$G:$G, AB$4),COUNTIFS(Units!$E:$E, $B18, Units!$G:$G, AB$4, Units!$I:$I, $C18)
)
</f>
        <v>0</v>
      </c>
      <c r="AC18" s="87">
        <f>IF($C18="All",COUNTIFS(Units!$E:$E, $B18, Units!$G:$G, AC$4),COUNTIFS(Units!$E:$E, $B18, Units!$G:$G, AC$4, Units!$I:$I, $C18)
)
</f>
        <v>0</v>
      </c>
      <c r="AD18" s="87">
        <f t="shared" si="2"/>
        <v>1</v>
      </c>
      <c r="AE18" s="87">
        <f t="shared" si="3"/>
        <v>2</v>
      </c>
      <c r="AF18" s="87">
        <f t="shared" si="4"/>
        <v>3</v>
      </c>
      <c r="AG18" s="91">
        <f t="shared" si="5"/>
        <v>2</v>
      </c>
      <c r="AH18" s="85">
        <f>IF($C18=1,COUNTIFS(Units!$E:$E, $B18, Units!$J:$J, 1, Units!$I:$I, 1),0)
</f>
        <v>0</v>
      </c>
      <c r="AI18" s="85">
        <f>IF($C18=1,COUNTIFS(Units!$E:$E, $B18, Units!$J:$J, 2, Units!$I:$I, 1),0)
</f>
        <v>0</v>
      </c>
      <c r="AJ18" s="94">
        <f>IF($C18=1,COUNTIFS(Units!$E:$E, $B18, Units!$J:$J, 3, Units!$I:$I, 1),0)
</f>
        <v>0</v>
      </c>
      <c r="AK18" s="85">
        <f>IF($C18="All",COUNTIFS(Units!$E:$E, $B18, Units!$R:$R, "-"),COUNTIFS(Units!$E:$E, $B18, Units!$R:$R, "-", Units!$I:$I, $C18)
)
</f>
        <v>0</v>
      </c>
      <c r="AL18" s="85">
        <f>IF($C18="All",COUNTIFS(Units!$E:$E, $B18, Units!$R:$R, 6),COUNTIFS(Units!$E:$E, $B18, Units!$R:$R, 6, Units!$I:$I, $C18)
)
</f>
        <v>5</v>
      </c>
      <c r="AM18" s="85">
        <f>IF($C18="All",COUNTIFS(Units!$E:$E, $B18, Units!$R:$R, 5),COUNTIFS(Units!$E:$E, $B18, Units!$R:$R, 5, Units!$I:$I, $C18)
)
</f>
        <v>4</v>
      </c>
      <c r="AN18" s="85">
        <f>IF($C18="All",COUNTIFS(Units!$E:$E, $B18, Units!$R:$R, 4),COUNTIFS(Units!$E:$E, $B18, Units!$R:$R, 4, Units!$I:$I, $C18)
)
</f>
        <v>0</v>
      </c>
      <c r="AO18" s="94">
        <f>IF($C18="All",COUNTIFS(Units!$E:$E, $B18, Units!$R:$R, 3),COUNTIFS(Units!$E:$E, $B18, Units!$R:$R, 3, Units!$I:$I, $C18)
)
</f>
        <v>0</v>
      </c>
      <c r="AP18" s="85">
        <f>IF($C18="All",COUNTIFS(Units!$E:$E, $B18, Units!$M:$M, "&lt;&gt;1"),COUNTIFS(Units!$E:$E, $B18, Units!$M:$M, "&lt;&gt;1", Units!$I:$I, $C18)
)
</f>
        <v>3</v>
      </c>
      <c r="AQ18" s="94">
        <f>IF($C18="All",COUNTIFS(Units!$E:$E, $B18, Units!$S:$S, "*Maneouverable*"),COUNTIFS(Units!$E:$E, $B18, Units!$S:$S, "*Maneouverable*", Units!$I:$I, $C18)
)
</f>
        <v>0</v>
      </c>
      <c r="AR18" s="96">
        <f>IF($C18="All", 
    AVERAGEIFS(Units!$Q:$Q, Units!$E:$E, $B18, Units!$AY:$AY, false), 
    AVERAGEIFS(Units!$Q:$Q, Units!$E:$E, $B18, Units!$I:$I, $C18, Units!$AY:$AY, false)
)
</f>
        <v>1.333333333</v>
      </c>
      <c r="AS18" s="85">
        <f>IF($C18="All",COUNTIFS(Units!$E:$E, $B18, Units!$Q:$Q, "&lt;&gt;1"),COUNTIFS(Units!$E:$E, $B18, Units!$Q:$Q, "&lt;&gt;1", Units!$I:$I, $C18)
)</f>
        <v>5</v>
      </c>
      <c r="AT18" s="85">
        <f>AS18 - IF($C18="All",COUNTIFS(Units!$E:$E, $B18, Units!$Q:$Q, 2),COUNTIFS(Units!$E:$E, $B18, Units!$Q:$Q, 2, Units!$I:$I, $C18)
)</f>
        <v>3</v>
      </c>
      <c r="AU18" s="96">
        <f>IF($C18="All", 
    AVERAGEIFS(Units!$AQ:$AQ, Units!$E:$E, $B18, Units!$AY:$AY, false), 
    AVERAGEIFS(Units!$AQ:$AQ, Units!$E:$E, $B18, Units!$I:$I, $C18, Units!$AY:$AY, false)
)
</f>
        <v>6.666666667</v>
      </c>
      <c r="AV18" s="96">
        <f>IF($C18="All", 
    AVERAGEIFS(Units!$AR:$AR, Units!$E:$E, $B18, Units!$AY:$AY, false), 
    AVERAGEIFS(Units!$AR:$AR, Units!$E:$E, $B18, Units!$I:$I, $C18, Units!$AY:$AY, false)
)</f>
        <v>9.25</v>
      </c>
      <c r="AW18" s="96">
        <f>IF($C18="All", 
    AVERAGEIFS(Units!$AW:$AW, Units!$E:$E, $B18, Units!$AY:$AY, false), 
    AVERAGEIFS(Units!$AW:$AW, Units!$E:$E, $B18, Units!$I:$I, $C18, Units!$AY:$AY, false)
)
</f>
        <v>3.055555556</v>
      </c>
    </row>
    <row r="19" ht="22.5" hidden="1" customHeight="1">
      <c r="A19" s="82" t="str">
        <f t="shared" si="1"/>
        <v>04</v>
      </c>
      <c r="B19" s="85" t="str">
        <f>VLOOKUP(A19, Factions!A:B, 2, FALSE)</f>
        <v>Silk Court</v>
      </c>
      <c r="C19" s="83">
        <v>3.0</v>
      </c>
      <c r="D19" s="85">
        <f>IF($C19="All",COUNTIFS(Units!$E:$E, $B19),COUNTIFS(Units!$E:$E, $B19, Units!$I:$I, $C19)
)
</f>
        <v>5</v>
      </c>
      <c r="E19" s="87">
        <f>IF($C19="All",COUNTIFS(Units!$E:$E, $B19, Units!$G:$G, E$4),COUNTIFS(Units!$E:$E, $B19, Units!$G:$G, E$4, Units!$I:$I, $C19)
)
</f>
        <v>0</v>
      </c>
      <c r="F19" s="87">
        <f>IF($C19="All",COUNTIFS(Units!$E:$E, $B19, Units!$G:$G, F$4),COUNTIFS(Units!$E:$E, $B19, Units!$G:$G, F$4, Units!$I:$I, $C19)
)
</f>
        <v>0</v>
      </c>
      <c r="G19" s="87">
        <f>IF($C19="All",COUNTIFS(Units!$E:$E, $B19, Units!$G:$G, G$4),COUNTIFS(Units!$E:$E, $B19, Units!$G:$G, G$4, Units!$I:$I, $C19)
)
</f>
        <v>0</v>
      </c>
      <c r="H19" s="87">
        <f>IF($C19="All",COUNTIFS(Units!$E:$E, $B19, Units!$G:$G, H$4),COUNTIFS(Units!$E:$E, $B19, Units!$G:$G, H$4, Units!$I:$I, $C19)
)
</f>
        <v>0</v>
      </c>
      <c r="I19" s="87">
        <f>IF($C19="All",COUNTIFS(Units!$E:$E, $B19, Units!$G:$G, I$4),COUNTIFS(Units!$E:$E, $B19, Units!$G:$G, I$4, Units!$I:$I, $C19)
)
</f>
        <v>0</v>
      </c>
      <c r="J19" s="87">
        <f>IF($C19="All",COUNTIFS(Units!$E:$E, $B19, Units!$G:$G, J$4),COUNTIFS(Units!$E:$E, $B19, Units!$G:$G, J$4, Units!$I:$I, $C19)
)
</f>
        <v>0</v>
      </c>
      <c r="K19" s="87">
        <f>IF($C19="All",COUNTIFS(Units!$E:$E, $B19, Units!$G:$G, K$4),COUNTIFS(Units!$E:$E, $B19, Units!$G:$G, K$4, Units!$I:$I, $C19)
)
</f>
        <v>0</v>
      </c>
      <c r="L19" s="87">
        <f>IF($C19="All",COUNTIFS(Units!$E:$E, $B19, Units!$G:$G, L$4),COUNTIFS(Units!$E:$E, $B19, Units!$G:$G, L$4, Units!$I:$I, $C19)
)
</f>
        <v>0</v>
      </c>
      <c r="M19" s="87"/>
      <c r="N19" s="87">
        <f>IF($C19="All",COUNTIFS(Units!$E:$E, $B19, Units!$G:$G, N$4),COUNTIFS(Units!$E:$E, $B19, Units!$G:$G, N$4, Units!$I:$I, $C19)
)
</f>
        <v>0</v>
      </c>
      <c r="O19" s="87">
        <f>IF($C19="All",COUNTIFS(Units!$E:$E, $B19, Units!$G:$G, O$4),COUNTIFS(Units!$E:$E, $B19, Units!$G:$G, O$4, Units!$I:$I, $C19)
)
</f>
        <v>0</v>
      </c>
      <c r="P19" s="87">
        <f>IF($C19="All",COUNTIFS(Units!$E:$E, $B19, Units!$G:$G, P$4),COUNTIFS(Units!$E:$E, $B19, Units!$G:$G, P$4, Units!$I:$I, $C19)
)
</f>
        <v>0</v>
      </c>
      <c r="Q19" s="87">
        <f>IF($C19="All",COUNTIFS(Units!$E:$E, $B19, Units!$G:$G, Q$4),COUNTIFS(Units!$E:$E, $B19, Units!$G:$G, Q$4, Units!$I:$I, $C19)
)
</f>
        <v>0</v>
      </c>
      <c r="R19" s="87">
        <f>IF($C19="All",COUNTIFS(Units!$E:$E, $B19, Units!$G:$G, R$4),COUNTIFS(Units!$E:$E, $B19, Units!$G:$G, R$4, Units!$I:$I, $C19)
)
</f>
        <v>0</v>
      </c>
      <c r="S19" s="87">
        <f>IF($C19="All",COUNTIFS(Units!$E:$E, $B19, Units!$G:$G, S$4),COUNTIFS(Units!$E:$E, $B19, Units!$G:$G, S$4, Units!$I:$I, $C19)
)
</f>
        <v>0</v>
      </c>
      <c r="T19" s="87">
        <f>IF($C19="All",COUNTIFS(Units!$E:$E, $B19, Units!$G:$G, T$4),COUNTIFS(Units!$E:$E, $B19, Units!$G:$G, T$4, Units!$I:$I, $C19)
)
</f>
        <v>0</v>
      </c>
      <c r="U19" s="87">
        <f>IF($C19="All",COUNTIFS(Units!$E:$E, $B19, Units!$G:$G, U$4),COUNTIFS(Units!$E:$E, $B19, Units!$G:$G, U$4, Units!$I:$I, $C19)
)
</f>
        <v>2</v>
      </c>
      <c r="V19" s="87">
        <f>IF($C19="All",COUNTIFS(Units!$E:$E, $B19, Units!$G:$G, V$4),COUNTIFS(Units!$E:$E, $B19, Units!$G:$G, V$4, Units!$I:$I, $C19)
)
</f>
        <v>1</v>
      </c>
      <c r="W19" s="87">
        <f>IF($C19="All",COUNTIFS(Units!$E:$E, $B19, Units!$G:$G, W$4),COUNTIFS(Units!$E:$E, $B19, Units!$G:$G, W$4, Units!$I:$I, $C19)
)
</f>
        <v>0</v>
      </c>
      <c r="X19" s="87">
        <f>IF($C19="All",COUNTIFS(Units!$E:$E, $B19, Units!$G:$G, X$4),COUNTIFS(Units!$E:$E, $B19, Units!$G:$G, X$4, Units!$I:$I, $C19)
)
</f>
        <v>0</v>
      </c>
      <c r="Y19" s="87">
        <f>IF($C19="All",COUNTIFS(Units!$E:$E, $B19, Units!$G:$G, Y$4),COUNTIFS(Units!$E:$E, $B19, Units!$G:$G, Y$4, Units!$I:$I, $C19)
)
</f>
        <v>1</v>
      </c>
      <c r="Z19" s="87">
        <f>IF($C19="All",COUNTIFS(Units!$E:$E, $B19, Units!$G:$G, Z$4),COUNTIFS(Units!$E:$E, $B19, Units!$G:$G, Z$4, Units!$I:$I, $C19)
)
</f>
        <v>0</v>
      </c>
      <c r="AA19" s="87">
        <f>IF($C19="All",COUNTIFS(Units!$E:$E, $B19, Units!$G:$G, AA$4),COUNTIFS(Units!$E:$E, $B19, Units!$G:$G, AA$4, Units!$I:$I, $C19)
)
</f>
        <v>0</v>
      </c>
      <c r="AB19" s="87">
        <f>IF($C19="All",COUNTIFS(Units!$E:$E, $B19, Units!$G:$G, AB$4),COUNTIFS(Units!$E:$E, $B19, Units!$G:$G, AB$4, Units!$I:$I, $C19)
)
</f>
        <v>1</v>
      </c>
      <c r="AC19" s="87">
        <f>IF($C19="All",COUNTIFS(Units!$E:$E, $B19, Units!$G:$G, AC$4),COUNTIFS(Units!$E:$E, $B19, Units!$G:$G, AC$4, Units!$I:$I, $C19)
)
</f>
        <v>0</v>
      </c>
      <c r="AD19" s="87">
        <f t="shared" si="2"/>
        <v>0</v>
      </c>
      <c r="AE19" s="87">
        <f t="shared" si="3"/>
        <v>0</v>
      </c>
      <c r="AF19" s="87">
        <f t="shared" si="4"/>
        <v>0</v>
      </c>
      <c r="AG19" s="91">
        <f t="shared" si="5"/>
        <v>0</v>
      </c>
      <c r="AH19" s="85">
        <f>IF($C19=1,COUNTIFS(Units!$E:$E, $B19, Units!$J:$J, 1, Units!$I:$I, 1),0)
</f>
        <v>0</v>
      </c>
      <c r="AI19" s="85">
        <f>IF($C19=1,COUNTIFS(Units!$E:$E, $B19, Units!$J:$J, 2, Units!$I:$I, 1),0)
</f>
        <v>0</v>
      </c>
      <c r="AJ19" s="94">
        <f>IF($C19=1,COUNTIFS(Units!$E:$E, $B19, Units!$J:$J, 3, Units!$I:$I, 1),0)
</f>
        <v>0</v>
      </c>
      <c r="AK19" s="85">
        <f>IF($C19="All",COUNTIFS(Units!$E:$E, $B19, Units!$R:$R, "-"),COUNTIFS(Units!$E:$E, $B19, Units!$R:$R, "-", Units!$I:$I, $C19)
)
</f>
        <v>0</v>
      </c>
      <c r="AL19" s="85">
        <f>IF($C19="All",COUNTIFS(Units!$E:$E, $B19, Units!$R:$R, 6),COUNTIFS(Units!$E:$E, $B19, Units!$R:$R, 6, Units!$I:$I, $C19)
)
</f>
        <v>0</v>
      </c>
      <c r="AM19" s="85">
        <f>IF($C19="All",COUNTIFS(Units!$E:$E, $B19, Units!$R:$R, 5),COUNTIFS(Units!$E:$E, $B19, Units!$R:$R, 5, Units!$I:$I, $C19)
)
</f>
        <v>4</v>
      </c>
      <c r="AN19" s="85">
        <f>IF($C19="All",COUNTIFS(Units!$E:$E, $B19, Units!$R:$R, 4),COUNTIFS(Units!$E:$E, $B19, Units!$R:$R, 4, Units!$I:$I, $C19)
)
</f>
        <v>1</v>
      </c>
      <c r="AO19" s="94">
        <f>IF($C19="All",COUNTIFS(Units!$E:$E, $B19, Units!$R:$R, 3),COUNTIFS(Units!$E:$E, $B19, Units!$R:$R, 3, Units!$I:$I, $C19)
)
</f>
        <v>0</v>
      </c>
      <c r="AP19" s="85">
        <f>IF($C19="All",COUNTIFS(Units!$E:$E, $B19, Units!$M:$M, "&lt;&gt;1"),COUNTIFS(Units!$E:$E, $B19, Units!$M:$M, "&lt;&gt;1", Units!$I:$I, $C19)
)
</f>
        <v>2</v>
      </c>
      <c r="AQ19" s="94">
        <f>IF($C19="All",COUNTIFS(Units!$E:$E, $B19, Units!$S:$S, "*Maneouverable*"),COUNTIFS(Units!$E:$E, $B19, Units!$S:$S, "*Maneouverable*", Units!$I:$I, $C19)
)
</f>
        <v>0</v>
      </c>
      <c r="AR19" s="96">
        <f>IF($C19="All", 
    AVERAGEIFS(Units!$Q:$Q, Units!$E:$E, $B19, Units!$AY:$AY, false), 
    AVERAGEIFS(Units!$Q:$Q, Units!$E:$E, $B19, Units!$I:$I, $C19, Units!$AY:$AY, false)
)
</f>
        <v>6.5</v>
      </c>
      <c r="AS19" s="85">
        <f>IF($C19="All",COUNTIFS(Units!$E:$E, $B19, Units!$Q:$Q, "&lt;&gt;1"),COUNTIFS(Units!$E:$E, $B19, Units!$Q:$Q, "&lt;&gt;1", Units!$I:$I, $C19)
)</f>
        <v>5</v>
      </c>
      <c r="AT19" s="85">
        <f>AS19 - IF($C19="All",COUNTIFS(Units!$E:$E, $B19, Units!$Q:$Q, 2),COUNTIFS(Units!$E:$E, $B19, Units!$Q:$Q, 2, Units!$I:$I, $C19)
)</f>
        <v>5</v>
      </c>
      <c r="AU19" s="96">
        <f>IF($C19="All", 
    AVERAGEIFS(Units!$AQ:$AQ, Units!$E:$E, $B19, Units!$AY:$AY, false), 
    AVERAGEIFS(Units!$AQ:$AQ, Units!$E:$E, $B19, Units!$I:$I, $C19, Units!$AY:$AY, false)
)
</f>
        <v>6.5</v>
      </c>
      <c r="AV19" s="96">
        <f>IF($C19="All", 
    AVERAGEIFS(Units!$AR:$AR, Units!$E:$E, $B19, Units!$AY:$AY, false), 
    AVERAGEIFS(Units!$AR:$AR, Units!$E:$E, $B19, Units!$I:$I, $C19, Units!$AY:$AY, false)
)</f>
        <v>11.75</v>
      </c>
      <c r="AW19" s="96">
        <f>IF($C19="All", 
    AVERAGEIFS(Units!$AW:$AW, Units!$E:$E, $B19, Units!$AY:$AY, false), 
    AVERAGEIFS(Units!$AW:$AW, Units!$E:$E, $B19, Units!$I:$I, $C19, Units!$AY:$AY, false)
)
</f>
        <v>2.5</v>
      </c>
    </row>
    <row r="20" ht="22.5" customHeight="1">
      <c r="A20" s="82" t="str">
        <f t="shared" si="1"/>
        <v>04</v>
      </c>
      <c r="B20" s="85" t="str">
        <f>VLOOKUP(A20, Factions!A:B, 2, FALSE)</f>
        <v>Silk Court</v>
      </c>
      <c r="C20" s="83" t="s">
        <v>382</v>
      </c>
      <c r="D20" s="85">
        <f>IF($C20="All",COUNTIFS(Units!$E:$E, $B20),COUNTIFS(Units!$E:$E, $B20, Units!$I:$I, $C20)
)
</f>
        <v>20</v>
      </c>
      <c r="E20" s="87">
        <f>IF($C20="All",COUNTIFS(Units!$E:$E, $B20, Units!$G:$G, E$4),COUNTIFS(Units!$E:$E, $B20, Units!$G:$G, E$4, Units!$I:$I, $C20)
)
</f>
        <v>1</v>
      </c>
      <c r="F20" s="87">
        <f>IF($C20="All",COUNTIFS(Units!$E:$E, $B20, Units!$G:$G, F$4),COUNTIFS(Units!$E:$E, $B20, Units!$G:$G, F$4, Units!$I:$I, $C20)
)
</f>
        <v>1</v>
      </c>
      <c r="G20" s="87">
        <f>IF($C20="All",COUNTIFS(Units!$E:$E, $B20, Units!$G:$G, G$4),COUNTIFS(Units!$E:$E, $B20, Units!$G:$G, G$4, Units!$I:$I, $C20)
)
</f>
        <v>0</v>
      </c>
      <c r="H20" s="87">
        <f>IF($C20="All",COUNTIFS(Units!$E:$E, $B20, Units!$G:$G, H$4),COUNTIFS(Units!$E:$E, $B20, Units!$G:$G, H$4, Units!$I:$I, $C20)
)
</f>
        <v>2</v>
      </c>
      <c r="I20" s="87">
        <f>IF($C20="All",COUNTIFS(Units!$E:$E, $B20, Units!$G:$G, I$4),COUNTIFS(Units!$E:$E, $B20, Units!$G:$G, I$4, Units!$I:$I, $C20)
)
</f>
        <v>2</v>
      </c>
      <c r="J20" s="87">
        <f>IF($C20="All",COUNTIFS(Units!$E:$E, $B20, Units!$G:$G, J$4),COUNTIFS(Units!$E:$E, $B20, Units!$G:$G, J$4, Units!$I:$I, $C20)
)
</f>
        <v>0</v>
      </c>
      <c r="K20" s="87">
        <f>IF($C20="All",COUNTIFS(Units!$E:$E, $B20, Units!$G:$G, K$4),COUNTIFS(Units!$E:$E, $B20, Units!$G:$G, K$4, Units!$I:$I, $C20)
)
</f>
        <v>0</v>
      </c>
      <c r="L20" s="87">
        <f>IF($C20="All",COUNTIFS(Units!$E:$E, $B20, Units!$G:$G, L$4),COUNTIFS(Units!$E:$E, $B20, Units!$G:$G, L$4, Units!$I:$I, $C20)
)
</f>
        <v>1</v>
      </c>
      <c r="M20" s="87"/>
      <c r="N20" s="87">
        <f>IF($C20="All",COUNTIFS(Units!$E:$E, $B20, Units!$G:$G, N$4),COUNTIFS(Units!$E:$E, $B20, Units!$G:$G, N$4, Units!$I:$I, $C20)
)
</f>
        <v>0</v>
      </c>
      <c r="O20" s="87">
        <f>IF($C20="All",COUNTIFS(Units!$E:$E, $B20, Units!$G:$G, O$4),COUNTIFS(Units!$E:$E, $B20, Units!$G:$G, O$4, Units!$I:$I, $C20)
)
</f>
        <v>1</v>
      </c>
      <c r="P20" s="87">
        <f>IF($C20="All",COUNTIFS(Units!$E:$E, $B20, Units!$G:$G, P$4),COUNTIFS(Units!$E:$E, $B20, Units!$G:$G, P$4, Units!$I:$I, $C20)
)
</f>
        <v>0</v>
      </c>
      <c r="Q20" s="87">
        <f>IF($C20="All",COUNTIFS(Units!$E:$E, $B20, Units!$G:$G, Q$4),COUNTIFS(Units!$E:$E, $B20, Units!$G:$G, Q$4, Units!$I:$I, $C20)
)
</f>
        <v>3</v>
      </c>
      <c r="R20" s="87">
        <f>IF($C20="All",COUNTIFS(Units!$E:$E, $B20, Units!$G:$G, R$4),COUNTIFS(Units!$E:$E, $B20, Units!$G:$G, R$4, Units!$I:$I, $C20)
)
</f>
        <v>0</v>
      </c>
      <c r="S20" s="87">
        <f>IF($C20="All",COUNTIFS(Units!$E:$E, $B20, Units!$G:$G, S$4),COUNTIFS(Units!$E:$E, $B20, Units!$G:$G, S$4, Units!$I:$I, $C20)
)
</f>
        <v>0</v>
      </c>
      <c r="T20" s="87">
        <f>IF($C20="All",COUNTIFS(Units!$E:$E, $B20, Units!$G:$G, T$4),COUNTIFS(Units!$E:$E, $B20, Units!$G:$G, T$4, Units!$I:$I, $C20)
)
</f>
        <v>3</v>
      </c>
      <c r="U20" s="87">
        <f>IF($C20="All",COUNTIFS(Units!$E:$E, $B20, Units!$G:$G, U$4),COUNTIFS(Units!$E:$E, $B20, Units!$G:$G, U$4, Units!$I:$I, $C20)
)
</f>
        <v>2</v>
      </c>
      <c r="V20" s="87">
        <f>IF($C20="All",COUNTIFS(Units!$E:$E, $B20, Units!$G:$G, V$4),COUNTIFS(Units!$E:$E, $B20, Units!$G:$G, V$4, Units!$I:$I, $C20)
)
</f>
        <v>1</v>
      </c>
      <c r="W20" s="87">
        <f>IF($C20="All",COUNTIFS(Units!$E:$E, $B20, Units!$G:$G, W$4),COUNTIFS(Units!$E:$E, $B20, Units!$G:$G, W$4, Units!$I:$I, $C20)
)
</f>
        <v>0</v>
      </c>
      <c r="X20" s="87">
        <f>IF($C20="All",COUNTIFS(Units!$E:$E, $B20, Units!$G:$G, X$4),COUNTIFS(Units!$E:$E, $B20, Units!$G:$G, X$4, Units!$I:$I, $C20)
)
</f>
        <v>0</v>
      </c>
      <c r="Y20" s="87">
        <f>IF($C20="All",COUNTIFS(Units!$E:$E, $B20, Units!$G:$G, Y$4),COUNTIFS(Units!$E:$E, $B20, Units!$G:$G, Y$4, Units!$I:$I, $C20)
)
</f>
        <v>1</v>
      </c>
      <c r="Z20" s="87">
        <f>IF($C20="All",COUNTIFS(Units!$E:$E, $B20, Units!$G:$G, Z$4),COUNTIFS(Units!$E:$E, $B20, Units!$G:$G, Z$4, Units!$I:$I, $C20)
)
</f>
        <v>0</v>
      </c>
      <c r="AA20" s="87">
        <f>IF($C20="All",COUNTIFS(Units!$E:$E, $B20, Units!$G:$G, AA$4),COUNTIFS(Units!$E:$E, $B20, Units!$G:$G, AA$4, Units!$I:$I, $C20)
)
</f>
        <v>0</v>
      </c>
      <c r="AB20" s="87">
        <f>IF($C20="All",COUNTIFS(Units!$E:$E, $B20, Units!$G:$G, AB$4),COUNTIFS(Units!$E:$E, $B20, Units!$G:$G, AB$4, Units!$I:$I, $C20)
)
</f>
        <v>1</v>
      </c>
      <c r="AC20" s="87">
        <f>IF($C20="All",COUNTIFS(Units!$E:$E, $B20, Units!$G:$G, AC$4),COUNTIFS(Units!$E:$E, $B20, Units!$G:$G, AC$4, Units!$I:$I, $C20)
)
</f>
        <v>0</v>
      </c>
      <c r="AD20" s="87">
        <f t="shared" si="2"/>
        <v>5</v>
      </c>
      <c r="AE20" s="87">
        <f t="shared" si="3"/>
        <v>2</v>
      </c>
      <c r="AF20" s="87">
        <f t="shared" si="4"/>
        <v>4</v>
      </c>
      <c r="AG20" s="91">
        <f t="shared" si="5"/>
        <v>3</v>
      </c>
      <c r="AH20" s="85">
        <f>IF($C20=1,COUNTIFS(Units!$E:$E, $B20, Units!$J:$J, 1, Units!$I:$I, 1),0)
</f>
        <v>0</v>
      </c>
      <c r="AI20" s="85">
        <f>IF($C20=1,COUNTIFS(Units!$E:$E, $B20, Units!$J:$J, 2, Units!$I:$I, 1),0)
</f>
        <v>0</v>
      </c>
      <c r="AJ20" s="94">
        <f>IF($C20=1,COUNTIFS(Units!$E:$E, $B20, Units!$J:$J, 3, Units!$I:$I, 1),0)
</f>
        <v>0</v>
      </c>
      <c r="AK20" s="85">
        <f>IF($C20="All",COUNTIFS(Units!$E:$E, $B20, Units!$R:$R, "-"),COUNTIFS(Units!$E:$E, $B20, Units!$R:$R, "-", Units!$I:$I, $C20)
)
</f>
        <v>0</v>
      </c>
      <c r="AL20" s="85">
        <f>IF($C20="All",COUNTIFS(Units!$E:$E, $B20, Units!$R:$R, 6),COUNTIFS(Units!$E:$E, $B20, Units!$R:$R, 6, Units!$I:$I, $C20)
)
</f>
        <v>6</v>
      </c>
      <c r="AM20" s="85">
        <f>IF($C20="All",COUNTIFS(Units!$E:$E, $B20, Units!$R:$R, 5),COUNTIFS(Units!$E:$E, $B20, Units!$R:$R, 5, Units!$I:$I, $C20)
)
</f>
        <v>12</v>
      </c>
      <c r="AN20" s="85">
        <f>IF($C20="All",COUNTIFS(Units!$E:$E, $B20, Units!$R:$R, 4),COUNTIFS(Units!$E:$E, $B20, Units!$R:$R, 4, Units!$I:$I, $C20)
)
</f>
        <v>2</v>
      </c>
      <c r="AO20" s="94">
        <f>IF($C20="All",COUNTIFS(Units!$E:$E, $B20, Units!$R:$R, 3),COUNTIFS(Units!$E:$E, $B20, Units!$R:$R, 3, Units!$I:$I, $C20)
)
</f>
        <v>0</v>
      </c>
      <c r="AP20" s="85">
        <f>IF($C20="All",COUNTIFS(Units!$E:$E, $B20, Units!$M:$M, "&lt;&gt;1"),COUNTIFS(Units!$E:$E, $B20, Units!$M:$M, "&lt;&gt;1", Units!$I:$I, $C20)
)
</f>
        <v>5</v>
      </c>
      <c r="AQ20" s="94">
        <f>IF($C20="All",COUNTIFS(Units!$E:$E, $B20, Units!$S:$S, "*Maneouverable*"),COUNTIFS(Units!$E:$E, $B20, Units!$S:$S, "*Maneouverable*", Units!$I:$I, $C20)
)
</f>
        <v>0</v>
      </c>
      <c r="AR20" s="96">
        <f>IF($C20="All", 
    AVERAGEIFS(Units!$Q:$Q, Units!$E:$E, $B20, Units!$AY:$AY, false), 
    AVERAGEIFS(Units!$Q:$Q, Units!$E:$E, $B20, Units!$I:$I, $C20, Units!$AY:$AY, false)
)
</f>
        <v>1.928571429</v>
      </c>
      <c r="AS20" s="85">
        <f>IF($C20="All",COUNTIFS(Units!$E:$E, $B20, Units!$Q:$Q, "&lt;&gt;1"),COUNTIFS(Units!$E:$E, $B20, Units!$Q:$Q, "&lt;&gt;1", Units!$I:$I, $C20)
)</f>
        <v>10</v>
      </c>
      <c r="AT20" s="85">
        <f>AS20 - IF($C20="All",COUNTIFS(Units!$E:$E, $B20, Units!$Q:$Q, 2),COUNTIFS(Units!$E:$E, $B20, Units!$Q:$Q, 2, Units!$I:$I, $C20)
)</f>
        <v>8</v>
      </c>
      <c r="AU20" s="96">
        <f>IF($C20="All", 
    AVERAGEIFS(Units!$AQ:$AQ, Units!$E:$E, $B20, Units!$AY:$AY, false), 
    AVERAGEIFS(Units!$AQ:$AQ, Units!$E:$E, $B20, Units!$I:$I, $C20, Units!$AY:$AY, false)
)
</f>
        <v>5.928571429</v>
      </c>
      <c r="AV20" s="96">
        <f>IF($C20="All", 
    AVERAGEIFS(Units!$AR:$AR, Units!$E:$E, $B20, Units!$AY:$AY, false), 
    AVERAGEIFS(Units!$AR:$AR, Units!$E:$E, $B20, Units!$I:$I, $C20, Units!$AY:$AY, false)
)</f>
        <v>8.928571429</v>
      </c>
      <c r="AW20" s="96">
        <f>IF($C20="All", 
    AVERAGEIFS(Units!$AW:$AW, Units!$E:$E, $B20, Units!$AY:$AY, false), 
    AVERAGEIFS(Units!$AW:$AW, Units!$E:$E, $B20, Units!$I:$I, $C20, Units!$AY:$AY, false)
)
</f>
        <v>2.678571429</v>
      </c>
    </row>
    <row r="21" ht="22.5" hidden="1" customHeight="1">
      <c r="A21" s="82" t="str">
        <f t="shared" si="1"/>
        <v>05</v>
      </c>
      <c r="B21" s="85" t="str">
        <f>VLOOKUP(A21, Factions!A:B, 2, FALSE)</f>
        <v>Redspines</v>
      </c>
      <c r="C21" s="83">
        <v>1.0</v>
      </c>
      <c r="D21" s="85">
        <f>IF($C21="All",COUNTIFS(Units!$E:$E, $B21),COUNTIFS(Units!$E:$E, $B21, Units!$I:$I, $C21)
)
</f>
        <v>6</v>
      </c>
      <c r="E21" s="87">
        <f>IF($C21="All",COUNTIFS(Units!$E:$E, $B21, Units!$G:$G, E$4),COUNTIFS(Units!$E:$E, $B21, Units!$G:$G, E$4, Units!$I:$I, $C21)
)
</f>
        <v>1</v>
      </c>
      <c r="F21" s="87">
        <f>IF($C21="All",COUNTIFS(Units!$E:$E, $B21, Units!$G:$G, F$4),COUNTIFS(Units!$E:$E, $B21, Units!$G:$G, F$4, Units!$I:$I, $C21)
)
</f>
        <v>1</v>
      </c>
      <c r="G21" s="87">
        <f>IF($C21="All",COUNTIFS(Units!$E:$E, $B21, Units!$G:$G, G$4),COUNTIFS(Units!$E:$E, $B21, Units!$G:$G, G$4, Units!$I:$I, $C21)
)
</f>
        <v>0</v>
      </c>
      <c r="H21" s="87">
        <f>IF($C21="All",COUNTIFS(Units!$E:$E, $B21, Units!$G:$G, H$4),COUNTIFS(Units!$E:$E, $B21, Units!$G:$G, H$4, Units!$I:$I, $C21)
)
</f>
        <v>3</v>
      </c>
      <c r="I21" s="87">
        <f>IF($C21="All",COUNTIFS(Units!$E:$E, $B21, Units!$G:$G, I$4),COUNTIFS(Units!$E:$E, $B21, Units!$G:$G, I$4, Units!$I:$I, $C21)
)
</f>
        <v>0</v>
      </c>
      <c r="J21" s="87">
        <f>IF($C21="All",COUNTIFS(Units!$E:$E, $B21, Units!$G:$G, J$4),COUNTIFS(Units!$E:$E, $B21, Units!$G:$G, J$4, Units!$I:$I, $C21)
)
</f>
        <v>0</v>
      </c>
      <c r="K21" s="87">
        <f>IF($C21="All",COUNTIFS(Units!$E:$E, $B21, Units!$G:$G, K$4),COUNTIFS(Units!$E:$E, $B21, Units!$G:$G, K$4, Units!$I:$I, $C21)
)
</f>
        <v>1</v>
      </c>
      <c r="L21" s="87">
        <f>IF($C21="All",COUNTIFS(Units!$E:$E, $B21, Units!$G:$G, L$4),COUNTIFS(Units!$E:$E, $B21, Units!$G:$G, L$4, Units!$I:$I, $C21)
)
</f>
        <v>0</v>
      </c>
      <c r="M21" s="87"/>
      <c r="N21" s="87">
        <f>IF($C21="All",COUNTIFS(Units!$E:$E, $B21, Units!$G:$G, N$4),COUNTIFS(Units!$E:$E, $B21, Units!$G:$G, N$4, Units!$I:$I, $C21)
)
</f>
        <v>0</v>
      </c>
      <c r="O21" s="87">
        <f>IF($C21="All",COUNTIFS(Units!$E:$E, $B21, Units!$G:$G, O$4),COUNTIFS(Units!$E:$E, $B21, Units!$G:$G, O$4, Units!$I:$I, $C21)
)
</f>
        <v>0</v>
      </c>
      <c r="P21" s="87">
        <f>IF($C21="All",COUNTIFS(Units!$E:$E, $B21, Units!$G:$G, P$4),COUNTIFS(Units!$E:$E, $B21, Units!$G:$G, P$4, Units!$I:$I, $C21)
)
</f>
        <v>0</v>
      </c>
      <c r="Q21" s="87">
        <f>IF($C21="All",COUNTIFS(Units!$E:$E, $B21, Units!$G:$G, Q$4),COUNTIFS(Units!$E:$E, $B21, Units!$G:$G, Q$4, Units!$I:$I, $C21)
)
</f>
        <v>0</v>
      </c>
      <c r="R21" s="87">
        <f>IF($C21="All",COUNTIFS(Units!$E:$E, $B21, Units!$G:$G, R$4),COUNTIFS(Units!$E:$E, $B21, Units!$G:$G, R$4, Units!$I:$I, $C21)
)
</f>
        <v>0</v>
      </c>
      <c r="S21" s="87">
        <f>IF($C21="All",COUNTIFS(Units!$E:$E, $B21, Units!$G:$G, S$4),COUNTIFS(Units!$E:$E, $B21, Units!$G:$G, S$4, Units!$I:$I, $C21)
)
</f>
        <v>0</v>
      </c>
      <c r="T21" s="87">
        <f>IF($C21="All",COUNTIFS(Units!$E:$E, $B21, Units!$G:$G, T$4),COUNTIFS(Units!$E:$E, $B21, Units!$G:$G, T$4, Units!$I:$I, $C21)
)
</f>
        <v>0</v>
      </c>
      <c r="U21" s="87">
        <f>IF($C21="All",COUNTIFS(Units!$E:$E, $B21, Units!$G:$G, U$4),COUNTIFS(Units!$E:$E, $B21, Units!$G:$G, U$4, Units!$I:$I, $C21)
)
</f>
        <v>0</v>
      </c>
      <c r="V21" s="87">
        <f>IF($C21="All",COUNTIFS(Units!$E:$E, $B21, Units!$G:$G, V$4),COUNTIFS(Units!$E:$E, $B21, Units!$G:$G, V$4, Units!$I:$I, $C21)
)
</f>
        <v>0</v>
      </c>
      <c r="W21" s="87">
        <f>IF($C21="All",COUNTIFS(Units!$E:$E, $B21, Units!$G:$G, W$4),COUNTIFS(Units!$E:$E, $B21, Units!$G:$G, W$4, Units!$I:$I, $C21)
)
</f>
        <v>0</v>
      </c>
      <c r="X21" s="87">
        <f>IF($C21="All",COUNTIFS(Units!$E:$E, $B21, Units!$G:$G, X$4),COUNTIFS(Units!$E:$E, $B21, Units!$G:$G, X$4, Units!$I:$I, $C21)
)
</f>
        <v>0</v>
      </c>
      <c r="Y21" s="87">
        <f>IF($C21="All",COUNTIFS(Units!$E:$E, $B21, Units!$G:$G, Y$4),COUNTIFS(Units!$E:$E, $B21, Units!$G:$G, Y$4, Units!$I:$I, $C21)
)
</f>
        <v>0</v>
      </c>
      <c r="Z21" s="87">
        <f>IF($C21="All",COUNTIFS(Units!$E:$E, $B21, Units!$G:$G, Z$4),COUNTIFS(Units!$E:$E, $B21, Units!$G:$G, Z$4, Units!$I:$I, $C21)
)
</f>
        <v>0</v>
      </c>
      <c r="AA21" s="87">
        <f>IF($C21="All",COUNTIFS(Units!$E:$E, $B21, Units!$G:$G, AA$4),COUNTIFS(Units!$E:$E, $B21, Units!$G:$G, AA$4, Units!$I:$I, $C21)
)
</f>
        <v>0</v>
      </c>
      <c r="AB21" s="87">
        <f>IF($C21="All",COUNTIFS(Units!$E:$E, $B21, Units!$G:$G, AB$4),COUNTIFS(Units!$E:$E, $B21, Units!$G:$G, AB$4, Units!$I:$I, $C21)
)
</f>
        <v>0</v>
      </c>
      <c r="AC21" s="87">
        <f>IF($C21="All",COUNTIFS(Units!$E:$E, $B21, Units!$G:$G, AC$4),COUNTIFS(Units!$E:$E, $B21, Units!$G:$G, AC$4, Units!$I:$I, $C21)
)
</f>
        <v>0</v>
      </c>
      <c r="AD21" s="87">
        <f t="shared" si="2"/>
        <v>5</v>
      </c>
      <c r="AE21" s="87">
        <f t="shared" si="3"/>
        <v>0</v>
      </c>
      <c r="AF21" s="87">
        <f t="shared" si="4"/>
        <v>1</v>
      </c>
      <c r="AG21" s="91">
        <f t="shared" si="5"/>
        <v>0</v>
      </c>
      <c r="AH21" s="85">
        <f>IF($C21=1,COUNTIFS(Units!$E:$E, $B21, Units!$J:$J, 1, Units!$I:$I, 1),0)
</f>
        <v>0</v>
      </c>
      <c r="AI21" s="85">
        <f>IF($C21=1,COUNTIFS(Units!$E:$E, $B21, Units!$J:$J, 2, Units!$I:$I, 1),0)
</f>
        <v>3</v>
      </c>
      <c r="AJ21" s="94">
        <f>IF($C21=1,COUNTIFS(Units!$E:$E, $B21, Units!$J:$J, 3, Units!$I:$I, 1),0)
</f>
        <v>3</v>
      </c>
      <c r="AK21" s="85">
        <f>IF($C21="All",COUNTIFS(Units!$E:$E, $B21, Units!$R:$R, "-"),COUNTIFS(Units!$E:$E, $B21, Units!$R:$R, "-", Units!$I:$I, $C21)
)
</f>
        <v>0</v>
      </c>
      <c r="AL21" s="85">
        <f>IF($C21="All",COUNTIFS(Units!$E:$E, $B21, Units!$R:$R, 6),COUNTIFS(Units!$E:$E, $B21, Units!$R:$R, 6, Units!$I:$I, $C21)
)
</f>
        <v>0</v>
      </c>
      <c r="AM21" s="85">
        <f>IF($C21="All",COUNTIFS(Units!$E:$E, $B21, Units!$R:$R, 5),COUNTIFS(Units!$E:$E, $B21, Units!$R:$R, 5, Units!$I:$I, $C21)
)
</f>
        <v>6</v>
      </c>
      <c r="AN21" s="85">
        <f>IF($C21="All",COUNTIFS(Units!$E:$E, $B21, Units!$R:$R, 4),COUNTIFS(Units!$E:$E, $B21, Units!$R:$R, 4, Units!$I:$I, $C21)
)
</f>
        <v>0</v>
      </c>
      <c r="AO21" s="94">
        <f>IF($C21="All",COUNTIFS(Units!$E:$E, $B21, Units!$R:$R, 3),COUNTIFS(Units!$E:$E, $B21, Units!$R:$R, 3, Units!$I:$I, $C21)
)
</f>
        <v>0</v>
      </c>
      <c r="AP21" s="85">
        <f>IF($C21="All",COUNTIFS(Units!$E:$E, $B21, Units!$M:$M, "&lt;&gt;1"),COUNTIFS(Units!$E:$E, $B21, Units!$M:$M, "&lt;&gt;1", Units!$I:$I, $C21)
)
</f>
        <v>1</v>
      </c>
      <c r="AQ21" s="94">
        <f>IF($C21="All",COUNTIFS(Units!$E:$E, $B21, Units!$S:$S, "*Maneouverable*"),COUNTIFS(Units!$E:$E, $B21, Units!$S:$S, "*Maneouverable*", Units!$I:$I, $C21)
)
</f>
        <v>0</v>
      </c>
      <c r="AR21" s="96">
        <f>IF($C21="All", 
    AVERAGEIFS(Units!$Q:$Q, Units!$E:$E, $B21, Units!$AY:$AY, false), 
    AVERAGEIFS(Units!$Q:$Q, Units!$E:$E, $B21, Units!$I:$I, $C21, Units!$AY:$AY, false)
)
</f>
        <v>1</v>
      </c>
      <c r="AS21" s="85">
        <f>IF($C21="All",COUNTIFS(Units!$E:$E, $B21, Units!$Q:$Q, "&lt;&gt;1"),COUNTIFS(Units!$E:$E, $B21, Units!$Q:$Q, "&lt;&gt;1", Units!$I:$I, $C21)
)</f>
        <v>0</v>
      </c>
      <c r="AT21" s="85">
        <f>AS21 - IF($C21="All",COUNTIFS(Units!$E:$E, $B21, Units!$Q:$Q, 2),COUNTIFS(Units!$E:$E, $B21, Units!$Q:$Q, 2, Units!$I:$I, $C21)
)</f>
        <v>0</v>
      </c>
      <c r="AU21" s="96">
        <f>IF($C21="All", 
    AVERAGEIFS(Units!$AQ:$AQ, Units!$E:$E, $B21, Units!$AY:$AY, false), 
    AVERAGEIFS(Units!$AQ:$AQ, Units!$E:$E, $B21, Units!$I:$I, $C21, Units!$AY:$AY, false)
)
</f>
        <v>6</v>
      </c>
      <c r="AV21" s="96">
        <f>IF($C21="All", 
    AVERAGEIFS(Units!$AR:$AR, Units!$E:$E, $B21, Units!$AY:$AY, false), 
    AVERAGEIFS(Units!$AR:$AR, Units!$E:$E, $B21, Units!$I:$I, $C21, Units!$AY:$AY, false)
)</f>
        <v>6</v>
      </c>
      <c r="AW21" s="96">
        <f>IF($C21="All", 
    AVERAGEIFS(Units!$AW:$AW, Units!$E:$E, $B21, Units!$AY:$AY, false), 
    AVERAGEIFS(Units!$AW:$AW, Units!$E:$E, $B21, Units!$I:$I, $C21, Units!$AY:$AY, false)
)
</f>
        <v>3.333333333</v>
      </c>
    </row>
    <row r="22" ht="22.5" hidden="1" customHeight="1">
      <c r="A22" s="82" t="str">
        <f t="shared" si="1"/>
        <v>05</v>
      </c>
      <c r="B22" s="85" t="str">
        <f>VLOOKUP(A22, Factions!A:B, 2, FALSE)</f>
        <v>Redspines</v>
      </c>
      <c r="C22" s="83">
        <v>2.0</v>
      </c>
      <c r="D22" s="85">
        <f>IF($C22="All",COUNTIFS(Units!$E:$E, $B22),COUNTIFS(Units!$E:$E, $B22, Units!$I:$I, $C22)
)
</f>
        <v>9</v>
      </c>
      <c r="E22" s="87">
        <f>IF($C22="All",COUNTIFS(Units!$E:$E, $B22, Units!$G:$G, E$4),COUNTIFS(Units!$E:$E, $B22, Units!$G:$G, E$4, Units!$I:$I, $C22)
)
</f>
        <v>0</v>
      </c>
      <c r="F22" s="87">
        <f>IF($C22="All",COUNTIFS(Units!$E:$E, $B22, Units!$G:$G, F$4),COUNTIFS(Units!$E:$E, $B22, Units!$G:$G, F$4, Units!$I:$I, $C22)
)
</f>
        <v>0</v>
      </c>
      <c r="G22" s="87">
        <f>IF($C22="All",COUNTIFS(Units!$E:$E, $B22, Units!$G:$G, G$4),COUNTIFS(Units!$E:$E, $B22, Units!$G:$G, G$4, Units!$I:$I, $C22)
)
</f>
        <v>0</v>
      </c>
      <c r="H22" s="87">
        <f>IF($C22="All",COUNTIFS(Units!$E:$E, $B22, Units!$G:$G, H$4),COUNTIFS(Units!$E:$E, $B22, Units!$G:$G, H$4, Units!$I:$I, $C22)
)
</f>
        <v>0</v>
      </c>
      <c r="I22" s="87">
        <f>IF($C22="All",COUNTIFS(Units!$E:$E, $B22, Units!$G:$G, I$4),COUNTIFS(Units!$E:$E, $B22, Units!$G:$G, I$4, Units!$I:$I, $C22)
)
</f>
        <v>1</v>
      </c>
      <c r="J22" s="87">
        <f>IF($C22="All",COUNTIFS(Units!$E:$E, $B22, Units!$G:$G, J$4),COUNTIFS(Units!$E:$E, $B22, Units!$G:$G, J$4, Units!$I:$I, $C22)
)
</f>
        <v>0</v>
      </c>
      <c r="K22" s="87">
        <f>IF($C22="All",COUNTIFS(Units!$E:$E, $B22, Units!$G:$G, K$4),COUNTIFS(Units!$E:$E, $B22, Units!$G:$G, K$4, Units!$I:$I, $C22)
)
</f>
        <v>1</v>
      </c>
      <c r="L22" s="87">
        <f>IF($C22="All",COUNTIFS(Units!$E:$E, $B22, Units!$G:$G, L$4),COUNTIFS(Units!$E:$E, $B22, Units!$G:$G, L$4, Units!$I:$I, $C22)
)
</f>
        <v>2</v>
      </c>
      <c r="M22" s="87"/>
      <c r="N22" s="87">
        <f>IF($C22="All",COUNTIFS(Units!$E:$E, $B22, Units!$G:$G, N$4),COUNTIFS(Units!$E:$E, $B22, Units!$G:$G, N$4, Units!$I:$I, $C22)
)
</f>
        <v>0</v>
      </c>
      <c r="O22" s="87">
        <f>IF($C22="All",COUNTIFS(Units!$E:$E, $B22, Units!$G:$G, O$4),COUNTIFS(Units!$E:$E, $B22, Units!$G:$G, O$4, Units!$I:$I, $C22)
)
</f>
        <v>0</v>
      </c>
      <c r="P22" s="87">
        <f>IF($C22="All",COUNTIFS(Units!$E:$E, $B22, Units!$G:$G, P$4),COUNTIFS(Units!$E:$E, $B22, Units!$G:$G, P$4, Units!$I:$I, $C22)
)
</f>
        <v>0</v>
      </c>
      <c r="Q22" s="87">
        <f>IF($C22="All",COUNTIFS(Units!$E:$E, $B22, Units!$G:$G, Q$4),COUNTIFS(Units!$E:$E, $B22, Units!$G:$G, Q$4, Units!$I:$I, $C22)
)
</f>
        <v>0</v>
      </c>
      <c r="R22" s="87">
        <f>IF($C22="All",COUNTIFS(Units!$E:$E, $B22, Units!$G:$G, R$4),COUNTIFS(Units!$E:$E, $B22, Units!$G:$G, R$4, Units!$I:$I, $C22)
)
</f>
        <v>1</v>
      </c>
      <c r="S22" s="87">
        <f>IF($C22="All",COUNTIFS(Units!$E:$E, $B22, Units!$G:$G, S$4),COUNTIFS(Units!$E:$E, $B22, Units!$G:$G, S$4, Units!$I:$I, $C22)
)
</f>
        <v>2</v>
      </c>
      <c r="T22" s="87">
        <f>IF($C22="All",COUNTIFS(Units!$E:$E, $B22, Units!$G:$G, T$4),COUNTIFS(Units!$E:$E, $B22, Units!$G:$G, T$4, Units!$I:$I, $C22)
)
</f>
        <v>1</v>
      </c>
      <c r="U22" s="87">
        <f>IF($C22="All",COUNTIFS(Units!$E:$E, $B22, Units!$G:$G, U$4),COUNTIFS(Units!$E:$E, $B22, Units!$G:$G, U$4, Units!$I:$I, $C22)
)
</f>
        <v>0</v>
      </c>
      <c r="V22" s="87">
        <f>IF($C22="All",COUNTIFS(Units!$E:$E, $B22, Units!$G:$G, V$4),COUNTIFS(Units!$E:$E, $B22, Units!$G:$G, V$4, Units!$I:$I, $C22)
)
</f>
        <v>0</v>
      </c>
      <c r="W22" s="87">
        <f>IF($C22="All",COUNTIFS(Units!$E:$E, $B22, Units!$G:$G, W$4),COUNTIFS(Units!$E:$E, $B22, Units!$G:$G, W$4, Units!$I:$I, $C22)
)
</f>
        <v>0</v>
      </c>
      <c r="X22" s="87">
        <f>IF($C22="All",COUNTIFS(Units!$E:$E, $B22, Units!$G:$G, X$4),COUNTIFS(Units!$E:$E, $B22, Units!$G:$G, X$4, Units!$I:$I, $C22)
)
</f>
        <v>0</v>
      </c>
      <c r="Y22" s="87">
        <f>IF($C22="All",COUNTIFS(Units!$E:$E, $B22, Units!$G:$G, Y$4),COUNTIFS(Units!$E:$E, $B22, Units!$G:$G, Y$4, Units!$I:$I, $C22)
)
</f>
        <v>0</v>
      </c>
      <c r="Z22" s="87">
        <f>IF($C22="All",COUNTIFS(Units!$E:$E, $B22, Units!$G:$G, Z$4),COUNTIFS(Units!$E:$E, $B22, Units!$G:$G, Z$4, Units!$I:$I, $C22)
)
</f>
        <v>0</v>
      </c>
      <c r="AA22" s="87">
        <f>IF($C22="All",COUNTIFS(Units!$E:$E, $B22, Units!$G:$G, AA$4),COUNTIFS(Units!$E:$E, $B22, Units!$G:$G, AA$4, Units!$I:$I, $C22)
)
</f>
        <v>0</v>
      </c>
      <c r="AB22" s="87">
        <f>IF($C22="All",COUNTIFS(Units!$E:$E, $B22, Units!$G:$G, AB$4),COUNTIFS(Units!$E:$E, $B22, Units!$G:$G, AB$4, Units!$I:$I, $C22)
)
</f>
        <v>0</v>
      </c>
      <c r="AC22" s="87">
        <f>IF($C22="All",COUNTIFS(Units!$E:$E, $B22, Units!$G:$G, AC$4),COUNTIFS(Units!$E:$E, $B22, Units!$G:$G, AC$4, Units!$I:$I, $C22)
)
</f>
        <v>0</v>
      </c>
      <c r="AD22" s="87">
        <f t="shared" si="2"/>
        <v>2</v>
      </c>
      <c r="AE22" s="87">
        <f t="shared" si="3"/>
        <v>2</v>
      </c>
      <c r="AF22" s="87">
        <f t="shared" si="4"/>
        <v>1</v>
      </c>
      <c r="AG22" s="91">
        <f t="shared" si="5"/>
        <v>3</v>
      </c>
      <c r="AH22" s="85">
        <f>IF($C22=1,COUNTIFS(Units!$E:$E, $B22, Units!$J:$J, 1, Units!$I:$I, 1),0)
</f>
        <v>0</v>
      </c>
      <c r="AI22" s="85">
        <f>IF($C22=1,COUNTIFS(Units!$E:$E, $B22, Units!$J:$J, 2, Units!$I:$I, 1),0)
</f>
        <v>0</v>
      </c>
      <c r="AJ22" s="94">
        <f>IF($C22=1,COUNTIFS(Units!$E:$E, $B22, Units!$J:$J, 3, Units!$I:$I, 1),0)
</f>
        <v>0</v>
      </c>
      <c r="AK22" s="85">
        <f>IF($C22="All",COUNTIFS(Units!$E:$E, $B22, Units!$R:$R, "-"),COUNTIFS(Units!$E:$E, $B22, Units!$R:$R, "-", Units!$I:$I, $C22)
)
</f>
        <v>0</v>
      </c>
      <c r="AL22" s="85">
        <f>IF($C22="All",COUNTIFS(Units!$E:$E, $B22, Units!$R:$R, 6),COUNTIFS(Units!$E:$E, $B22, Units!$R:$R, 6, Units!$I:$I, $C22)
)
</f>
        <v>2</v>
      </c>
      <c r="AM22" s="85">
        <f>IF($C22="All",COUNTIFS(Units!$E:$E, $B22, Units!$R:$R, 5),COUNTIFS(Units!$E:$E, $B22, Units!$R:$R, 5, Units!$I:$I, $C22)
)
</f>
        <v>5</v>
      </c>
      <c r="AN22" s="85">
        <f>IF($C22="All",COUNTIFS(Units!$E:$E, $B22, Units!$R:$R, 4),COUNTIFS(Units!$E:$E, $B22, Units!$R:$R, 4, Units!$I:$I, $C22)
)
</f>
        <v>2</v>
      </c>
      <c r="AO22" s="94">
        <f>IF($C22="All",COUNTIFS(Units!$E:$E, $B22, Units!$R:$R, 3),COUNTIFS(Units!$E:$E, $B22, Units!$R:$R, 3, Units!$I:$I, $C22)
)
</f>
        <v>0</v>
      </c>
      <c r="AP22" s="85">
        <f>IF($C22="All",COUNTIFS(Units!$E:$E, $B22, Units!$M:$M, "&lt;&gt;1"),COUNTIFS(Units!$E:$E, $B22, Units!$M:$M, "&lt;&gt;1", Units!$I:$I, $C22)
)
</f>
        <v>3</v>
      </c>
      <c r="AQ22" s="94">
        <f>IF($C22="All",COUNTIFS(Units!$E:$E, $B22, Units!$S:$S, "*Maneouverable*"),COUNTIFS(Units!$E:$E, $B22, Units!$S:$S, "*Maneouverable*", Units!$I:$I, $C22)
)
</f>
        <v>0</v>
      </c>
      <c r="AR22" s="96">
        <f>IF($C22="All", 
    AVERAGEIFS(Units!$Q:$Q, Units!$E:$E, $B22, Units!$AY:$AY, false), 
    AVERAGEIFS(Units!$Q:$Q, Units!$E:$E, $B22, Units!$I:$I, $C22, Units!$AY:$AY, false)
)
</f>
        <v>2</v>
      </c>
      <c r="AS22" s="85">
        <f>IF($C22="All",COUNTIFS(Units!$E:$E, $B22, Units!$Q:$Q, "&lt;&gt;1"),COUNTIFS(Units!$E:$E, $B22, Units!$Q:$Q, "&lt;&gt;1", Units!$I:$I, $C22)
)</f>
        <v>9</v>
      </c>
      <c r="AT22" s="85">
        <f>AS22 - IF($C22="All",COUNTIFS(Units!$E:$E, $B22, Units!$Q:$Q, 2),COUNTIFS(Units!$E:$E, $B22, Units!$Q:$Q, 2, Units!$I:$I, $C22)
)</f>
        <v>1</v>
      </c>
      <c r="AU22" s="96">
        <f>IF($C22="All", 
    AVERAGEIFS(Units!$AQ:$AQ, Units!$E:$E, $B22, Units!$AY:$AY, false), 
    AVERAGEIFS(Units!$AQ:$AQ, Units!$E:$E, $B22, Units!$I:$I, $C22, Units!$AY:$AY, false)
)
</f>
        <v>8</v>
      </c>
      <c r="AV22" s="96">
        <f>IF($C22="All", 
    AVERAGEIFS(Units!$AR:$AR, Units!$E:$E, $B22, Units!$AY:$AY, false), 
    AVERAGEIFS(Units!$AR:$AR, Units!$E:$E, $B22, Units!$I:$I, $C22, Units!$AY:$AY, false)
)</f>
        <v>8.5</v>
      </c>
      <c r="AW22" s="96">
        <f>IF($C22="All", 
    AVERAGEIFS(Units!$AW:$AW, Units!$E:$E, $B22, Units!$AY:$AY, false), 
    AVERAGEIFS(Units!$AW:$AW, Units!$E:$E, $B22, Units!$I:$I, $C22, Units!$AY:$AY, false)
)
</f>
        <v>3.527777778</v>
      </c>
    </row>
    <row r="23" ht="22.5" hidden="1" customHeight="1">
      <c r="A23" s="82" t="str">
        <f t="shared" si="1"/>
        <v>05</v>
      </c>
      <c r="B23" s="85" t="str">
        <f>VLOOKUP(A23, Factions!A:B, 2, FALSE)</f>
        <v>Redspines</v>
      </c>
      <c r="C23" s="83">
        <v>3.0</v>
      </c>
      <c r="D23" s="85">
        <f>IF($C23="All",COUNTIFS(Units!$E:$E, $B23),COUNTIFS(Units!$E:$E, $B23, Units!$I:$I, $C23)
)
</f>
        <v>5</v>
      </c>
      <c r="E23" s="87">
        <f>IF($C23="All",COUNTIFS(Units!$E:$E, $B23, Units!$G:$G, E$4),COUNTIFS(Units!$E:$E, $B23, Units!$G:$G, E$4, Units!$I:$I, $C23)
)
</f>
        <v>0</v>
      </c>
      <c r="F23" s="87">
        <f>IF($C23="All",COUNTIFS(Units!$E:$E, $B23, Units!$G:$G, F$4),COUNTIFS(Units!$E:$E, $B23, Units!$G:$G, F$4, Units!$I:$I, $C23)
)
</f>
        <v>0</v>
      </c>
      <c r="G23" s="87">
        <f>IF($C23="All",COUNTIFS(Units!$E:$E, $B23, Units!$G:$G, G$4),COUNTIFS(Units!$E:$E, $B23, Units!$G:$G, G$4, Units!$I:$I, $C23)
)
</f>
        <v>0</v>
      </c>
      <c r="H23" s="87">
        <f>IF($C23="All",COUNTIFS(Units!$E:$E, $B23, Units!$G:$G, H$4),COUNTIFS(Units!$E:$E, $B23, Units!$G:$G, H$4, Units!$I:$I, $C23)
)
</f>
        <v>0</v>
      </c>
      <c r="I23" s="87">
        <f>IF($C23="All",COUNTIFS(Units!$E:$E, $B23, Units!$G:$G, I$4),COUNTIFS(Units!$E:$E, $B23, Units!$G:$G, I$4, Units!$I:$I, $C23)
)
</f>
        <v>0</v>
      </c>
      <c r="J23" s="87">
        <f>IF($C23="All",COUNTIFS(Units!$E:$E, $B23, Units!$G:$G, J$4),COUNTIFS(Units!$E:$E, $B23, Units!$G:$G, J$4, Units!$I:$I, $C23)
)
</f>
        <v>0</v>
      </c>
      <c r="K23" s="87">
        <f>IF($C23="All",COUNTIFS(Units!$E:$E, $B23, Units!$G:$G, K$4),COUNTIFS(Units!$E:$E, $B23, Units!$G:$G, K$4, Units!$I:$I, $C23)
)
</f>
        <v>0</v>
      </c>
      <c r="L23" s="87">
        <f>IF($C23="All",COUNTIFS(Units!$E:$E, $B23, Units!$G:$G, L$4),COUNTIFS(Units!$E:$E, $B23, Units!$G:$G, L$4, Units!$I:$I, $C23)
)
</f>
        <v>0</v>
      </c>
      <c r="M23" s="87"/>
      <c r="N23" s="87">
        <f>IF($C23="All",COUNTIFS(Units!$E:$E, $B23, Units!$G:$G, N$4),COUNTIFS(Units!$E:$E, $B23, Units!$G:$G, N$4, Units!$I:$I, $C23)
)
</f>
        <v>0</v>
      </c>
      <c r="O23" s="87">
        <f>IF($C23="All",COUNTIFS(Units!$E:$E, $B23, Units!$G:$G, O$4),COUNTIFS(Units!$E:$E, $B23, Units!$G:$G, O$4, Units!$I:$I, $C23)
)
</f>
        <v>0</v>
      </c>
      <c r="P23" s="87">
        <f>IF($C23="All",COUNTIFS(Units!$E:$E, $B23, Units!$G:$G, P$4),COUNTIFS(Units!$E:$E, $B23, Units!$G:$G, P$4, Units!$I:$I, $C23)
)
</f>
        <v>0</v>
      </c>
      <c r="Q23" s="87">
        <f>IF($C23="All",COUNTIFS(Units!$E:$E, $B23, Units!$G:$G, Q$4),COUNTIFS(Units!$E:$E, $B23, Units!$G:$G, Q$4, Units!$I:$I, $C23)
)
</f>
        <v>0</v>
      </c>
      <c r="R23" s="87">
        <f>IF($C23="All",COUNTIFS(Units!$E:$E, $B23, Units!$G:$G, R$4),COUNTIFS(Units!$E:$E, $B23, Units!$G:$G, R$4, Units!$I:$I, $C23)
)
</f>
        <v>0</v>
      </c>
      <c r="S23" s="87">
        <f>IF($C23="All",COUNTIFS(Units!$E:$E, $B23, Units!$G:$G, S$4),COUNTIFS(Units!$E:$E, $B23, Units!$G:$G, S$4, Units!$I:$I, $C23)
)
</f>
        <v>0</v>
      </c>
      <c r="T23" s="87">
        <f>IF($C23="All",COUNTIFS(Units!$E:$E, $B23, Units!$G:$G, T$4),COUNTIFS(Units!$E:$E, $B23, Units!$G:$G, T$4, Units!$I:$I, $C23)
)
</f>
        <v>0</v>
      </c>
      <c r="U23" s="87">
        <f>IF($C23="All",COUNTIFS(Units!$E:$E, $B23, Units!$G:$G, U$4),COUNTIFS(Units!$E:$E, $B23, Units!$G:$G, U$4, Units!$I:$I, $C23)
)
</f>
        <v>2</v>
      </c>
      <c r="V23" s="87">
        <f>IF($C23="All",COUNTIFS(Units!$E:$E, $B23, Units!$G:$G, V$4),COUNTIFS(Units!$E:$E, $B23, Units!$G:$G, V$4, Units!$I:$I, $C23)
)
</f>
        <v>0</v>
      </c>
      <c r="W23" s="87">
        <f>IF($C23="All",COUNTIFS(Units!$E:$E, $B23, Units!$G:$G, W$4),COUNTIFS(Units!$E:$E, $B23, Units!$G:$G, W$4, Units!$I:$I, $C23)
)
</f>
        <v>0</v>
      </c>
      <c r="X23" s="87">
        <f>IF($C23="All",COUNTIFS(Units!$E:$E, $B23, Units!$G:$G, X$4),COUNTIFS(Units!$E:$E, $B23, Units!$G:$G, X$4, Units!$I:$I, $C23)
)
</f>
        <v>1</v>
      </c>
      <c r="Y23" s="87">
        <f>IF($C23="All",COUNTIFS(Units!$E:$E, $B23, Units!$G:$G, Y$4),COUNTIFS(Units!$E:$E, $B23, Units!$G:$G, Y$4, Units!$I:$I, $C23)
)
</f>
        <v>1</v>
      </c>
      <c r="Z23" s="87">
        <f>IF($C23="All",COUNTIFS(Units!$E:$E, $B23, Units!$G:$G, Z$4),COUNTIFS(Units!$E:$E, $B23, Units!$G:$G, Z$4, Units!$I:$I, $C23)
)
</f>
        <v>1</v>
      </c>
      <c r="AA23" s="87">
        <f>IF($C23="All",COUNTIFS(Units!$E:$E, $B23, Units!$G:$G, AA$4),COUNTIFS(Units!$E:$E, $B23, Units!$G:$G, AA$4, Units!$I:$I, $C23)
)
</f>
        <v>0</v>
      </c>
      <c r="AB23" s="87">
        <f>IF($C23="All",COUNTIFS(Units!$E:$E, $B23, Units!$G:$G, AB$4),COUNTIFS(Units!$E:$E, $B23, Units!$G:$G, AB$4, Units!$I:$I, $C23)
)
</f>
        <v>0</v>
      </c>
      <c r="AC23" s="87">
        <f>IF($C23="All",COUNTIFS(Units!$E:$E, $B23, Units!$G:$G, AC$4),COUNTIFS(Units!$E:$E, $B23, Units!$G:$G, AC$4, Units!$I:$I, $C23)
)
</f>
        <v>0</v>
      </c>
      <c r="AD23" s="87">
        <f t="shared" si="2"/>
        <v>0</v>
      </c>
      <c r="AE23" s="87">
        <f t="shared" si="3"/>
        <v>0</v>
      </c>
      <c r="AF23" s="87">
        <f t="shared" si="4"/>
        <v>0</v>
      </c>
      <c r="AG23" s="91">
        <f t="shared" si="5"/>
        <v>0</v>
      </c>
      <c r="AH23" s="85">
        <f>IF($C23=1,COUNTIFS(Units!$E:$E, $B23, Units!$J:$J, 1, Units!$I:$I, 1),0)
</f>
        <v>0</v>
      </c>
      <c r="AI23" s="85">
        <f>IF($C23=1,COUNTIFS(Units!$E:$E, $B23, Units!$J:$J, 2, Units!$I:$I, 1),0)
</f>
        <v>0</v>
      </c>
      <c r="AJ23" s="94">
        <f>IF($C23=1,COUNTIFS(Units!$E:$E, $B23, Units!$J:$J, 3, Units!$I:$I, 1),0)
</f>
        <v>0</v>
      </c>
      <c r="AK23" s="85">
        <f>IF($C23="All",COUNTIFS(Units!$E:$E, $B23, Units!$R:$R, "-"),COUNTIFS(Units!$E:$E, $B23, Units!$R:$R, "-", Units!$I:$I, $C23)
)
</f>
        <v>0</v>
      </c>
      <c r="AL23" s="85">
        <f>IF($C23="All",COUNTIFS(Units!$E:$E, $B23, Units!$R:$R, 6),COUNTIFS(Units!$E:$E, $B23, Units!$R:$R, 6, Units!$I:$I, $C23)
)
</f>
        <v>0</v>
      </c>
      <c r="AM23" s="85">
        <f>IF($C23="All",COUNTIFS(Units!$E:$E, $B23, Units!$R:$R, 5),COUNTIFS(Units!$E:$E, $B23, Units!$R:$R, 5, Units!$I:$I, $C23)
)
</f>
        <v>4</v>
      </c>
      <c r="AN23" s="85">
        <f>IF($C23="All",COUNTIFS(Units!$E:$E, $B23, Units!$R:$R, 4),COUNTIFS(Units!$E:$E, $B23, Units!$R:$R, 4, Units!$I:$I, $C23)
)
</f>
        <v>1</v>
      </c>
      <c r="AO23" s="94">
        <f>IF($C23="All",COUNTIFS(Units!$E:$E, $B23, Units!$R:$R, 3),COUNTIFS(Units!$E:$E, $B23, Units!$R:$R, 3, Units!$I:$I, $C23)
)
</f>
        <v>0</v>
      </c>
      <c r="AP23" s="85">
        <f>IF($C23="All",COUNTIFS(Units!$E:$E, $B23, Units!$M:$M, "&lt;&gt;1"),COUNTIFS(Units!$E:$E, $B23, Units!$M:$M, "&lt;&gt;1", Units!$I:$I, $C23)
)
</f>
        <v>2</v>
      </c>
      <c r="AQ23" s="94">
        <f>IF($C23="All",COUNTIFS(Units!$E:$E, $B23, Units!$S:$S, "*Maneouverable*"),COUNTIFS(Units!$E:$E, $B23, Units!$S:$S, "*Maneouverable*", Units!$I:$I, $C23)
)
</f>
        <v>0</v>
      </c>
      <c r="AR23" s="96">
        <f>IF($C23="All", 
    AVERAGEIFS(Units!$Q:$Q, Units!$E:$E, $B23, Units!$AY:$AY, false), 
    AVERAGEIFS(Units!$Q:$Q, Units!$E:$E, $B23, Units!$I:$I, $C23, Units!$AY:$AY, false)
)
</f>
        <v>7.333333333</v>
      </c>
      <c r="AS23" s="85">
        <f>IF($C23="All",COUNTIFS(Units!$E:$E, $B23, Units!$Q:$Q, "&lt;&gt;1"),COUNTIFS(Units!$E:$E, $B23, Units!$Q:$Q, "&lt;&gt;1", Units!$I:$I, $C23)
)</f>
        <v>5</v>
      </c>
      <c r="AT23" s="85">
        <f>AS23 - IF($C23="All",COUNTIFS(Units!$E:$E, $B23, Units!$Q:$Q, 2),COUNTIFS(Units!$E:$E, $B23, Units!$Q:$Q, 2, Units!$I:$I, $C23)
)</f>
        <v>5</v>
      </c>
      <c r="AU23" s="96">
        <f>IF($C23="All", 
    AVERAGEIFS(Units!$AQ:$AQ, Units!$E:$E, $B23, Units!$AY:$AY, false), 
    AVERAGEIFS(Units!$AQ:$AQ, Units!$E:$E, $B23, Units!$I:$I, $C23, Units!$AY:$AY, false)
)
</f>
        <v>7.333333333</v>
      </c>
      <c r="AV23" s="96">
        <f>IF($C23="All", 
    AVERAGEIFS(Units!$AR:$AR, Units!$E:$E, $B23, Units!$AY:$AY, false), 
    AVERAGEIFS(Units!$AR:$AR, Units!$E:$E, $B23, Units!$I:$I, $C23, Units!$AY:$AY, false)
)</f>
        <v>7.333333333</v>
      </c>
      <c r="AW23" s="96">
        <f>IF($C23="All", 
    AVERAGEIFS(Units!$AW:$AW, Units!$E:$E, $B23, Units!$AY:$AY, false), 
    AVERAGEIFS(Units!$AW:$AW, Units!$E:$E, $B23, Units!$I:$I, $C23, Units!$AY:$AY, false)
)
</f>
        <v>3.833333333</v>
      </c>
    </row>
    <row r="24" ht="22.5" customHeight="1">
      <c r="A24" s="82" t="str">
        <f t="shared" si="1"/>
        <v>05</v>
      </c>
      <c r="B24" s="85" t="str">
        <f>VLOOKUP(A24, Factions!A:B, 2, FALSE)</f>
        <v>Redspines</v>
      </c>
      <c r="C24" s="83" t="s">
        <v>382</v>
      </c>
      <c r="D24" s="85">
        <f>IF($C24="All",COUNTIFS(Units!$E:$E, $B24),COUNTIFS(Units!$E:$E, $B24, Units!$I:$I, $C24)
)
</f>
        <v>20</v>
      </c>
      <c r="E24" s="87">
        <f>IF($C24="All",COUNTIFS(Units!$E:$E, $B24, Units!$G:$G, E$4),COUNTIFS(Units!$E:$E, $B24, Units!$G:$G, E$4, Units!$I:$I, $C24)
)
</f>
        <v>1</v>
      </c>
      <c r="F24" s="87">
        <f>IF($C24="All",COUNTIFS(Units!$E:$E, $B24, Units!$G:$G, F$4),COUNTIFS(Units!$E:$E, $B24, Units!$G:$G, F$4, Units!$I:$I, $C24)
)
</f>
        <v>1</v>
      </c>
      <c r="G24" s="87">
        <f>IF($C24="All",COUNTIFS(Units!$E:$E, $B24, Units!$G:$G, G$4),COUNTIFS(Units!$E:$E, $B24, Units!$G:$G, G$4, Units!$I:$I, $C24)
)
</f>
        <v>0</v>
      </c>
      <c r="H24" s="87">
        <f>IF($C24="All",COUNTIFS(Units!$E:$E, $B24, Units!$G:$G, H$4),COUNTIFS(Units!$E:$E, $B24, Units!$G:$G, H$4, Units!$I:$I, $C24)
)
</f>
        <v>3</v>
      </c>
      <c r="I24" s="87">
        <f>IF($C24="All",COUNTIFS(Units!$E:$E, $B24, Units!$G:$G, I$4),COUNTIFS(Units!$E:$E, $B24, Units!$G:$G, I$4, Units!$I:$I, $C24)
)
</f>
        <v>1</v>
      </c>
      <c r="J24" s="87">
        <f>IF($C24="All",COUNTIFS(Units!$E:$E, $B24, Units!$G:$G, J$4),COUNTIFS(Units!$E:$E, $B24, Units!$G:$G, J$4, Units!$I:$I, $C24)
)
</f>
        <v>0</v>
      </c>
      <c r="K24" s="87">
        <f>IF($C24="All",COUNTIFS(Units!$E:$E, $B24, Units!$G:$G, K$4),COUNTIFS(Units!$E:$E, $B24, Units!$G:$G, K$4, Units!$I:$I, $C24)
)
</f>
        <v>2</v>
      </c>
      <c r="L24" s="87">
        <f>IF($C24="All",COUNTIFS(Units!$E:$E, $B24, Units!$G:$G, L$4),COUNTIFS(Units!$E:$E, $B24, Units!$G:$G, L$4, Units!$I:$I, $C24)
)
</f>
        <v>2</v>
      </c>
      <c r="M24" s="87"/>
      <c r="N24" s="87">
        <f>IF($C24="All",COUNTIFS(Units!$E:$E, $B24, Units!$G:$G, N$4),COUNTIFS(Units!$E:$E, $B24, Units!$G:$G, N$4, Units!$I:$I, $C24)
)
</f>
        <v>0</v>
      </c>
      <c r="O24" s="87">
        <f>IF($C24="All",COUNTIFS(Units!$E:$E, $B24, Units!$G:$G, O$4),COUNTIFS(Units!$E:$E, $B24, Units!$G:$G, O$4, Units!$I:$I, $C24)
)
</f>
        <v>0</v>
      </c>
      <c r="P24" s="87">
        <f>IF($C24="All",COUNTIFS(Units!$E:$E, $B24, Units!$G:$G, P$4),COUNTIFS(Units!$E:$E, $B24, Units!$G:$G, P$4, Units!$I:$I, $C24)
)
</f>
        <v>0</v>
      </c>
      <c r="Q24" s="87">
        <f>IF($C24="All",COUNTIFS(Units!$E:$E, $B24, Units!$G:$G, Q$4),COUNTIFS(Units!$E:$E, $B24, Units!$G:$G, Q$4, Units!$I:$I, $C24)
)
</f>
        <v>0</v>
      </c>
      <c r="R24" s="87">
        <f>IF($C24="All",COUNTIFS(Units!$E:$E, $B24, Units!$G:$G, R$4),COUNTIFS(Units!$E:$E, $B24, Units!$G:$G, R$4, Units!$I:$I, $C24)
)
</f>
        <v>1</v>
      </c>
      <c r="S24" s="87">
        <f>IF($C24="All",COUNTIFS(Units!$E:$E, $B24, Units!$G:$G, S$4),COUNTIFS(Units!$E:$E, $B24, Units!$G:$G, S$4, Units!$I:$I, $C24)
)
</f>
        <v>2</v>
      </c>
      <c r="T24" s="87">
        <f>IF($C24="All",COUNTIFS(Units!$E:$E, $B24, Units!$G:$G, T$4),COUNTIFS(Units!$E:$E, $B24, Units!$G:$G, T$4, Units!$I:$I, $C24)
)
</f>
        <v>1</v>
      </c>
      <c r="U24" s="87">
        <f>IF($C24="All",COUNTIFS(Units!$E:$E, $B24, Units!$G:$G, U$4),COUNTIFS(Units!$E:$E, $B24, Units!$G:$G, U$4, Units!$I:$I, $C24)
)
</f>
        <v>2</v>
      </c>
      <c r="V24" s="87">
        <f>IF($C24="All",COUNTIFS(Units!$E:$E, $B24, Units!$G:$G, V$4),COUNTIFS(Units!$E:$E, $B24, Units!$G:$G, V$4, Units!$I:$I, $C24)
)
</f>
        <v>0</v>
      </c>
      <c r="W24" s="87">
        <f>IF($C24="All",COUNTIFS(Units!$E:$E, $B24, Units!$G:$G, W$4),COUNTIFS(Units!$E:$E, $B24, Units!$G:$G, W$4, Units!$I:$I, $C24)
)
</f>
        <v>0</v>
      </c>
      <c r="X24" s="87">
        <f>IF($C24="All",COUNTIFS(Units!$E:$E, $B24, Units!$G:$G, X$4),COUNTIFS(Units!$E:$E, $B24, Units!$G:$G, X$4, Units!$I:$I, $C24)
)
</f>
        <v>1</v>
      </c>
      <c r="Y24" s="87">
        <f>IF($C24="All",COUNTIFS(Units!$E:$E, $B24, Units!$G:$G, Y$4),COUNTIFS(Units!$E:$E, $B24, Units!$G:$G, Y$4, Units!$I:$I, $C24)
)
</f>
        <v>1</v>
      </c>
      <c r="Z24" s="87">
        <f>IF($C24="All",COUNTIFS(Units!$E:$E, $B24, Units!$G:$G, Z$4),COUNTIFS(Units!$E:$E, $B24, Units!$G:$G, Z$4, Units!$I:$I, $C24)
)
</f>
        <v>1</v>
      </c>
      <c r="AA24" s="87">
        <f>IF($C24="All",COUNTIFS(Units!$E:$E, $B24, Units!$G:$G, AA$4),COUNTIFS(Units!$E:$E, $B24, Units!$G:$G, AA$4, Units!$I:$I, $C24)
)
</f>
        <v>0</v>
      </c>
      <c r="AB24" s="87">
        <f>IF($C24="All",COUNTIFS(Units!$E:$E, $B24, Units!$G:$G, AB$4),COUNTIFS(Units!$E:$E, $B24, Units!$G:$G, AB$4, Units!$I:$I, $C24)
)
</f>
        <v>0</v>
      </c>
      <c r="AC24" s="87">
        <f>IF($C24="All",COUNTIFS(Units!$E:$E, $B24, Units!$G:$G, AC$4),COUNTIFS(Units!$E:$E, $B24, Units!$G:$G, AC$4, Units!$I:$I, $C24)
)
</f>
        <v>0</v>
      </c>
      <c r="AD24" s="87">
        <f t="shared" si="2"/>
        <v>7</v>
      </c>
      <c r="AE24" s="87">
        <f t="shared" si="3"/>
        <v>2</v>
      </c>
      <c r="AF24" s="87">
        <f t="shared" si="4"/>
        <v>2</v>
      </c>
      <c r="AG24" s="91">
        <f t="shared" si="5"/>
        <v>3</v>
      </c>
      <c r="AH24" s="85">
        <f>IF($C24=1,COUNTIFS(Units!$E:$E, $B24, Units!$J:$J, 1, Units!$I:$I, 1),0)
</f>
        <v>0</v>
      </c>
      <c r="AI24" s="85">
        <f>IF($C24=1,COUNTIFS(Units!$E:$E, $B24, Units!$J:$J, 2, Units!$I:$I, 1),0)
</f>
        <v>0</v>
      </c>
      <c r="AJ24" s="94">
        <f>IF($C24=1,COUNTIFS(Units!$E:$E, $B24, Units!$J:$J, 3, Units!$I:$I, 1),0)
</f>
        <v>0</v>
      </c>
      <c r="AK24" s="85">
        <f>IF($C24="All",COUNTIFS(Units!$E:$E, $B24, Units!$R:$R, "-"),COUNTIFS(Units!$E:$E, $B24, Units!$R:$R, "-", Units!$I:$I, $C24)
)
</f>
        <v>0</v>
      </c>
      <c r="AL24" s="85">
        <f>IF($C24="All",COUNTIFS(Units!$E:$E, $B24, Units!$R:$R, 6),COUNTIFS(Units!$E:$E, $B24, Units!$R:$R, 6, Units!$I:$I, $C24)
)
</f>
        <v>2</v>
      </c>
      <c r="AM24" s="85">
        <f>IF($C24="All",COUNTIFS(Units!$E:$E, $B24, Units!$R:$R, 5),COUNTIFS(Units!$E:$E, $B24, Units!$R:$R, 5, Units!$I:$I, $C24)
)
</f>
        <v>15</v>
      </c>
      <c r="AN24" s="85">
        <f>IF($C24="All",COUNTIFS(Units!$E:$E, $B24, Units!$R:$R, 4),COUNTIFS(Units!$E:$E, $B24, Units!$R:$R, 4, Units!$I:$I, $C24)
)
</f>
        <v>3</v>
      </c>
      <c r="AO24" s="94">
        <f>IF($C24="All",COUNTIFS(Units!$E:$E, $B24, Units!$R:$R, 3),COUNTIFS(Units!$E:$E, $B24, Units!$R:$R, 3, Units!$I:$I, $C24)
)
</f>
        <v>0</v>
      </c>
      <c r="AP24" s="85">
        <f>IF($C24="All",COUNTIFS(Units!$E:$E, $B24, Units!$M:$M, "&lt;&gt;1"),COUNTIFS(Units!$E:$E, $B24, Units!$M:$M, "&lt;&gt;1", Units!$I:$I, $C24)
)
</f>
        <v>6</v>
      </c>
      <c r="AQ24" s="94">
        <f>IF($C24="All",COUNTIFS(Units!$E:$E, $B24, Units!$S:$S, "*Maneouverable*"),COUNTIFS(Units!$E:$E, $B24, Units!$S:$S, "*Maneouverable*", Units!$I:$I, $C24)
)
</f>
        <v>0</v>
      </c>
      <c r="AR24" s="96">
        <f>IF($C24="All", 
    AVERAGEIFS(Units!$Q:$Q, Units!$E:$E, $B24, Units!$AY:$AY, false), 
    AVERAGEIFS(Units!$Q:$Q, Units!$E:$E, $B24, Units!$I:$I, $C24, Units!$AY:$AY, false)
)
</f>
        <v>2.666666667</v>
      </c>
      <c r="AS24" s="85">
        <f>IF($C24="All",COUNTIFS(Units!$E:$E, $B24, Units!$Q:$Q, "&lt;&gt;1"),COUNTIFS(Units!$E:$E, $B24, Units!$Q:$Q, "&lt;&gt;1", Units!$I:$I, $C24)
)</f>
        <v>14</v>
      </c>
      <c r="AT24" s="85">
        <f>AS24 - IF($C24="All",COUNTIFS(Units!$E:$E, $B24, Units!$Q:$Q, 2),COUNTIFS(Units!$E:$E, $B24, Units!$Q:$Q, 2, Units!$I:$I, $C24)
)</f>
        <v>6</v>
      </c>
      <c r="AU24" s="96">
        <f>IF($C24="All", 
    AVERAGEIFS(Units!$AQ:$AQ, Units!$E:$E, $B24, Units!$AY:$AY, false), 
    AVERAGEIFS(Units!$AQ:$AQ, Units!$E:$E, $B24, Units!$I:$I, $C24, Units!$AY:$AY, false)
)
</f>
        <v>7.066666667</v>
      </c>
      <c r="AV24" s="96">
        <f>IF($C24="All", 
    AVERAGEIFS(Units!$AR:$AR, Units!$E:$E, $B24, Units!$AY:$AY, false), 
    AVERAGEIFS(Units!$AR:$AR, Units!$E:$E, $B24, Units!$I:$I, $C24, Units!$AY:$AY, false)
)</f>
        <v>7.266666667</v>
      </c>
      <c r="AW24" s="96">
        <f>IF($C24="All", 
    AVERAGEIFS(Units!$AW:$AW, Units!$E:$E, $B24, Units!$AY:$AY, false), 
    AVERAGEIFS(Units!$AW:$AW, Units!$E:$E, $B24, Units!$I:$I, $C24, Units!$AY:$AY, false)
)
</f>
        <v>3.511111111</v>
      </c>
    </row>
    <row r="25" ht="22.5" hidden="1" customHeight="1">
      <c r="A25" s="82" t="str">
        <f t="shared" si="1"/>
        <v>06</v>
      </c>
      <c r="B25" s="85" t="str">
        <f>VLOOKUP(A25, Factions!A:B, 2, FALSE)</f>
        <v>Coppersand</v>
      </c>
      <c r="C25" s="83">
        <v>1.0</v>
      </c>
      <c r="D25" s="85">
        <f>IF($C25="All",COUNTIFS(Units!$E:$E, $B25),COUNTIFS(Units!$E:$E, $B25, Units!$I:$I, $C25)
)
</f>
        <v>6</v>
      </c>
      <c r="E25" s="87">
        <f>IF($C25="All",COUNTIFS(Units!$E:$E, $B25, Units!$G:$G, E$4),COUNTIFS(Units!$E:$E, $B25, Units!$G:$G, E$4, Units!$I:$I, $C25)
)
</f>
        <v>1</v>
      </c>
      <c r="F25" s="87">
        <f>IF($C25="All",COUNTIFS(Units!$E:$E, $B25, Units!$G:$G, F$4),COUNTIFS(Units!$E:$E, $B25, Units!$G:$G, F$4, Units!$I:$I, $C25)
)
</f>
        <v>2</v>
      </c>
      <c r="G25" s="87">
        <f>IF($C25="All",COUNTIFS(Units!$E:$E, $B25, Units!$G:$G, G$4),COUNTIFS(Units!$E:$E, $B25, Units!$G:$G, G$4, Units!$I:$I, $C25)
)
</f>
        <v>0</v>
      </c>
      <c r="H25" s="87">
        <f>IF($C25="All",COUNTIFS(Units!$E:$E, $B25, Units!$G:$G, H$4),COUNTIFS(Units!$E:$E, $B25, Units!$G:$G, H$4, Units!$I:$I, $C25)
)
</f>
        <v>1</v>
      </c>
      <c r="I25" s="87">
        <f>IF($C25="All",COUNTIFS(Units!$E:$E, $B25, Units!$G:$G, I$4),COUNTIFS(Units!$E:$E, $B25, Units!$G:$G, I$4, Units!$I:$I, $C25)
)
</f>
        <v>0</v>
      </c>
      <c r="J25" s="87">
        <f>IF($C25="All",COUNTIFS(Units!$E:$E, $B25, Units!$G:$G, J$4),COUNTIFS(Units!$E:$E, $B25, Units!$G:$G, J$4, Units!$I:$I, $C25)
)
</f>
        <v>0</v>
      </c>
      <c r="K25" s="87">
        <f>IF($C25="All",COUNTIFS(Units!$E:$E, $B25, Units!$G:$G, K$4),COUNTIFS(Units!$E:$E, $B25, Units!$G:$G, K$4, Units!$I:$I, $C25)
)
</f>
        <v>0</v>
      </c>
      <c r="L25" s="87">
        <f>IF($C25="All",COUNTIFS(Units!$E:$E, $B25, Units!$G:$G, L$4),COUNTIFS(Units!$E:$E, $B25, Units!$G:$G, L$4, Units!$I:$I, $C25)
)
</f>
        <v>0</v>
      </c>
      <c r="M25" s="87"/>
      <c r="N25" s="87">
        <f>IF($C25="All",COUNTIFS(Units!$E:$E, $B25, Units!$G:$G, N$4),COUNTIFS(Units!$E:$E, $B25, Units!$G:$G, N$4, Units!$I:$I, $C25)
)
</f>
        <v>0</v>
      </c>
      <c r="O25" s="87">
        <f>IF($C25="All",COUNTIFS(Units!$E:$E, $B25, Units!$G:$G, O$4),COUNTIFS(Units!$E:$E, $B25, Units!$G:$G, O$4, Units!$I:$I, $C25)
)
</f>
        <v>0</v>
      </c>
      <c r="P25" s="87">
        <f>IF($C25="All",COUNTIFS(Units!$E:$E, $B25, Units!$G:$G, P$4),COUNTIFS(Units!$E:$E, $B25, Units!$G:$G, P$4, Units!$I:$I, $C25)
)
</f>
        <v>0</v>
      </c>
      <c r="Q25" s="87">
        <f>IF($C25="All",COUNTIFS(Units!$E:$E, $B25, Units!$G:$G, Q$4),COUNTIFS(Units!$E:$E, $B25, Units!$G:$G, Q$4, Units!$I:$I, $C25)
)
</f>
        <v>0</v>
      </c>
      <c r="R25" s="87">
        <f>IF($C25="All",COUNTIFS(Units!$E:$E, $B25, Units!$G:$G, R$4),COUNTIFS(Units!$E:$E, $B25, Units!$G:$G, R$4, Units!$I:$I, $C25)
)
</f>
        <v>0</v>
      </c>
      <c r="S25" s="87">
        <f>IF($C25="All",COUNTIFS(Units!$E:$E, $B25, Units!$G:$G, S$4),COUNTIFS(Units!$E:$E, $B25, Units!$G:$G, S$4, Units!$I:$I, $C25)
)
</f>
        <v>0</v>
      </c>
      <c r="T25" s="87">
        <f>IF($C25="All",COUNTIFS(Units!$E:$E, $B25, Units!$G:$G, T$4),COUNTIFS(Units!$E:$E, $B25, Units!$G:$G, T$4, Units!$I:$I, $C25)
)
</f>
        <v>2</v>
      </c>
      <c r="U25" s="87">
        <f>IF($C25="All",COUNTIFS(Units!$E:$E, $B25, Units!$G:$G, U$4),COUNTIFS(Units!$E:$E, $B25, Units!$G:$G, U$4, Units!$I:$I, $C25)
)
</f>
        <v>0</v>
      </c>
      <c r="V25" s="87">
        <f>IF($C25="All",COUNTIFS(Units!$E:$E, $B25, Units!$G:$G, V$4),COUNTIFS(Units!$E:$E, $B25, Units!$G:$G, V$4, Units!$I:$I, $C25)
)
</f>
        <v>0</v>
      </c>
      <c r="W25" s="87">
        <f>IF($C25="All",COUNTIFS(Units!$E:$E, $B25, Units!$G:$G, W$4),COUNTIFS(Units!$E:$E, $B25, Units!$G:$G, W$4, Units!$I:$I, $C25)
)
</f>
        <v>0</v>
      </c>
      <c r="X25" s="87">
        <f>IF($C25="All",COUNTIFS(Units!$E:$E, $B25, Units!$G:$G, X$4),COUNTIFS(Units!$E:$E, $B25, Units!$G:$G, X$4, Units!$I:$I, $C25)
)
</f>
        <v>0</v>
      </c>
      <c r="Y25" s="87">
        <f>IF($C25="All",COUNTIFS(Units!$E:$E, $B25, Units!$G:$G, Y$4),COUNTIFS(Units!$E:$E, $B25, Units!$G:$G, Y$4, Units!$I:$I, $C25)
)
</f>
        <v>0</v>
      </c>
      <c r="Z25" s="87">
        <f>IF($C25="All",COUNTIFS(Units!$E:$E, $B25, Units!$G:$G, Z$4),COUNTIFS(Units!$E:$E, $B25, Units!$G:$G, Z$4, Units!$I:$I, $C25)
)
</f>
        <v>0</v>
      </c>
      <c r="AA25" s="87">
        <f>IF($C25="All",COUNTIFS(Units!$E:$E, $B25, Units!$G:$G, AA$4),COUNTIFS(Units!$E:$E, $B25, Units!$G:$G, AA$4, Units!$I:$I, $C25)
)
</f>
        <v>0</v>
      </c>
      <c r="AB25" s="87">
        <f>IF($C25="All",COUNTIFS(Units!$E:$E, $B25, Units!$G:$G, AB$4),COUNTIFS(Units!$E:$E, $B25, Units!$G:$G, AB$4, Units!$I:$I, $C25)
)
</f>
        <v>0</v>
      </c>
      <c r="AC25" s="87">
        <f>IF($C25="All",COUNTIFS(Units!$E:$E, $B25, Units!$G:$G, AC$4),COUNTIFS(Units!$E:$E, $B25, Units!$G:$G, AC$4, Units!$I:$I, $C25)
)
</f>
        <v>0</v>
      </c>
      <c r="AD25" s="87">
        <f t="shared" si="2"/>
        <v>2</v>
      </c>
      <c r="AE25" s="87">
        <f t="shared" si="3"/>
        <v>0</v>
      </c>
      <c r="AF25" s="87">
        <f t="shared" si="4"/>
        <v>2</v>
      </c>
      <c r="AG25" s="91">
        <f t="shared" si="5"/>
        <v>2</v>
      </c>
      <c r="AH25" s="85">
        <f>IF($C25=1,COUNTIFS(Units!$E:$E, $B25, Units!$J:$J, 1, Units!$I:$I, 1),0)
</f>
        <v>0</v>
      </c>
      <c r="AI25" s="85">
        <f>IF($C25=1,COUNTIFS(Units!$E:$E, $B25, Units!$J:$J, 2, Units!$I:$I, 1),0)
</f>
        <v>4</v>
      </c>
      <c r="AJ25" s="94">
        <f>IF($C25=1,COUNTIFS(Units!$E:$E, $B25, Units!$J:$J, 3, Units!$I:$I, 1),0)
</f>
        <v>2</v>
      </c>
      <c r="AK25" s="85">
        <f>IF($C25="All",COUNTIFS(Units!$E:$E, $B25, Units!$R:$R, "-"),COUNTIFS(Units!$E:$E, $B25, Units!$R:$R, "-", Units!$I:$I, $C25)
)
</f>
        <v>1</v>
      </c>
      <c r="AL25" s="85">
        <f>IF($C25="All",COUNTIFS(Units!$E:$E, $B25, Units!$R:$R, 6),COUNTIFS(Units!$E:$E, $B25, Units!$R:$R, 6, Units!$I:$I, $C25)
)
</f>
        <v>2</v>
      </c>
      <c r="AM25" s="85">
        <f>IF($C25="All",COUNTIFS(Units!$E:$E, $B25, Units!$R:$R, 5),COUNTIFS(Units!$E:$E, $B25, Units!$R:$R, 5, Units!$I:$I, $C25)
)
</f>
        <v>3</v>
      </c>
      <c r="AN25" s="85">
        <f>IF($C25="All",COUNTIFS(Units!$E:$E, $B25, Units!$R:$R, 4),COUNTIFS(Units!$E:$E, $B25, Units!$R:$R, 4, Units!$I:$I, $C25)
)
</f>
        <v>0</v>
      </c>
      <c r="AO25" s="94">
        <f>IF($C25="All",COUNTIFS(Units!$E:$E, $B25, Units!$R:$R, 3),COUNTIFS(Units!$E:$E, $B25, Units!$R:$R, 3, Units!$I:$I, $C25)
)
</f>
        <v>0</v>
      </c>
      <c r="AP25" s="85">
        <f>IF($C25="All",COUNTIFS(Units!$E:$E, $B25, Units!$M:$M, "&lt;&gt;1"),COUNTIFS(Units!$E:$E, $B25, Units!$M:$M, "&lt;&gt;1", Units!$I:$I, $C25)
)
</f>
        <v>0</v>
      </c>
      <c r="AQ25" s="94">
        <f>IF($C25="All",COUNTIFS(Units!$E:$E, $B25, Units!$S:$S, "*Maneouverable*"),COUNTIFS(Units!$E:$E, $B25, Units!$S:$S, "*Maneouverable*", Units!$I:$I, $C25)
)
</f>
        <v>0</v>
      </c>
      <c r="AR25" s="96">
        <f>IF($C25="All", 
    AVERAGEIFS(Units!$Q:$Q, Units!$E:$E, $B25, Units!$AY:$AY, false), 
    AVERAGEIFS(Units!$Q:$Q, Units!$E:$E, $B25, Units!$I:$I, $C25, Units!$AY:$AY, false)
)
</f>
        <v>1</v>
      </c>
      <c r="AS25" s="85">
        <f>IF($C25="All",COUNTIFS(Units!$E:$E, $B25, Units!$Q:$Q, "&lt;&gt;1"),COUNTIFS(Units!$E:$E, $B25, Units!$Q:$Q, "&lt;&gt;1", Units!$I:$I, $C25)
)</f>
        <v>0</v>
      </c>
      <c r="AT25" s="85">
        <f>AS25 - IF($C25="All",COUNTIFS(Units!$E:$E, $B25, Units!$Q:$Q, 2),COUNTIFS(Units!$E:$E, $B25, Units!$Q:$Q, 2, Units!$I:$I, $C25)
)</f>
        <v>0</v>
      </c>
      <c r="AU25" s="96">
        <f>IF($C25="All", 
    AVERAGEIFS(Units!$AQ:$AQ, Units!$E:$E, $B25, Units!$AY:$AY, false), 
    AVERAGEIFS(Units!$AQ:$AQ, Units!$E:$E, $B25, Units!$I:$I, $C25, Units!$AY:$AY, false)
)
</f>
        <v>5</v>
      </c>
      <c r="AV25" s="96">
        <f>IF($C25="All", 
    AVERAGEIFS(Units!$AR:$AR, Units!$E:$E, $B25, Units!$AY:$AY, false), 
    AVERAGEIFS(Units!$AR:$AR, Units!$E:$E, $B25, Units!$I:$I, $C25, Units!$AY:$AY, false)
)</f>
        <v>6.583333333</v>
      </c>
      <c r="AW25" s="96">
        <f>IF($C25="All", 
    AVERAGEIFS(Units!$AW:$AW, Units!$E:$E, $B25, Units!$AY:$AY, false), 
    AVERAGEIFS(Units!$AW:$AW, Units!$E:$E, $B25, Units!$I:$I, $C25, Units!$AY:$AY, false)
)
</f>
        <v>1.805555556</v>
      </c>
    </row>
    <row r="26" ht="22.5" hidden="1" customHeight="1">
      <c r="A26" s="82" t="str">
        <f t="shared" si="1"/>
        <v>06</v>
      </c>
      <c r="B26" s="85" t="str">
        <f>VLOOKUP(A26, Factions!A:B, 2, FALSE)</f>
        <v>Coppersand</v>
      </c>
      <c r="C26" s="83">
        <v>2.0</v>
      </c>
      <c r="D26" s="85">
        <f>IF($C26="All",COUNTIFS(Units!$E:$E, $B26),COUNTIFS(Units!$E:$E, $B26, Units!$I:$I, $C26)
)
</f>
        <v>9</v>
      </c>
      <c r="E26" s="87">
        <f>IF($C26="All",COUNTIFS(Units!$E:$E, $B26, Units!$G:$G, E$4),COUNTIFS(Units!$E:$E, $B26, Units!$G:$G, E$4, Units!$I:$I, $C26)
)
</f>
        <v>0</v>
      </c>
      <c r="F26" s="87">
        <f>IF($C26="All",COUNTIFS(Units!$E:$E, $B26, Units!$G:$G, F$4),COUNTIFS(Units!$E:$E, $B26, Units!$G:$G, F$4, Units!$I:$I, $C26)
)
</f>
        <v>0</v>
      </c>
      <c r="G26" s="87">
        <f>IF($C26="All",COUNTIFS(Units!$E:$E, $B26, Units!$G:$G, G$4),COUNTIFS(Units!$E:$E, $B26, Units!$G:$G, G$4, Units!$I:$I, $C26)
)
</f>
        <v>0</v>
      </c>
      <c r="H26" s="87">
        <f>IF($C26="All",COUNTIFS(Units!$E:$E, $B26, Units!$G:$G, H$4),COUNTIFS(Units!$E:$E, $B26, Units!$G:$G, H$4, Units!$I:$I, $C26)
)
</f>
        <v>0</v>
      </c>
      <c r="I26" s="87">
        <f>IF($C26="All",COUNTIFS(Units!$E:$E, $B26, Units!$G:$G, I$4),COUNTIFS(Units!$E:$E, $B26, Units!$G:$G, I$4, Units!$I:$I, $C26)
)
</f>
        <v>1</v>
      </c>
      <c r="J26" s="87">
        <f>IF($C26="All",COUNTIFS(Units!$E:$E, $B26, Units!$G:$G, J$4),COUNTIFS(Units!$E:$E, $B26, Units!$G:$G, J$4, Units!$I:$I, $C26)
)
</f>
        <v>1</v>
      </c>
      <c r="K26" s="87">
        <f>IF($C26="All",COUNTIFS(Units!$E:$E, $B26, Units!$G:$G, K$4),COUNTIFS(Units!$E:$E, $B26, Units!$G:$G, K$4, Units!$I:$I, $C26)
)
</f>
        <v>0</v>
      </c>
      <c r="L26" s="87">
        <f>IF($C26="All",COUNTIFS(Units!$E:$E, $B26, Units!$G:$G, L$4),COUNTIFS(Units!$E:$E, $B26, Units!$G:$G, L$4, Units!$I:$I, $C26)
)
</f>
        <v>0</v>
      </c>
      <c r="M26" s="87"/>
      <c r="N26" s="87">
        <f>IF($C26="All",COUNTIFS(Units!$E:$E, $B26, Units!$G:$G, N$4),COUNTIFS(Units!$E:$E, $B26, Units!$G:$G, N$4, Units!$I:$I, $C26)
)
</f>
        <v>0</v>
      </c>
      <c r="O26" s="87">
        <f>IF($C26="All",COUNTIFS(Units!$E:$E, $B26, Units!$G:$G, O$4),COUNTIFS(Units!$E:$E, $B26, Units!$G:$G, O$4, Units!$I:$I, $C26)
)
</f>
        <v>0</v>
      </c>
      <c r="P26" s="87">
        <f>IF($C26="All",COUNTIFS(Units!$E:$E, $B26, Units!$G:$G, P$4),COUNTIFS(Units!$E:$E, $B26, Units!$G:$G, P$4, Units!$I:$I, $C26)
)
</f>
        <v>3</v>
      </c>
      <c r="Q26" s="87">
        <f>IF($C26="All",COUNTIFS(Units!$E:$E, $B26, Units!$G:$G, Q$4),COUNTIFS(Units!$E:$E, $B26, Units!$G:$G, Q$4, Units!$I:$I, $C26)
)
</f>
        <v>3</v>
      </c>
      <c r="R26" s="87">
        <f>IF($C26="All",COUNTIFS(Units!$E:$E, $B26, Units!$G:$G, R$4),COUNTIFS(Units!$E:$E, $B26, Units!$G:$G, R$4, Units!$I:$I, $C26)
)
</f>
        <v>0</v>
      </c>
      <c r="S26" s="87">
        <f>IF($C26="All",COUNTIFS(Units!$E:$E, $B26, Units!$G:$G, S$4),COUNTIFS(Units!$E:$E, $B26, Units!$G:$G, S$4, Units!$I:$I, $C26)
)
</f>
        <v>0</v>
      </c>
      <c r="T26" s="87">
        <f>IF($C26="All",COUNTIFS(Units!$E:$E, $B26, Units!$G:$G, T$4),COUNTIFS(Units!$E:$E, $B26, Units!$G:$G, T$4, Units!$I:$I, $C26)
)
</f>
        <v>1</v>
      </c>
      <c r="U26" s="87">
        <f>IF($C26="All",COUNTIFS(Units!$E:$E, $B26, Units!$G:$G, U$4),COUNTIFS(Units!$E:$E, $B26, Units!$G:$G, U$4, Units!$I:$I, $C26)
)
</f>
        <v>0</v>
      </c>
      <c r="V26" s="87">
        <f>IF($C26="All",COUNTIFS(Units!$E:$E, $B26, Units!$G:$G, V$4),COUNTIFS(Units!$E:$E, $B26, Units!$G:$G, V$4, Units!$I:$I, $C26)
)
</f>
        <v>0</v>
      </c>
      <c r="W26" s="87">
        <f>IF($C26="All",COUNTIFS(Units!$E:$E, $B26, Units!$G:$G, W$4),COUNTIFS(Units!$E:$E, $B26, Units!$G:$G, W$4, Units!$I:$I, $C26)
)
</f>
        <v>0</v>
      </c>
      <c r="X26" s="87">
        <f>IF($C26="All",COUNTIFS(Units!$E:$E, $B26, Units!$G:$G, X$4),COUNTIFS(Units!$E:$E, $B26, Units!$G:$G, X$4, Units!$I:$I, $C26)
)
</f>
        <v>0</v>
      </c>
      <c r="Y26" s="87">
        <f>IF($C26="All",COUNTIFS(Units!$E:$E, $B26, Units!$G:$G, Y$4),COUNTIFS(Units!$E:$E, $B26, Units!$G:$G, Y$4, Units!$I:$I, $C26)
)
</f>
        <v>0</v>
      </c>
      <c r="Z26" s="87">
        <f>IF($C26="All",COUNTIFS(Units!$E:$E, $B26, Units!$G:$G, Z$4),COUNTIFS(Units!$E:$E, $B26, Units!$G:$G, Z$4, Units!$I:$I, $C26)
)
</f>
        <v>0</v>
      </c>
      <c r="AA26" s="87">
        <f>IF($C26="All",COUNTIFS(Units!$E:$E, $B26, Units!$G:$G, AA$4),COUNTIFS(Units!$E:$E, $B26, Units!$G:$G, AA$4, Units!$I:$I, $C26)
)
</f>
        <v>0</v>
      </c>
      <c r="AB26" s="87">
        <f>IF($C26="All",COUNTIFS(Units!$E:$E, $B26, Units!$G:$G, AB$4),COUNTIFS(Units!$E:$E, $B26, Units!$G:$G, AB$4, Units!$I:$I, $C26)
)
</f>
        <v>0</v>
      </c>
      <c r="AC26" s="87">
        <f>IF($C26="All",COUNTIFS(Units!$E:$E, $B26, Units!$G:$G, AC$4),COUNTIFS(Units!$E:$E, $B26, Units!$G:$G, AC$4, Units!$I:$I, $C26)
)
</f>
        <v>0</v>
      </c>
      <c r="AD26" s="87">
        <f t="shared" si="2"/>
        <v>2</v>
      </c>
      <c r="AE26" s="87">
        <f t="shared" si="3"/>
        <v>0</v>
      </c>
      <c r="AF26" s="87">
        <f t="shared" si="4"/>
        <v>3</v>
      </c>
      <c r="AG26" s="91">
        <f t="shared" si="5"/>
        <v>4</v>
      </c>
      <c r="AH26" s="85">
        <f>IF($C26=1,COUNTIFS(Units!$E:$E, $B26, Units!$J:$J, 1, Units!$I:$I, 1),0)
</f>
        <v>0</v>
      </c>
      <c r="AI26" s="85">
        <f>IF($C26=1,COUNTIFS(Units!$E:$E, $B26, Units!$J:$J, 2, Units!$I:$I, 1),0)
</f>
        <v>0</v>
      </c>
      <c r="AJ26" s="94">
        <f>IF($C26=1,COUNTIFS(Units!$E:$E, $B26, Units!$J:$J, 3, Units!$I:$I, 1),0)
</f>
        <v>0</v>
      </c>
      <c r="AK26" s="85">
        <f>IF($C26="All",COUNTIFS(Units!$E:$E, $B26, Units!$R:$R, "-"),COUNTIFS(Units!$E:$E, $B26, Units!$R:$R, "-", Units!$I:$I, $C26)
)
</f>
        <v>0</v>
      </c>
      <c r="AL26" s="85">
        <f>IF($C26="All",COUNTIFS(Units!$E:$E, $B26, Units!$R:$R, 6),COUNTIFS(Units!$E:$E, $B26, Units!$R:$R, 6, Units!$I:$I, $C26)
)
</f>
        <v>2</v>
      </c>
      <c r="AM26" s="85">
        <f>IF($C26="All",COUNTIFS(Units!$E:$E, $B26, Units!$R:$R, 5),COUNTIFS(Units!$E:$E, $B26, Units!$R:$R, 5, Units!$I:$I, $C26)
)
</f>
        <v>4</v>
      </c>
      <c r="AN26" s="85">
        <f>IF($C26="All",COUNTIFS(Units!$E:$E, $B26, Units!$R:$R, 4),COUNTIFS(Units!$E:$E, $B26, Units!$R:$R, 4, Units!$I:$I, $C26)
)
</f>
        <v>2</v>
      </c>
      <c r="AO26" s="94">
        <f>IF($C26="All",COUNTIFS(Units!$E:$E, $B26, Units!$R:$R, 3),COUNTIFS(Units!$E:$E, $B26, Units!$R:$R, 3, Units!$I:$I, $C26)
)
</f>
        <v>1</v>
      </c>
      <c r="AP26" s="85">
        <f>IF($C26="All",COUNTIFS(Units!$E:$E, $B26, Units!$M:$M, "&lt;&gt;1"),COUNTIFS(Units!$E:$E, $B26, Units!$M:$M, "&lt;&gt;1", Units!$I:$I, $C26)
)
</f>
        <v>2</v>
      </c>
      <c r="AQ26" s="94">
        <f>IF($C26="All",COUNTIFS(Units!$E:$E, $B26, Units!$S:$S, "*Maneouverable*"),COUNTIFS(Units!$E:$E, $B26, Units!$S:$S, "*Maneouverable*", Units!$I:$I, $C26)
)
</f>
        <v>0</v>
      </c>
      <c r="AR26" s="96">
        <f>IF($C26="All", 
    AVERAGEIFS(Units!$Q:$Q, Units!$E:$E, $B26, Units!$AY:$AY, false), 
    AVERAGEIFS(Units!$Q:$Q, Units!$E:$E, $B26, Units!$I:$I, $C26, Units!$AY:$AY, false)
)
</f>
        <v>4</v>
      </c>
      <c r="AS26" s="85">
        <f>IF($C26="All",COUNTIFS(Units!$E:$E, $B26, Units!$Q:$Q, "&lt;&gt;1"),COUNTIFS(Units!$E:$E, $B26, Units!$Q:$Q, "&lt;&gt;1", Units!$I:$I, $C26)
)</f>
        <v>9</v>
      </c>
      <c r="AT26" s="85">
        <f>AS26 - IF($C26="All",COUNTIFS(Units!$E:$E, $B26, Units!$Q:$Q, 2),COUNTIFS(Units!$E:$E, $B26, Units!$Q:$Q, 2, Units!$I:$I, $C26)
)</f>
        <v>7</v>
      </c>
      <c r="AU26" s="96">
        <f>IF($C26="All", 
    AVERAGEIFS(Units!$AQ:$AQ, Units!$E:$E, $B26, Units!$AY:$AY, false), 
    AVERAGEIFS(Units!$AQ:$AQ, Units!$E:$E, $B26, Units!$I:$I, $C26, Units!$AY:$AY, false)
)
</f>
        <v>6.333333333</v>
      </c>
      <c r="AV26" s="96">
        <f>IF($C26="All", 
    AVERAGEIFS(Units!$AR:$AR, Units!$E:$E, $B26, Units!$AY:$AY, false), 
    AVERAGEIFS(Units!$AR:$AR, Units!$E:$E, $B26, Units!$I:$I, $C26, Units!$AY:$AY, false)
)</f>
        <v>11.66666667</v>
      </c>
      <c r="AW26" s="96">
        <f>IF($C26="All", 
    AVERAGEIFS(Units!$AW:$AW, Units!$E:$E, $B26, Units!$AY:$AY, false), 
    AVERAGEIFS(Units!$AW:$AW, Units!$E:$E, $B26, Units!$I:$I, $C26, Units!$AY:$AY, false)
)
</f>
        <v>2.833333333</v>
      </c>
    </row>
    <row r="27" ht="22.5" hidden="1" customHeight="1">
      <c r="A27" s="82" t="str">
        <f t="shared" si="1"/>
        <v>06</v>
      </c>
      <c r="B27" s="85" t="str">
        <f>VLOOKUP(A27, Factions!A:B, 2, FALSE)</f>
        <v>Coppersand</v>
      </c>
      <c r="C27" s="83">
        <v>3.0</v>
      </c>
      <c r="D27" s="85">
        <f>IF($C27="All",COUNTIFS(Units!$E:$E, $B27),COUNTIFS(Units!$E:$E, $B27, Units!$I:$I, $C27)
)
</f>
        <v>5</v>
      </c>
      <c r="E27" s="87">
        <f>IF($C27="All",COUNTIFS(Units!$E:$E, $B27, Units!$G:$G, E$4),COUNTIFS(Units!$E:$E, $B27, Units!$G:$G, E$4, Units!$I:$I, $C27)
)
</f>
        <v>0</v>
      </c>
      <c r="F27" s="87">
        <f>IF($C27="All",COUNTIFS(Units!$E:$E, $B27, Units!$G:$G, F$4),COUNTIFS(Units!$E:$E, $B27, Units!$G:$G, F$4, Units!$I:$I, $C27)
)
</f>
        <v>0</v>
      </c>
      <c r="G27" s="87">
        <f>IF($C27="All",COUNTIFS(Units!$E:$E, $B27, Units!$G:$G, G$4),COUNTIFS(Units!$E:$E, $B27, Units!$G:$G, G$4, Units!$I:$I, $C27)
)
</f>
        <v>0</v>
      </c>
      <c r="H27" s="87">
        <f>IF($C27="All",COUNTIFS(Units!$E:$E, $B27, Units!$G:$G, H$4),COUNTIFS(Units!$E:$E, $B27, Units!$G:$G, H$4, Units!$I:$I, $C27)
)
</f>
        <v>0</v>
      </c>
      <c r="I27" s="87">
        <f>IF($C27="All",COUNTIFS(Units!$E:$E, $B27, Units!$G:$G, I$4),COUNTIFS(Units!$E:$E, $B27, Units!$G:$G, I$4, Units!$I:$I, $C27)
)
</f>
        <v>0</v>
      </c>
      <c r="J27" s="87">
        <f>IF($C27="All",COUNTIFS(Units!$E:$E, $B27, Units!$G:$G, J$4),COUNTIFS(Units!$E:$E, $B27, Units!$G:$G, J$4, Units!$I:$I, $C27)
)
</f>
        <v>0</v>
      </c>
      <c r="K27" s="87">
        <f>IF($C27="All",COUNTIFS(Units!$E:$E, $B27, Units!$G:$G, K$4),COUNTIFS(Units!$E:$E, $B27, Units!$G:$G, K$4, Units!$I:$I, $C27)
)
</f>
        <v>0</v>
      </c>
      <c r="L27" s="87">
        <f>IF($C27="All",COUNTIFS(Units!$E:$E, $B27, Units!$G:$G, L$4),COUNTIFS(Units!$E:$E, $B27, Units!$G:$G, L$4, Units!$I:$I, $C27)
)
</f>
        <v>0</v>
      </c>
      <c r="M27" s="87"/>
      <c r="N27" s="87">
        <f>IF($C27="All",COUNTIFS(Units!$E:$E, $B27, Units!$G:$G, N$4),COUNTIFS(Units!$E:$E, $B27, Units!$G:$G, N$4, Units!$I:$I, $C27)
)
</f>
        <v>0</v>
      </c>
      <c r="O27" s="87">
        <f>IF($C27="All",COUNTIFS(Units!$E:$E, $B27, Units!$G:$G, O$4),COUNTIFS(Units!$E:$E, $B27, Units!$G:$G, O$4, Units!$I:$I, $C27)
)
</f>
        <v>0</v>
      </c>
      <c r="P27" s="87">
        <f>IF($C27="All",COUNTIFS(Units!$E:$E, $B27, Units!$G:$G, P$4),COUNTIFS(Units!$E:$E, $B27, Units!$G:$G, P$4, Units!$I:$I, $C27)
)
</f>
        <v>0</v>
      </c>
      <c r="Q27" s="87">
        <f>IF($C27="All",COUNTIFS(Units!$E:$E, $B27, Units!$G:$G, Q$4),COUNTIFS(Units!$E:$E, $B27, Units!$G:$G, Q$4, Units!$I:$I, $C27)
)
</f>
        <v>0</v>
      </c>
      <c r="R27" s="87">
        <f>IF($C27="All",COUNTIFS(Units!$E:$E, $B27, Units!$G:$G, R$4),COUNTIFS(Units!$E:$E, $B27, Units!$G:$G, R$4, Units!$I:$I, $C27)
)
</f>
        <v>0</v>
      </c>
      <c r="S27" s="87">
        <f>IF($C27="All",COUNTIFS(Units!$E:$E, $B27, Units!$G:$G, S$4),COUNTIFS(Units!$E:$E, $B27, Units!$G:$G, S$4, Units!$I:$I, $C27)
)
</f>
        <v>0</v>
      </c>
      <c r="T27" s="87">
        <f>IF($C27="All",COUNTIFS(Units!$E:$E, $B27, Units!$G:$G, T$4),COUNTIFS(Units!$E:$E, $B27, Units!$G:$G, T$4, Units!$I:$I, $C27)
)
</f>
        <v>0</v>
      </c>
      <c r="U27" s="87">
        <f>IF($C27="All",COUNTIFS(Units!$E:$E, $B27, Units!$G:$G, U$4),COUNTIFS(Units!$E:$E, $B27, Units!$G:$G, U$4, Units!$I:$I, $C27)
)
</f>
        <v>0</v>
      </c>
      <c r="V27" s="87">
        <f>IF($C27="All",COUNTIFS(Units!$E:$E, $B27, Units!$G:$G, V$4),COUNTIFS(Units!$E:$E, $B27, Units!$G:$G, V$4, Units!$I:$I, $C27)
)
</f>
        <v>0</v>
      </c>
      <c r="W27" s="87">
        <f>IF($C27="All",COUNTIFS(Units!$E:$E, $B27, Units!$G:$G, W$4),COUNTIFS(Units!$E:$E, $B27, Units!$G:$G, W$4, Units!$I:$I, $C27)
)
</f>
        <v>1</v>
      </c>
      <c r="X27" s="87">
        <f>IF($C27="All",COUNTIFS(Units!$E:$E, $B27, Units!$G:$G, X$4),COUNTIFS(Units!$E:$E, $B27, Units!$G:$G, X$4, Units!$I:$I, $C27)
)
</f>
        <v>1</v>
      </c>
      <c r="Y27" s="87">
        <f>IF($C27="All",COUNTIFS(Units!$E:$E, $B27, Units!$G:$G, Y$4),COUNTIFS(Units!$E:$E, $B27, Units!$G:$G, Y$4, Units!$I:$I, $C27)
)
</f>
        <v>1</v>
      </c>
      <c r="Z27" s="87">
        <f>IF($C27="All",COUNTIFS(Units!$E:$E, $B27, Units!$G:$G, Z$4),COUNTIFS(Units!$E:$E, $B27, Units!$G:$G, Z$4, Units!$I:$I, $C27)
)
</f>
        <v>0</v>
      </c>
      <c r="AA27" s="87">
        <f>IF($C27="All",COUNTIFS(Units!$E:$E, $B27, Units!$G:$G, AA$4),COUNTIFS(Units!$E:$E, $B27, Units!$G:$G, AA$4, Units!$I:$I, $C27)
)
</f>
        <v>1</v>
      </c>
      <c r="AB27" s="87">
        <f>IF($C27="All",COUNTIFS(Units!$E:$E, $B27, Units!$G:$G, AB$4),COUNTIFS(Units!$E:$E, $B27, Units!$G:$G, AB$4, Units!$I:$I, $C27)
)
</f>
        <v>1</v>
      </c>
      <c r="AC27" s="87">
        <f>IF($C27="All",COUNTIFS(Units!$E:$E, $B27, Units!$G:$G, AC$4),COUNTIFS(Units!$E:$E, $B27, Units!$G:$G, AC$4, Units!$I:$I, $C27)
)
</f>
        <v>0</v>
      </c>
      <c r="AD27" s="87">
        <f t="shared" si="2"/>
        <v>0</v>
      </c>
      <c r="AE27" s="87">
        <f t="shared" si="3"/>
        <v>0</v>
      </c>
      <c r="AF27" s="87">
        <f t="shared" si="4"/>
        <v>0</v>
      </c>
      <c r="AG27" s="91">
        <f t="shared" si="5"/>
        <v>0</v>
      </c>
      <c r="AH27" s="85">
        <f>IF($C27=1,COUNTIFS(Units!$E:$E, $B27, Units!$J:$J, 1, Units!$I:$I, 1),0)
</f>
        <v>0</v>
      </c>
      <c r="AI27" s="85">
        <f>IF($C27=1,COUNTIFS(Units!$E:$E, $B27, Units!$J:$J, 2, Units!$I:$I, 1),0)
</f>
        <v>0</v>
      </c>
      <c r="AJ27" s="94">
        <f>IF($C27=1,COUNTIFS(Units!$E:$E, $B27, Units!$J:$J, 3, Units!$I:$I, 1),0)
</f>
        <v>0</v>
      </c>
      <c r="AK27" s="85">
        <f>IF($C27="All",COUNTIFS(Units!$E:$E, $B27, Units!$R:$R, "-"),COUNTIFS(Units!$E:$E, $B27, Units!$R:$R, "-", Units!$I:$I, $C27)
)
</f>
        <v>0</v>
      </c>
      <c r="AL27" s="85">
        <f>IF($C27="All",COUNTIFS(Units!$E:$E, $B27, Units!$R:$R, 6),COUNTIFS(Units!$E:$E, $B27, Units!$R:$R, 6, Units!$I:$I, $C27)
)
</f>
        <v>0</v>
      </c>
      <c r="AM27" s="85">
        <f>IF($C27="All",COUNTIFS(Units!$E:$E, $B27, Units!$R:$R, 5),COUNTIFS(Units!$E:$E, $B27, Units!$R:$R, 5, Units!$I:$I, $C27)
)
</f>
        <v>4</v>
      </c>
      <c r="AN27" s="85">
        <f>IF($C27="All",COUNTIFS(Units!$E:$E, $B27, Units!$R:$R, 4),COUNTIFS(Units!$E:$E, $B27, Units!$R:$R, 4, Units!$I:$I, $C27)
)
</f>
        <v>1</v>
      </c>
      <c r="AO27" s="94">
        <f>IF($C27="All",COUNTIFS(Units!$E:$E, $B27, Units!$R:$R, 3),COUNTIFS(Units!$E:$E, $B27, Units!$R:$R, 3, Units!$I:$I, $C27)
)
</f>
        <v>0</v>
      </c>
      <c r="AP27" s="85">
        <f>IF($C27="All",COUNTIFS(Units!$E:$E, $B27, Units!$M:$M, "&lt;&gt;1"),COUNTIFS(Units!$E:$E, $B27, Units!$M:$M, "&lt;&gt;1", Units!$I:$I, $C27)
)
</f>
        <v>3</v>
      </c>
      <c r="AQ27" s="94">
        <f>IF($C27="All",COUNTIFS(Units!$E:$E, $B27, Units!$S:$S, "*Maneouverable*"),COUNTIFS(Units!$E:$E, $B27, Units!$S:$S, "*Maneouverable*", Units!$I:$I, $C27)
)
</f>
        <v>0</v>
      </c>
      <c r="AR27" s="96">
        <f>IF($C27="All", 
    AVERAGEIFS(Units!$Q:$Q, Units!$E:$E, $B27, Units!$AY:$AY, false), 
    AVERAGEIFS(Units!$Q:$Q, Units!$E:$E, $B27, Units!$I:$I, $C27, Units!$AY:$AY, false)
)
</f>
        <v>5.5</v>
      </c>
      <c r="AS27" s="85">
        <f>IF($C27="All",COUNTIFS(Units!$E:$E, $B27, Units!$Q:$Q, "&lt;&gt;1"),COUNTIFS(Units!$E:$E, $B27, Units!$Q:$Q, "&lt;&gt;1", Units!$I:$I, $C27)
)</f>
        <v>5</v>
      </c>
      <c r="AT27" s="85">
        <f>AS27 - IF($C27="All",COUNTIFS(Units!$E:$E, $B27, Units!$Q:$Q, 2),COUNTIFS(Units!$E:$E, $B27, Units!$Q:$Q, 2, Units!$I:$I, $C27)
)</f>
        <v>5</v>
      </c>
      <c r="AU27" s="96">
        <f>IF($C27="All", 
    AVERAGEIFS(Units!$AQ:$AQ, Units!$E:$E, $B27, Units!$AY:$AY, false), 
    AVERAGEIFS(Units!$AQ:$AQ, Units!$E:$E, $B27, Units!$I:$I, $C27, Units!$AY:$AY, false)
)
</f>
        <v>5.5</v>
      </c>
      <c r="AV27" s="96">
        <f>IF($C27="All", 
    AVERAGEIFS(Units!$AR:$AR, Units!$E:$E, $B27, Units!$AY:$AY, false), 
    AVERAGEIFS(Units!$AR:$AR, Units!$E:$E, $B27, Units!$I:$I, $C27, Units!$AY:$AY, false)
)</f>
        <v>8.875</v>
      </c>
      <c r="AW27" s="96">
        <f>IF($C27="All", 
    AVERAGEIFS(Units!$AW:$AW, Units!$E:$E, $B27, Units!$AY:$AY, false), 
    AVERAGEIFS(Units!$AW:$AW, Units!$E:$E, $B27, Units!$I:$I, $C27, Units!$AY:$AY, false)
)
</f>
        <v>2.5</v>
      </c>
    </row>
    <row r="28" ht="22.5" customHeight="1">
      <c r="A28" s="82" t="str">
        <f t="shared" si="1"/>
        <v>06</v>
      </c>
      <c r="B28" s="85" t="str">
        <f>VLOOKUP(A28, Factions!A:B, 2, FALSE)</f>
        <v>Coppersand</v>
      </c>
      <c r="C28" s="83" t="s">
        <v>382</v>
      </c>
      <c r="D28" s="85">
        <f>IF($C28="All",COUNTIFS(Units!$E:$E, $B28),COUNTIFS(Units!$E:$E, $B28, Units!$I:$I, $C28)
)
</f>
        <v>20</v>
      </c>
      <c r="E28" s="87">
        <f>IF($C28="All",COUNTIFS(Units!$E:$E, $B28, Units!$G:$G, E$4),COUNTIFS(Units!$E:$E, $B28, Units!$G:$G, E$4, Units!$I:$I, $C28)
)
</f>
        <v>1</v>
      </c>
      <c r="F28" s="87">
        <f>IF($C28="All",COUNTIFS(Units!$E:$E, $B28, Units!$G:$G, F$4),COUNTIFS(Units!$E:$E, $B28, Units!$G:$G, F$4, Units!$I:$I, $C28)
)
</f>
        <v>2</v>
      </c>
      <c r="G28" s="87">
        <f>IF($C28="All",COUNTIFS(Units!$E:$E, $B28, Units!$G:$G, G$4),COUNTIFS(Units!$E:$E, $B28, Units!$G:$G, G$4, Units!$I:$I, $C28)
)
</f>
        <v>0</v>
      </c>
      <c r="H28" s="87">
        <f>IF($C28="All",COUNTIFS(Units!$E:$E, $B28, Units!$G:$G, H$4),COUNTIFS(Units!$E:$E, $B28, Units!$G:$G, H$4, Units!$I:$I, $C28)
)
</f>
        <v>1</v>
      </c>
      <c r="I28" s="87">
        <f>IF($C28="All",COUNTIFS(Units!$E:$E, $B28, Units!$G:$G, I$4),COUNTIFS(Units!$E:$E, $B28, Units!$G:$G, I$4, Units!$I:$I, $C28)
)
</f>
        <v>1</v>
      </c>
      <c r="J28" s="87">
        <f>IF($C28="All",COUNTIFS(Units!$E:$E, $B28, Units!$G:$G, J$4),COUNTIFS(Units!$E:$E, $B28, Units!$G:$G, J$4, Units!$I:$I, $C28)
)
</f>
        <v>1</v>
      </c>
      <c r="K28" s="87">
        <f>IF($C28="All",COUNTIFS(Units!$E:$E, $B28, Units!$G:$G, K$4),COUNTIFS(Units!$E:$E, $B28, Units!$G:$G, K$4, Units!$I:$I, $C28)
)
</f>
        <v>0</v>
      </c>
      <c r="L28" s="87">
        <f>IF($C28="All",COUNTIFS(Units!$E:$E, $B28, Units!$G:$G, L$4),COUNTIFS(Units!$E:$E, $B28, Units!$G:$G, L$4, Units!$I:$I, $C28)
)
</f>
        <v>0</v>
      </c>
      <c r="M28" s="87"/>
      <c r="N28" s="87">
        <f>IF($C28="All",COUNTIFS(Units!$E:$E, $B28, Units!$G:$G, N$4),COUNTIFS(Units!$E:$E, $B28, Units!$G:$G, N$4, Units!$I:$I, $C28)
)
</f>
        <v>0</v>
      </c>
      <c r="O28" s="87">
        <f>IF($C28="All",COUNTIFS(Units!$E:$E, $B28, Units!$G:$G, O$4),COUNTIFS(Units!$E:$E, $B28, Units!$G:$G, O$4, Units!$I:$I, $C28)
)
</f>
        <v>0</v>
      </c>
      <c r="P28" s="87">
        <f>IF($C28="All",COUNTIFS(Units!$E:$E, $B28, Units!$G:$G, P$4),COUNTIFS(Units!$E:$E, $B28, Units!$G:$G, P$4, Units!$I:$I, $C28)
)
</f>
        <v>3</v>
      </c>
      <c r="Q28" s="87">
        <f>IF($C28="All",COUNTIFS(Units!$E:$E, $B28, Units!$G:$G, Q$4),COUNTIFS(Units!$E:$E, $B28, Units!$G:$G, Q$4, Units!$I:$I, $C28)
)
</f>
        <v>3</v>
      </c>
      <c r="R28" s="87">
        <f>IF($C28="All",COUNTIFS(Units!$E:$E, $B28, Units!$G:$G, R$4),COUNTIFS(Units!$E:$E, $B28, Units!$G:$G, R$4, Units!$I:$I, $C28)
)
</f>
        <v>0</v>
      </c>
      <c r="S28" s="87">
        <f>IF($C28="All",COUNTIFS(Units!$E:$E, $B28, Units!$G:$G, S$4),COUNTIFS(Units!$E:$E, $B28, Units!$G:$G, S$4, Units!$I:$I, $C28)
)
</f>
        <v>0</v>
      </c>
      <c r="T28" s="87">
        <f>IF($C28="All",COUNTIFS(Units!$E:$E, $B28, Units!$G:$G, T$4),COUNTIFS(Units!$E:$E, $B28, Units!$G:$G, T$4, Units!$I:$I, $C28)
)
</f>
        <v>3</v>
      </c>
      <c r="U28" s="87">
        <f>IF($C28="All",COUNTIFS(Units!$E:$E, $B28, Units!$G:$G, U$4),COUNTIFS(Units!$E:$E, $B28, Units!$G:$G, U$4, Units!$I:$I, $C28)
)
</f>
        <v>0</v>
      </c>
      <c r="V28" s="87">
        <f>IF($C28="All",COUNTIFS(Units!$E:$E, $B28, Units!$G:$G, V$4),COUNTIFS(Units!$E:$E, $B28, Units!$G:$G, V$4, Units!$I:$I, $C28)
)
</f>
        <v>0</v>
      </c>
      <c r="W28" s="87">
        <f>IF($C28="All",COUNTIFS(Units!$E:$E, $B28, Units!$G:$G, W$4),COUNTIFS(Units!$E:$E, $B28, Units!$G:$G, W$4, Units!$I:$I, $C28)
)
</f>
        <v>1</v>
      </c>
      <c r="X28" s="87">
        <f>IF($C28="All",COUNTIFS(Units!$E:$E, $B28, Units!$G:$G, X$4),COUNTIFS(Units!$E:$E, $B28, Units!$G:$G, X$4, Units!$I:$I, $C28)
)
</f>
        <v>1</v>
      </c>
      <c r="Y28" s="87">
        <f>IF($C28="All",COUNTIFS(Units!$E:$E, $B28, Units!$G:$G, Y$4),COUNTIFS(Units!$E:$E, $B28, Units!$G:$G, Y$4, Units!$I:$I, $C28)
)
</f>
        <v>1</v>
      </c>
      <c r="Z28" s="87">
        <f>IF($C28="All",COUNTIFS(Units!$E:$E, $B28, Units!$G:$G, Z$4),COUNTIFS(Units!$E:$E, $B28, Units!$G:$G, Z$4, Units!$I:$I, $C28)
)
</f>
        <v>0</v>
      </c>
      <c r="AA28" s="87">
        <f>IF($C28="All",COUNTIFS(Units!$E:$E, $B28, Units!$G:$G, AA$4),COUNTIFS(Units!$E:$E, $B28, Units!$G:$G, AA$4, Units!$I:$I, $C28)
)
</f>
        <v>1</v>
      </c>
      <c r="AB28" s="87">
        <f>IF($C28="All",COUNTIFS(Units!$E:$E, $B28, Units!$G:$G, AB$4),COUNTIFS(Units!$E:$E, $B28, Units!$G:$G, AB$4, Units!$I:$I, $C28)
)
</f>
        <v>1</v>
      </c>
      <c r="AC28" s="87">
        <f>IF($C28="All",COUNTIFS(Units!$E:$E, $B28, Units!$G:$G, AC$4),COUNTIFS(Units!$E:$E, $B28, Units!$G:$G, AC$4, Units!$I:$I, $C28)
)
</f>
        <v>0</v>
      </c>
      <c r="AD28" s="87">
        <f t="shared" si="2"/>
        <v>4</v>
      </c>
      <c r="AE28" s="87">
        <f t="shared" si="3"/>
        <v>0</v>
      </c>
      <c r="AF28" s="87">
        <f t="shared" si="4"/>
        <v>5</v>
      </c>
      <c r="AG28" s="91">
        <f t="shared" si="5"/>
        <v>6</v>
      </c>
      <c r="AH28" s="85">
        <f>IF($C28=1,COUNTIFS(Units!$E:$E, $B28, Units!$J:$J, 1, Units!$I:$I, 1),0)
</f>
        <v>0</v>
      </c>
      <c r="AI28" s="85">
        <f>IF($C28=1,COUNTIFS(Units!$E:$E, $B28, Units!$J:$J, 2, Units!$I:$I, 1),0)
</f>
        <v>0</v>
      </c>
      <c r="AJ28" s="94">
        <f>IF($C28=1,COUNTIFS(Units!$E:$E, $B28, Units!$J:$J, 3, Units!$I:$I, 1),0)
</f>
        <v>0</v>
      </c>
      <c r="AK28" s="85">
        <f>IF($C28="All",COUNTIFS(Units!$E:$E, $B28, Units!$R:$R, "-"),COUNTIFS(Units!$E:$E, $B28, Units!$R:$R, "-", Units!$I:$I, $C28)
)
</f>
        <v>1</v>
      </c>
      <c r="AL28" s="85">
        <f>IF($C28="All",COUNTIFS(Units!$E:$E, $B28, Units!$R:$R, 6),COUNTIFS(Units!$E:$E, $B28, Units!$R:$R, 6, Units!$I:$I, $C28)
)
</f>
        <v>4</v>
      </c>
      <c r="AM28" s="85">
        <f>IF($C28="All",COUNTIFS(Units!$E:$E, $B28, Units!$R:$R, 5),COUNTIFS(Units!$E:$E, $B28, Units!$R:$R, 5, Units!$I:$I, $C28)
)
</f>
        <v>11</v>
      </c>
      <c r="AN28" s="85">
        <f>IF($C28="All",COUNTIFS(Units!$E:$E, $B28, Units!$R:$R, 4),COUNTIFS(Units!$E:$E, $B28, Units!$R:$R, 4, Units!$I:$I, $C28)
)
</f>
        <v>3</v>
      </c>
      <c r="AO28" s="94">
        <f>IF($C28="All",COUNTIFS(Units!$E:$E, $B28, Units!$R:$R, 3),COUNTIFS(Units!$E:$E, $B28, Units!$R:$R, 3, Units!$I:$I, $C28)
)
</f>
        <v>1</v>
      </c>
      <c r="AP28" s="85">
        <f>IF($C28="All",COUNTIFS(Units!$E:$E, $B28, Units!$M:$M, "&lt;&gt;1"),COUNTIFS(Units!$E:$E, $B28, Units!$M:$M, "&lt;&gt;1", Units!$I:$I, $C28)
)
</f>
        <v>5</v>
      </c>
      <c r="AQ28" s="94">
        <f>IF($C28="All",COUNTIFS(Units!$E:$E, $B28, Units!$S:$S, "*Maneouverable*"),COUNTIFS(Units!$E:$E, $B28, Units!$S:$S, "*Maneouverable*", Units!$I:$I, $C28)
)
</f>
        <v>0</v>
      </c>
      <c r="AR28" s="96">
        <f>IF($C28="All", 
    AVERAGEIFS(Units!$Q:$Q, Units!$E:$E, $B28, Units!$AY:$AY, false), 
    AVERAGEIFS(Units!$Q:$Q, Units!$E:$E, $B28, Units!$I:$I, $C28, Units!$AY:$AY, false)
)
</f>
        <v>3.25</v>
      </c>
      <c r="AS28" s="85">
        <f>IF($C28="All",COUNTIFS(Units!$E:$E, $B28, Units!$Q:$Q, "&lt;&gt;1"),COUNTIFS(Units!$E:$E, $B28, Units!$Q:$Q, "&lt;&gt;1", Units!$I:$I, $C28)
)</f>
        <v>14</v>
      </c>
      <c r="AT28" s="85">
        <f>AS28 - IF($C28="All",COUNTIFS(Units!$E:$E, $B28, Units!$Q:$Q, 2),COUNTIFS(Units!$E:$E, $B28, Units!$Q:$Q, 2, Units!$I:$I, $C28)
)</f>
        <v>12</v>
      </c>
      <c r="AU28" s="96">
        <f>IF($C28="All", 
    AVERAGEIFS(Units!$AQ:$AQ, Units!$E:$E, $B28, Units!$AY:$AY, false), 
    AVERAGEIFS(Units!$AQ:$AQ, Units!$E:$E, $B28, Units!$I:$I, $C28, Units!$AY:$AY, false)
)
</f>
        <v>5.625</v>
      </c>
      <c r="AV28" s="96">
        <f>IF($C28="All", 
    AVERAGEIFS(Units!$AR:$AR, Units!$E:$E, $B28, Units!$AY:$AY, false), 
    AVERAGEIFS(Units!$AR:$AR, Units!$E:$E, $B28, Units!$I:$I, $C28, Units!$AY:$AY, false)
)</f>
        <v>9.0625</v>
      </c>
      <c r="AW28" s="96">
        <f>IF($C28="All", 
    AVERAGEIFS(Units!$AW:$AW, Units!$E:$E, $B28, Units!$AY:$AY, false), 
    AVERAGEIFS(Units!$AW:$AW, Units!$E:$E, $B28, Units!$I:$I, $C28, Units!$AY:$AY, false)
)
</f>
        <v>2.364583333</v>
      </c>
    </row>
    <row r="29" ht="22.5" hidden="1" customHeight="1">
      <c r="A29" s="82" t="str">
        <f t="shared" si="1"/>
        <v>07</v>
      </c>
      <c r="B29" s="85" t="str">
        <f>VLOOKUP(A29, Factions!A:B, 2, FALSE)</f>
        <v>Scaled Empire</v>
      </c>
      <c r="C29" s="83">
        <v>1.0</v>
      </c>
      <c r="D29" s="85">
        <f>IF($C29="All",COUNTIFS(Units!$E:$E, $B29),COUNTIFS(Units!$E:$E, $B29, Units!$I:$I, $C29)
)
</f>
        <v>6</v>
      </c>
      <c r="E29" s="85">
        <f>IF($C29="All",COUNTIFS(Units!$E:$E, $B29, Units!$G:$G, E$4),COUNTIFS(Units!$E:$E, $B29, Units!$G:$G, E$4, Units!$I:$I, $C29)
)
</f>
        <v>1</v>
      </c>
      <c r="F29" s="85">
        <f>IF($C29="All",COUNTIFS(Units!$E:$E, $B29, Units!$G:$G, F$4),COUNTIFS(Units!$E:$E, $B29, Units!$G:$G, F$4, Units!$I:$I, $C29)
)
</f>
        <v>2</v>
      </c>
      <c r="G29" s="85">
        <f>IF($C29="All",COUNTIFS(Units!$E:$E, $B29, Units!$G:$G, G$4),COUNTIFS(Units!$E:$E, $B29, Units!$G:$G, G$4, Units!$I:$I, $C29)
)
</f>
        <v>1</v>
      </c>
      <c r="H29" s="85">
        <f>IF($C29="All",COUNTIFS(Units!$E:$E, $B29, Units!$G:$G, H$4),COUNTIFS(Units!$E:$E, $B29, Units!$G:$G, H$4, Units!$I:$I, $C29)
)
</f>
        <v>1</v>
      </c>
      <c r="I29" s="85">
        <f>IF($C29="All",COUNTIFS(Units!$E:$E, $B29, Units!$G:$G, I$4),COUNTIFS(Units!$E:$E, $B29, Units!$G:$G, I$4, Units!$I:$I, $C29)
)
</f>
        <v>1</v>
      </c>
      <c r="J29" s="85">
        <f>IF($C29="All",COUNTIFS(Units!$E:$E, $B29, Units!$G:$G, J$4),COUNTIFS(Units!$E:$E, $B29, Units!$G:$G, J$4, Units!$I:$I, $C29)
)
</f>
        <v>0</v>
      </c>
      <c r="K29" s="85">
        <f>IF($C29="All",COUNTIFS(Units!$E:$E, $B29, Units!$G:$G, K$4),COUNTIFS(Units!$E:$E, $B29, Units!$G:$G, K$4, Units!$I:$I, $C29)
)
</f>
        <v>0</v>
      </c>
      <c r="L29" s="85">
        <f>IF($C29="All",COUNTIFS(Units!$E:$E, $B29, Units!$G:$G, L$4),COUNTIFS(Units!$E:$E, $B29, Units!$G:$G, L$4, Units!$I:$I, $C29)
)
</f>
        <v>0</v>
      </c>
      <c r="N29" s="85">
        <f>IF($C29="All",COUNTIFS(Units!$E:$E, $B29, Units!$G:$G, N$4),COUNTIFS(Units!$E:$E, $B29, Units!$G:$G, N$4, Units!$I:$I, $C29)
)
</f>
        <v>0</v>
      </c>
      <c r="O29" s="85">
        <f>IF($C29="All",COUNTIFS(Units!$E:$E, $B29, Units!$G:$G, O$4),COUNTIFS(Units!$E:$E, $B29, Units!$G:$G, O$4, Units!$I:$I, $C29)
)
</f>
        <v>0</v>
      </c>
      <c r="P29" s="85">
        <f>IF($C29="All",COUNTIFS(Units!$E:$E, $B29, Units!$G:$G, P$4),COUNTIFS(Units!$E:$E, $B29, Units!$G:$G, P$4, Units!$I:$I, $C29)
)
</f>
        <v>0</v>
      </c>
      <c r="Q29" s="85">
        <f>IF($C29="All",COUNTIFS(Units!$E:$E, $B29, Units!$G:$G, Q$4),COUNTIFS(Units!$E:$E, $B29, Units!$G:$G, Q$4, Units!$I:$I, $C29)
)
</f>
        <v>0</v>
      </c>
      <c r="R29" s="85">
        <f>IF($C29="All",COUNTIFS(Units!$E:$E, $B29, Units!$G:$G, R$4),COUNTIFS(Units!$E:$E, $B29, Units!$G:$G, R$4, Units!$I:$I, $C29)
)
</f>
        <v>0</v>
      </c>
      <c r="S29" s="85">
        <f>IF($C29="All",COUNTIFS(Units!$E:$E, $B29, Units!$G:$G, S$4),COUNTIFS(Units!$E:$E, $B29, Units!$G:$G, S$4, Units!$I:$I, $C29)
)
</f>
        <v>0</v>
      </c>
      <c r="T29" s="87">
        <f>IF($C29="All",COUNTIFS(Units!$E:$E, $B29, Units!$G:$G, T$4),COUNTIFS(Units!$E:$E, $B29, Units!$G:$G, T$4, Units!$I:$I, $C29)
)
</f>
        <v>0</v>
      </c>
      <c r="U29" s="87">
        <f>IF($C29="All",COUNTIFS(Units!$E:$E, $B29, Units!$G:$G, U$4),COUNTIFS(Units!$E:$E, $B29, Units!$G:$G, U$4, Units!$I:$I, $C29)
)
</f>
        <v>0</v>
      </c>
      <c r="V29" s="87">
        <f>IF($C29="All",COUNTIFS(Units!$E:$E, $B29, Units!$G:$G, V$4),COUNTIFS(Units!$E:$E, $B29, Units!$G:$G, V$4, Units!$I:$I, $C29)
)
</f>
        <v>0</v>
      </c>
      <c r="W29" s="87">
        <f>IF($C29="All",COUNTIFS(Units!$E:$E, $B29, Units!$G:$G, W$4),COUNTIFS(Units!$E:$E, $B29, Units!$G:$G, W$4, Units!$I:$I, $C29)
)
</f>
        <v>0</v>
      </c>
      <c r="X29" s="87">
        <f>IF($C29="All",COUNTIFS(Units!$E:$E, $B29, Units!$G:$G, X$4),COUNTIFS(Units!$E:$E, $B29, Units!$G:$G, X$4, Units!$I:$I, $C29)
)
</f>
        <v>0</v>
      </c>
      <c r="Y29" s="87">
        <f>IF($C29="All",COUNTIFS(Units!$E:$E, $B29, Units!$G:$G, Y$4),COUNTIFS(Units!$E:$E, $B29, Units!$G:$G, Y$4, Units!$I:$I, $C29)
)
</f>
        <v>0</v>
      </c>
      <c r="Z29" s="87">
        <f>IF($C29="All",COUNTIFS(Units!$E:$E, $B29, Units!$G:$G, Z$4),COUNTIFS(Units!$E:$E, $B29, Units!$G:$G, Z$4, Units!$I:$I, $C29)
)
</f>
        <v>0</v>
      </c>
      <c r="AA29" s="87">
        <f>IF($C29="All",COUNTIFS(Units!$E:$E, $B29, Units!$G:$G, AA$4),COUNTIFS(Units!$E:$E, $B29, Units!$G:$G, AA$4, Units!$I:$I, $C29)
)
</f>
        <v>0</v>
      </c>
      <c r="AB29" s="87">
        <f>IF($C29="All",COUNTIFS(Units!$E:$E, $B29, Units!$G:$G, AB$4),COUNTIFS(Units!$E:$E, $B29, Units!$G:$G, AB$4, Units!$I:$I, $C29)
)
</f>
        <v>0</v>
      </c>
      <c r="AC29" s="87">
        <f>IF($C29="All",COUNTIFS(Units!$E:$E, $B29, Units!$G:$G, AC$4),COUNTIFS(Units!$E:$E, $B29, Units!$G:$G, AC$4, Units!$I:$I, $C29)
)
</f>
        <v>0</v>
      </c>
      <c r="AD29" s="85">
        <f t="shared" si="2"/>
        <v>4</v>
      </c>
      <c r="AE29" s="85">
        <f t="shared" si="3"/>
        <v>0</v>
      </c>
      <c r="AF29" s="87">
        <f t="shared" si="4"/>
        <v>2</v>
      </c>
      <c r="AG29" s="91">
        <f t="shared" si="5"/>
        <v>0</v>
      </c>
      <c r="AJ29" s="94"/>
      <c r="AO29" s="94"/>
      <c r="AP29" s="85">
        <f>IF($C29="All",COUNTIFS(Units!$E:$E, $B29, Units!$M:$M, "&lt;&gt;1"),COUNTIFS(Units!$E:$E, $B29, Units!$M:$M, "&lt;&gt;1", Units!$I:$I, $C29)
)
</f>
        <v>0</v>
      </c>
      <c r="AQ29" s="94">
        <f>IF($C29="All",COUNTIFS(Units!$E:$E, $B29, Units!$S:$S, "*Maneouverable*"),COUNTIFS(Units!$E:$E, $B29, Units!$S:$S, "*Maneouverable*", Units!$I:$I, $C29)
)
</f>
        <v>0</v>
      </c>
      <c r="AR29" s="96">
        <f>IF($C29="All", 
    AVERAGEIFS(Units!$Q:$Q, Units!$E:$E, $B29, Units!$AY:$AY, false), 
    AVERAGEIFS(Units!$Q:$Q, Units!$E:$E, $B29, Units!$I:$I, $C29, Units!$AY:$AY, false)
)
</f>
        <v>1</v>
      </c>
      <c r="AS29" s="85">
        <f>IF($C29="All",COUNTIFS(Units!$E:$E, $B29, Units!$Q:$Q, "&lt;&gt;1"),COUNTIFS(Units!$E:$E, $B29, Units!$Q:$Q, "&lt;&gt;1", Units!$I:$I, $C29)
)</f>
        <v>0</v>
      </c>
      <c r="AT29" s="85">
        <f>AS29 - IF($C29="All",COUNTIFS(Units!$E:$E, $B29, Units!$Q:$Q, 2),COUNTIFS(Units!$E:$E, $B29, Units!$Q:$Q, 2, Units!$I:$I, $C29)
)</f>
        <v>0</v>
      </c>
      <c r="AU29" s="96">
        <f>IF($C29="All", 
    AVERAGEIFS(Units!$AQ:$AQ, Units!$E:$E, $B29, Units!$AY:$AY, false), 
    AVERAGEIFS(Units!$AQ:$AQ, Units!$E:$E, $B29, Units!$I:$I, $C29, Units!$AY:$AY, false)
)
</f>
        <v>6</v>
      </c>
      <c r="AV29" s="96">
        <f>IF($C29="All", 
    AVERAGEIFS(Units!$AR:$AR, Units!$E:$E, $B29, Units!$AY:$AY, false), 
    AVERAGEIFS(Units!$AR:$AR, Units!$E:$E, $B29, Units!$I:$I, $C29, Units!$AY:$AY, false)
)</f>
        <v>8.6</v>
      </c>
      <c r="AW29" s="96">
        <f>IF($C29="All", 
    AVERAGEIFS(Units!$AW:$AW, Units!$E:$E, $B29, Units!$AY:$AY, false), 
    AVERAGEIFS(Units!$AW:$AW, Units!$E:$E, $B29, Units!$I:$I, $C29, Units!$AY:$AY, false)
)
</f>
        <v>2.5</v>
      </c>
    </row>
    <row r="30" ht="22.5" hidden="1" customHeight="1">
      <c r="A30" s="82" t="str">
        <f t="shared" si="1"/>
        <v>07</v>
      </c>
      <c r="B30" s="85" t="str">
        <f>VLOOKUP(A30, Factions!A:B, 2, FALSE)</f>
        <v>Scaled Empire</v>
      </c>
      <c r="C30" s="83">
        <v>2.0</v>
      </c>
      <c r="D30" s="85">
        <f>IF($C30="All",COUNTIFS(Units!$E:$E, $B30),COUNTIFS(Units!$E:$E, $B30, Units!$I:$I, $C30)
)
</f>
        <v>9</v>
      </c>
      <c r="E30" s="85">
        <f>IF($C30="All",COUNTIFS(Units!$E:$E, $B30, Units!$G:$G, E$4),COUNTIFS(Units!$E:$E, $B30, Units!$G:$G, E$4, Units!$I:$I, $C30)
)
</f>
        <v>0</v>
      </c>
      <c r="F30" s="85">
        <f>IF($C30="All",COUNTIFS(Units!$E:$E, $B30, Units!$G:$G, F$4),COUNTIFS(Units!$E:$E, $B30, Units!$G:$G, F$4, Units!$I:$I, $C30)
)
</f>
        <v>0</v>
      </c>
      <c r="G30" s="85">
        <f>IF($C30="All",COUNTIFS(Units!$E:$E, $B30, Units!$G:$G, G$4),COUNTIFS(Units!$E:$E, $B30, Units!$G:$G, G$4, Units!$I:$I, $C30)
)
</f>
        <v>0</v>
      </c>
      <c r="H30" s="85">
        <f>IF($C30="All",COUNTIFS(Units!$E:$E, $B30, Units!$G:$G, H$4),COUNTIFS(Units!$E:$E, $B30, Units!$G:$G, H$4, Units!$I:$I, $C30)
)
</f>
        <v>1</v>
      </c>
      <c r="I30" s="85">
        <f>IF($C30="All",COUNTIFS(Units!$E:$E, $B30, Units!$G:$G, I$4),COUNTIFS(Units!$E:$E, $B30, Units!$G:$G, I$4, Units!$I:$I, $C30)
)
</f>
        <v>1</v>
      </c>
      <c r="J30" s="85">
        <f>IF($C30="All",COUNTIFS(Units!$E:$E, $B30, Units!$G:$G, J$4),COUNTIFS(Units!$E:$E, $B30, Units!$G:$G, J$4, Units!$I:$I, $C30)
)
</f>
        <v>1</v>
      </c>
      <c r="K30" s="85">
        <f>IF($C30="All",COUNTIFS(Units!$E:$E, $B30, Units!$G:$G, K$4),COUNTIFS(Units!$E:$E, $B30, Units!$G:$G, K$4, Units!$I:$I, $C30)
)
</f>
        <v>0</v>
      </c>
      <c r="L30" s="85">
        <f>IF($C30="All",COUNTIFS(Units!$E:$E, $B30, Units!$G:$G, L$4),COUNTIFS(Units!$E:$E, $B30, Units!$G:$G, L$4, Units!$I:$I, $C30)
)
</f>
        <v>1</v>
      </c>
      <c r="N30" s="85">
        <f>IF($C30="All",COUNTIFS(Units!$E:$E, $B30, Units!$G:$G, N$4),COUNTIFS(Units!$E:$E, $B30, Units!$G:$G, N$4, Units!$I:$I, $C30)
)
</f>
        <v>0</v>
      </c>
      <c r="O30" s="85">
        <f>IF($C30="All",COUNTIFS(Units!$E:$E, $B30, Units!$G:$G, O$4),COUNTIFS(Units!$E:$E, $B30, Units!$G:$G, O$4, Units!$I:$I, $C30)
)
</f>
        <v>1</v>
      </c>
      <c r="P30" s="85">
        <f>IF($C30="All",COUNTIFS(Units!$E:$E, $B30, Units!$G:$G, P$4),COUNTIFS(Units!$E:$E, $B30, Units!$G:$G, P$4, Units!$I:$I, $C30)
)
</f>
        <v>0</v>
      </c>
      <c r="Q30" s="85">
        <f>IF($C30="All",COUNTIFS(Units!$E:$E, $B30, Units!$G:$G, Q$4),COUNTIFS(Units!$E:$E, $B30, Units!$G:$G, Q$4, Units!$I:$I, $C30)
)
</f>
        <v>3</v>
      </c>
      <c r="R30" s="85">
        <f>IF($C30="All",COUNTIFS(Units!$E:$E, $B30, Units!$G:$G, R$4),COUNTIFS(Units!$E:$E, $B30, Units!$G:$G, R$4, Units!$I:$I, $C30)
)
</f>
        <v>0</v>
      </c>
      <c r="S30" s="85">
        <f>IF($C30="All",COUNTIFS(Units!$E:$E, $B30, Units!$G:$G, S$4),COUNTIFS(Units!$E:$E, $B30, Units!$G:$G, S$4, Units!$I:$I, $C30)
)
</f>
        <v>0</v>
      </c>
      <c r="T30" s="87">
        <f>IF($C30="All",COUNTIFS(Units!$E:$E, $B30, Units!$G:$G, T$4),COUNTIFS(Units!$E:$E, $B30, Units!$G:$G, T$4, Units!$I:$I, $C30)
)
</f>
        <v>0</v>
      </c>
      <c r="U30" s="87">
        <f>IF($C30="All",COUNTIFS(Units!$E:$E, $B30, Units!$G:$G, U$4),COUNTIFS(Units!$E:$E, $B30, Units!$G:$G, U$4, Units!$I:$I, $C30)
)
</f>
        <v>0</v>
      </c>
      <c r="V30" s="87">
        <f>IF($C30="All",COUNTIFS(Units!$E:$E, $B30, Units!$G:$G, V$4),COUNTIFS(Units!$E:$E, $B30, Units!$G:$G, V$4, Units!$I:$I, $C30)
)
</f>
        <v>0</v>
      </c>
      <c r="W30" s="87">
        <f>IF($C30="All",COUNTIFS(Units!$E:$E, $B30, Units!$G:$G, W$4),COUNTIFS(Units!$E:$E, $B30, Units!$G:$G, W$4, Units!$I:$I, $C30)
)
</f>
        <v>0</v>
      </c>
      <c r="X30" s="87">
        <f>IF($C30="All",COUNTIFS(Units!$E:$E, $B30, Units!$G:$G, X$4),COUNTIFS(Units!$E:$E, $B30, Units!$G:$G, X$4, Units!$I:$I, $C30)
)
</f>
        <v>0</v>
      </c>
      <c r="Y30" s="87">
        <f>IF($C30="All",COUNTIFS(Units!$E:$E, $B30, Units!$G:$G, Y$4),COUNTIFS(Units!$E:$E, $B30, Units!$G:$G, Y$4, Units!$I:$I, $C30)
)
</f>
        <v>0</v>
      </c>
      <c r="Z30" s="87">
        <f>IF($C30="All",COUNTIFS(Units!$E:$E, $B30, Units!$G:$G, Z$4),COUNTIFS(Units!$E:$E, $B30, Units!$G:$G, Z$4, Units!$I:$I, $C30)
)
</f>
        <v>0</v>
      </c>
      <c r="AA30" s="87">
        <f>IF($C30="All",COUNTIFS(Units!$E:$E, $B30, Units!$G:$G, AA$4),COUNTIFS(Units!$E:$E, $B30, Units!$G:$G, AA$4, Units!$I:$I, $C30)
)
</f>
        <v>0</v>
      </c>
      <c r="AB30" s="87">
        <f>IF($C30="All",COUNTIFS(Units!$E:$E, $B30, Units!$G:$G, AB$4),COUNTIFS(Units!$E:$E, $B30, Units!$G:$G, AB$4, Units!$I:$I, $C30)
)
</f>
        <v>0</v>
      </c>
      <c r="AC30" s="87">
        <f>IF($C30="All",COUNTIFS(Units!$E:$E, $B30, Units!$G:$G, AC$4),COUNTIFS(Units!$E:$E, $B30, Units!$G:$G, AC$4, Units!$I:$I, $C30)
)
</f>
        <v>0</v>
      </c>
      <c r="AD30" s="85">
        <f t="shared" si="2"/>
        <v>3</v>
      </c>
      <c r="AE30" s="85">
        <f t="shared" si="3"/>
        <v>2</v>
      </c>
      <c r="AF30" s="87">
        <f t="shared" si="4"/>
        <v>3</v>
      </c>
      <c r="AG30" s="91">
        <f t="shared" si="5"/>
        <v>0</v>
      </c>
      <c r="AJ30" s="94"/>
      <c r="AO30" s="94"/>
      <c r="AP30" s="85">
        <f>IF($C30="All",COUNTIFS(Units!$E:$E, $B30, Units!$M:$M, "&lt;&gt;1"),COUNTIFS(Units!$E:$E, $B30, Units!$M:$M, "&lt;&gt;1", Units!$I:$I, $C30)
)
</f>
        <v>3</v>
      </c>
      <c r="AQ30" s="94">
        <f>IF($C30="All",COUNTIFS(Units!$E:$E, $B30, Units!$S:$S, "*Maneouverable*"),COUNTIFS(Units!$E:$E, $B30, Units!$S:$S, "*Maneouverable*", Units!$I:$I, $C30)
)
</f>
        <v>0</v>
      </c>
      <c r="AR30" s="96">
        <f>IF($C30="All", 
    AVERAGEIFS(Units!$Q:$Q, Units!$E:$E, $B30, Units!$AY:$AY, false), 
    AVERAGEIFS(Units!$Q:$Q, Units!$E:$E, $B30, Units!$I:$I, $C30, Units!$AY:$AY, false)
)
</f>
        <v>1.333333333</v>
      </c>
      <c r="AS30" s="85">
        <f>IF($C30="All",COUNTIFS(Units!$E:$E, $B30, Units!$Q:$Q, "&lt;&gt;1"),COUNTIFS(Units!$E:$E, $B30, Units!$Q:$Q, "&lt;&gt;1", Units!$I:$I, $C30)
)</f>
        <v>5</v>
      </c>
      <c r="AT30" s="85">
        <f>AS30 - IF($C30="All",COUNTIFS(Units!$E:$E, $B30, Units!$Q:$Q, 2),COUNTIFS(Units!$E:$E, $B30, Units!$Q:$Q, 2, Units!$I:$I, $C30)
)</f>
        <v>3</v>
      </c>
      <c r="AU30" s="96">
        <f>IF($C30="All", 
    AVERAGEIFS(Units!$AQ:$AQ, Units!$E:$E, $B30, Units!$AY:$AY, false), 
    AVERAGEIFS(Units!$AQ:$AQ, Units!$E:$E, $B30, Units!$I:$I, $C30, Units!$AY:$AY, false)
)
</f>
        <v>6.333333333</v>
      </c>
      <c r="AV30" s="96">
        <f>IF($C30="All", 
    AVERAGEIFS(Units!$AR:$AR, Units!$E:$E, $B30, Units!$AY:$AY, false), 
    AVERAGEIFS(Units!$AR:$AR, Units!$E:$E, $B30, Units!$I:$I, $C30, Units!$AY:$AY, false)
)</f>
        <v>9.6</v>
      </c>
      <c r="AW30" s="96">
        <f>IF($C30="All", 
    AVERAGEIFS(Units!$AW:$AW, Units!$E:$E, $B30, Units!$AY:$AY, false), 
    AVERAGEIFS(Units!$AW:$AW, Units!$E:$E, $B30, Units!$I:$I, $C30, Units!$AY:$AY, false)
)
</f>
        <v>2.666666667</v>
      </c>
    </row>
    <row r="31" ht="22.5" hidden="1" customHeight="1">
      <c r="A31" s="82" t="str">
        <f t="shared" si="1"/>
        <v>07</v>
      </c>
      <c r="B31" s="85" t="str">
        <f>VLOOKUP(A31, Factions!A:B, 2, FALSE)</f>
        <v>Scaled Empire</v>
      </c>
      <c r="C31" s="83">
        <v>3.0</v>
      </c>
      <c r="D31" s="85">
        <f>IF($C31="All",COUNTIFS(Units!$E:$E, $B31),COUNTIFS(Units!$E:$E, $B31, Units!$I:$I, $C31)
)
</f>
        <v>5</v>
      </c>
      <c r="E31" s="85">
        <f>IF($C31="All",COUNTIFS(Units!$E:$E, $B31, Units!$G:$G, E$4),COUNTIFS(Units!$E:$E, $B31, Units!$G:$G, E$4, Units!$I:$I, $C31)
)
</f>
        <v>0</v>
      </c>
      <c r="F31" s="85">
        <f>IF($C31="All",COUNTIFS(Units!$E:$E, $B31, Units!$G:$G, F$4),COUNTIFS(Units!$E:$E, $B31, Units!$G:$G, F$4, Units!$I:$I, $C31)
)
</f>
        <v>0</v>
      </c>
      <c r="G31" s="85">
        <f>IF($C31="All",COUNTIFS(Units!$E:$E, $B31, Units!$G:$G, G$4),COUNTIFS(Units!$E:$E, $B31, Units!$G:$G, G$4, Units!$I:$I, $C31)
)
</f>
        <v>0</v>
      </c>
      <c r="H31" s="85">
        <f>IF($C31="All",COUNTIFS(Units!$E:$E, $B31, Units!$G:$G, H$4),COUNTIFS(Units!$E:$E, $B31, Units!$G:$G, H$4, Units!$I:$I, $C31)
)
</f>
        <v>0</v>
      </c>
      <c r="I31" s="85">
        <f>IF($C31="All",COUNTIFS(Units!$E:$E, $B31, Units!$G:$G, I$4),COUNTIFS(Units!$E:$E, $B31, Units!$G:$G, I$4, Units!$I:$I, $C31)
)
</f>
        <v>0</v>
      </c>
      <c r="J31" s="85">
        <f>IF($C31="All",COUNTIFS(Units!$E:$E, $B31, Units!$G:$G, J$4),COUNTIFS(Units!$E:$E, $B31, Units!$G:$G, J$4, Units!$I:$I, $C31)
)
</f>
        <v>0</v>
      </c>
      <c r="K31" s="85">
        <f>IF($C31="All",COUNTIFS(Units!$E:$E, $B31, Units!$G:$G, K$4),COUNTIFS(Units!$E:$E, $B31, Units!$G:$G, K$4, Units!$I:$I, $C31)
)
</f>
        <v>0</v>
      </c>
      <c r="L31" s="85">
        <f>IF($C31="All",COUNTIFS(Units!$E:$E, $B31, Units!$G:$G, L$4),COUNTIFS(Units!$E:$E, $B31, Units!$G:$G, L$4, Units!$I:$I, $C31)
)
</f>
        <v>0</v>
      </c>
      <c r="N31" s="85">
        <f>IF($C31="All",COUNTIFS(Units!$E:$E, $B31, Units!$G:$G, N$4),COUNTIFS(Units!$E:$E, $B31, Units!$G:$G, N$4, Units!$I:$I, $C31)
)
</f>
        <v>0</v>
      </c>
      <c r="O31" s="85">
        <f>IF($C31="All",COUNTIFS(Units!$E:$E, $B31, Units!$G:$G, O$4),COUNTIFS(Units!$E:$E, $B31, Units!$G:$G, O$4, Units!$I:$I, $C31)
)
</f>
        <v>0</v>
      </c>
      <c r="P31" s="85">
        <f>IF($C31="All",COUNTIFS(Units!$E:$E, $B31, Units!$G:$G, P$4),COUNTIFS(Units!$E:$E, $B31, Units!$G:$G, P$4, Units!$I:$I, $C31)
)
</f>
        <v>0</v>
      </c>
      <c r="Q31" s="85">
        <f>IF($C31="All",COUNTIFS(Units!$E:$E, $B31, Units!$G:$G, Q$4),COUNTIFS(Units!$E:$E, $B31, Units!$G:$G, Q$4, Units!$I:$I, $C31)
)
</f>
        <v>0</v>
      </c>
      <c r="R31" s="85">
        <f>IF($C31="All",COUNTIFS(Units!$E:$E, $B31, Units!$G:$G, R$4),COUNTIFS(Units!$E:$E, $B31, Units!$G:$G, R$4, Units!$I:$I, $C31)
)
</f>
        <v>0</v>
      </c>
      <c r="S31" s="85">
        <f>IF($C31="All",COUNTIFS(Units!$E:$E, $B31, Units!$G:$G, S$4),COUNTIFS(Units!$E:$E, $B31, Units!$G:$G, S$4, Units!$I:$I, $C31)
)
</f>
        <v>0</v>
      </c>
      <c r="T31" s="87">
        <f>IF($C31="All",COUNTIFS(Units!$E:$E, $B31, Units!$G:$G, T$4),COUNTIFS(Units!$E:$E, $B31, Units!$G:$G, T$4, Units!$I:$I, $C31)
)
</f>
        <v>0</v>
      </c>
      <c r="U31" s="87">
        <f>IF($C31="All",COUNTIFS(Units!$E:$E, $B31, Units!$G:$G, U$4),COUNTIFS(Units!$E:$E, $B31, Units!$G:$G, U$4, Units!$I:$I, $C31)
)
</f>
        <v>1</v>
      </c>
      <c r="V31" s="87">
        <f>IF($C31="All",COUNTIFS(Units!$E:$E, $B31, Units!$G:$G, V$4),COUNTIFS(Units!$E:$E, $B31, Units!$G:$G, V$4, Units!$I:$I, $C31)
)
</f>
        <v>1</v>
      </c>
      <c r="W31" s="87">
        <f>IF($C31="All",COUNTIFS(Units!$E:$E, $B31, Units!$G:$G, W$4),COUNTIFS(Units!$E:$E, $B31, Units!$G:$G, W$4, Units!$I:$I, $C31)
)
</f>
        <v>0</v>
      </c>
      <c r="X31" s="87">
        <f>IF($C31="All",COUNTIFS(Units!$E:$E, $B31, Units!$G:$G, X$4),COUNTIFS(Units!$E:$E, $B31, Units!$G:$G, X$4, Units!$I:$I, $C31)
)
</f>
        <v>1</v>
      </c>
      <c r="Y31" s="87">
        <f>IF($C31="All",COUNTIFS(Units!$E:$E, $B31, Units!$G:$G, Y$4),COUNTIFS(Units!$E:$E, $B31, Units!$G:$G, Y$4, Units!$I:$I, $C31)
)
</f>
        <v>1</v>
      </c>
      <c r="Z31" s="87">
        <f>IF($C31="All",COUNTIFS(Units!$E:$E, $B31, Units!$G:$G, Z$4),COUNTIFS(Units!$E:$E, $B31, Units!$G:$G, Z$4, Units!$I:$I, $C31)
)
</f>
        <v>0</v>
      </c>
      <c r="AA31" s="87">
        <f>IF($C31="All",COUNTIFS(Units!$E:$E, $B31, Units!$G:$G, AA$4),COUNTIFS(Units!$E:$E, $B31, Units!$G:$G, AA$4, Units!$I:$I, $C31)
)
</f>
        <v>0</v>
      </c>
      <c r="AB31" s="87">
        <f>IF($C31="All",COUNTIFS(Units!$E:$E, $B31, Units!$G:$G, AB$4),COUNTIFS(Units!$E:$E, $B31, Units!$G:$G, AB$4, Units!$I:$I, $C31)
)
</f>
        <v>1</v>
      </c>
      <c r="AC31" s="87">
        <f>IF($C31="All",COUNTIFS(Units!$E:$E, $B31, Units!$G:$G, AC$4),COUNTIFS(Units!$E:$E, $B31, Units!$G:$G, AC$4, Units!$I:$I, $C31)
)
</f>
        <v>0</v>
      </c>
      <c r="AD31" s="85">
        <f t="shared" si="2"/>
        <v>0</v>
      </c>
      <c r="AE31" s="85">
        <f t="shared" si="3"/>
        <v>0</v>
      </c>
      <c r="AF31" s="87">
        <f t="shared" si="4"/>
        <v>0</v>
      </c>
      <c r="AG31" s="91">
        <f t="shared" si="5"/>
        <v>0</v>
      </c>
      <c r="AJ31" s="94"/>
      <c r="AO31" s="94"/>
      <c r="AP31" s="85">
        <f>IF($C31="All",COUNTIFS(Units!$E:$E, $B31, Units!$M:$M, "&lt;&gt;1"),COUNTIFS(Units!$E:$E, $B31, Units!$M:$M, "&lt;&gt;1", Units!$I:$I, $C31)
)
</f>
        <v>1</v>
      </c>
      <c r="AQ31" s="94">
        <f>IF($C31="All",COUNTIFS(Units!$E:$E, $B31, Units!$S:$S, "*Maneouverable*"),COUNTIFS(Units!$E:$E, $B31, Units!$S:$S, "*Maneouverable*", Units!$I:$I, $C31)
)
</f>
        <v>0</v>
      </c>
      <c r="AR31" s="96">
        <f>IF($C31="All", 
    AVERAGEIFS(Units!$Q:$Q, Units!$E:$E, $B31, Units!$AY:$AY, false), 
    AVERAGEIFS(Units!$Q:$Q, Units!$E:$E, $B31, Units!$I:$I, $C31, Units!$AY:$AY, false)
)
</f>
        <v>6.333333333</v>
      </c>
      <c r="AS31" s="85">
        <f>IF($C31="All",COUNTIFS(Units!$E:$E, $B31, Units!$Q:$Q, "&lt;&gt;1"),COUNTIFS(Units!$E:$E, $B31, Units!$Q:$Q, "&lt;&gt;1", Units!$I:$I, $C31)
)</f>
        <v>5</v>
      </c>
      <c r="AT31" s="85">
        <f>AS31 - IF($C31="All",COUNTIFS(Units!$E:$E, $B31, Units!$Q:$Q, 2),COUNTIFS(Units!$E:$E, $B31, Units!$Q:$Q, 2, Units!$I:$I, $C31)
)</f>
        <v>5</v>
      </c>
      <c r="AU31" s="96">
        <f>IF($C31="All", 
    AVERAGEIFS(Units!$AQ:$AQ, Units!$E:$E, $B31, Units!$AY:$AY, false), 
    AVERAGEIFS(Units!$AQ:$AQ, Units!$E:$E, $B31, Units!$I:$I, $C31, Units!$AY:$AY, false)
)
</f>
        <v>6.333333333</v>
      </c>
      <c r="AV31" s="96">
        <f>IF($C31="All", 
    AVERAGEIFS(Units!$AR:$AR, Units!$E:$E, $B31, Units!$AY:$AY, false), 
    AVERAGEIFS(Units!$AR:$AR, Units!$E:$E, $B31, Units!$I:$I, $C31, Units!$AY:$AY, false)
)</f>
        <v>10.5</v>
      </c>
      <c r="AW31" s="96">
        <f>IF($C31="All", 
    AVERAGEIFS(Units!$AW:$AW, Units!$E:$E, $B31, Units!$AY:$AY, false), 
    AVERAGEIFS(Units!$AW:$AW, Units!$E:$E, $B31, Units!$I:$I, $C31, Units!$AY:$AY, false)
)
</f>
        <v>2.444444444</v>
      </c>
    </row>
    <row r="32" ht="22.5" customHeight="1">
      <c r="A32" s="82" t="str">
        <f t="shared" si="1"/>
        <v>07</v>
      </c>
      <c r="B32" s="85" t="str">
        <f>VLOOKUP(A32, Factions!A:B, 2, FALSE)</f>
        <v>Scaled Empire</v>
      </c>
      <c r="C32" s="83" t="s">
        <v>382</v>
      </c>
      <c r="D32" s="85">
        <f>IF($C32="All",COUNTIFS(Units!$E:$E, $B32),COUNTIFS(Units!$E:$E, $B32, Units!$I:$I, $C32)
)
</f>
        <v>20</v>
      </c>
      <c r="E32" s="85">
        <f>IF($C32="All",COUNTIFS(Units!$E:$E, $B32, Units!$G:$G, E$4),COUNTIFS(Units!$E:$E, $B32, Units!$G:$G, E$4, Units!$I:$I, $C32)
)
</f>
        <v>1</v>
      </c>
      <c r="F32" s="85">
        <f>IF($C32="All",COUNTIFS(Units!$E:$E, $B32, Units!$G:$G, F$4),COUNTIFS(Units!$E:$E, $B32, Units!$G:$G, F$4, Units!$I:$I, $C32)
)
</f>
        <v>2</v>
      </c>
      <c r="G32" s="85">
        <f>IF($C32="All",COUNTIFS(Units!$E:$E, $B32, Units!$G:$G, G$4),COUNTIFS(Units!$E:$E, $B32, Units!$G:$G, G$4, Units!$I:$I, $C32)
)
</f>
        <v>1</v>
      </c>
      <c r="H32" s="85">
        <f>IF($C32="All",COUNTIFS(Units!$E:$E, $B32, Units!$G:$G, H$4),COUNTIFS(Units!$E:$E, $B32, Units!$G:$G, H$4, Units!$I:$I, $C32)
)
</f>
        <v>2</v>
      </c>
      <c r="I32" s="85">
        <f>IF($C32="All",COUNTIFS(Units!$E:$E, $B32, Units!$G:$G, I$4),COUNTIFS(Units!$E:$E, $B32, Units!$G:$G, I$4, Units!$I:$I, $C32)
)
</f>
        <v>2</v>
      </c>
      <c r="J32" s="85">
        <f>IF($C32="All",COUNTIFS(Units!$E:$E, $B32, Units!$G:$G, J$4),COUNTIFS(Units!$E:$E, $B32, Units!$G:$G, J$4, Units!$I:$I, $C32)
)
</f>
        <v>1</v>
      </c>
      <c r="K32" s="85">
        <f>IF($C32="All",COUNTIFS(Units!$E:$E, $B32, Units!$G:$G, K$4),COUNTIFS(Units!$E:$E, $B32, Units!$G:$G, K$4, Units!$I:$I, $C32)
)
</f>
        <v>0</v>
      </c>
      <c r="L32" s="85">
        <f>IF($C32="All",COUNTIFS(Units!$E:$E, $B32, Units!$G:$G, L$4),COUNTIFS(Units!$E:$E, $B32, Units!$G:$G, L$4, Units!$I:$I, $C32)
)
</f>
        <v>1</v>
      </c>
      <c r="N32" s="85">
        <f>IF($C32="All",COUNTIFS(Units!$E:$E, $B32, Units!$G:$G, N$4),COUNTIFS(Units!$E:$E, $B32, Units!$G:$G, N$4, Units!$I:$I, $C32)
)
</f>
        <v>0</v>
      </c>
      <c r="O32" s="85">
        <f>IF($C32="All",COUNTIFS(Units!$E:$E, $B32, Units!$G:$G, O$4),COUNTIFS(Units!$E:$E, $B32, Units!$G:$G, O$4, Units!$I:$I, $C32)
)
</f>
        <v>1</v>
      </c>
      <c r="P32" s="85">
        <f>IF($C32="All",COUNTIFS(Units!$E:$E, $B32, Units!$G:$G, P$4),COUNTIFS(Units!$E:$E, $B32, Units!$G:$G, P$4, Units!$I:$I, $C32)
)
</f>
        <v>0</v>
      </c>
      <c r="Q32" s="85">
        <f>IF($C32="All",COUNTIFS(Units!$E:$E, $B32, Units!$G:$G, Q$4),COUNTIFS(Units!$E:$E, $B32, Units!$G:$G, Q$4, Units!$I:$I, $C32)
)
</f>
        <v>3</v>
      </c>
      <c r="R32" s="85">
        <f>IF($C32="All",COUNTIFS(Units!$E:$E, $B32, Units!$G:$G, R$4),COUNTIFS(Units!$E:$E, $B32, Units!$G:$G, R$4, Units!$I:$I, $C32)
)
</f>
        <v>0</v>
      </c>
      <c r="S32" s="85">
        <f>IF($C32="All",COUNTIFS(Units!$E:$E, $B32, Units!$G:$G, S$4),COUNTIFS(Units!$E:$E, $B32, Units!$G:$G, S$4, Units!$I:$I, $C32)
)
</f>
        <v>0</v>
      </c>
      <c r="T32" s="87">
        <f>IF($C32="All",COUNTIFS(Units!$E:$E, $B32, Units!$G:$G, T$4),COUNTIFS(Units!$E:$E, $B32, Units!$G:$G, T$4, Units!$I:$I, $C32)
)
</f>
        <v>0</v>
      </c>
      <c r="U32" s="87">
        <f>IF($C32="All",COUNTIFS(Units!$E:$E, $B32, Units!$G:$G, U$4),COUNTIFS(Units!$E:$E, $B32, Units!$G:$G, U$4, Units!$I:$I, $C32)
)
</f>
        <v>1</v>
      </c>
      <c r="V32" s="87">
        <f>IF($C32="All",COUNTIFS(Units!$E:$E, $B32, Units!$G:$G, V$4),COUNTIFS(Units!$E:$E, $B32, Units!$G:$G, V$4, Units!$I:$I, $C32)
)
</f>
        <v>1</v>
      </c>
      <c r="W32" s="87">
        <f>IF($C32="All",COUNTIFS(Units!$E:$E, $B32, Units!$G:$G, W$4),COUNTIFS(Units!$E:$E, $B32, Units!$G:$G, W$4, Units!$I:$I, $C32)
)
</f>
        <v>0</v>
      </c>
      <c r="X32" s="87">
        <f>IF($C32="All",COUNTIFS(Units!$E:$E, $B32, Units!$G:$G, X$4),COUNTIFS(Units!$E:$E, $B32, Units!$G:$G, X$4, Units!$I:$I, $C32)
)
</f>
        <v>1</v>
      </c>
      <c r="Y32" s="87">
        <f>IF($C32="All",COUNTIFS(Units!$E:$E, $B32, Units!$G:$G, Y$4),COUNTIFS(Units!$E:$E, $B32, Units!$G:$G, Y$4, Units!$I:$I, $C32)
)
</f>
        <v>1</v>
      </c>
      <c r="Z32" s="87">
        <f>IF($C32="All",COUNTIFS(Units!$E:$E, $B32, Units!$G:$G, Z$4),COUNTIFS(Units!$E:$E, $B32, Units!$G:$G, Z$4, Units!$I:$I, $C32)
)
</f>
        <v>0</v>
      </c>
      <c r="AA32" s="87">
        <f>IF($C32="All",COUNTIFS(Units!$E:$E, $B32, Units!$G:$G, AA$4),COUNTIFS(Units!$E:$E, $B32, Units!$G:$G, AA$4, Units!$I:$I, $C32)
)
</f>
        <v>0</v>
      </c>
      <c r="AB32" s="87">
        <f>IF($C32="All",COUNTIFS(Units!$E:$E, $B32, Units!$G:$G, AB$4),COUNTIFS(Units!$E:$E, $B32, Units!$G:$G, AB$4, Units!$I:$I, $C32)
)
</f>
        <v>1</v>
      </c>
      <c r="AC32" s="87">
        <f>IF($C32="All",COUNTIFS(Units!$E:$E, $B32, Units!$G:$G, AC$4),COUNTIFS(Units!$E:$E, $B32, Units!$G:$G, AC$4, Units!$I:$I, $C32)
)
</f>
        <v>0</v>
      </c>
      <c r="AD32" s="85">
        <f t="shared" si="2"/>
        <v>7</v>
      </c>
      <c r="AE32" s="85">
        <f t="shared" si="3"/>
        <v>2</v>
      </c>
      <c r="AF32" s="87">
        <f t="shared" si="4"/>
        <v>5</v>
      </c>
      <c r="AG32" s="91">
        <f t="shared" si="5"/>
        <v>0</v>
      </c>
      <c r="AJ32" s="94"/>
      <c r="AO32" s="94"/>
      <c r="AP32" s="85">
        <f>IF($C32="All",COUNTIFS(Units!$E:$E, $B32, Units!$M:$M, "&lt;&gt;1"),COUNTIFS(Units!$E:$E, $B32, Units!$M:$M, "&lt;&gt;1", Units!$I:$I, $C32)
)
</f>
        <v>4</v>
      </c>
      <c r="AQ32" s="94">
        <f>IF($C32="All",COUNTIFS(Units!$E:$E, $B32, Units!$S:$S, "*Maneouverable*"),COUNTIFS(Units!$E:$E, $B32, Units!$S:$S, "*Maneouverable*", Units!$I:$I, $C32)
)
</f>
        <v>0</v>
      </c>
      <c r="AR32" s="96">
        <f>IF($C32="All", 
    AVERAGEIFS(Units!$Q:$Q, Units!$E:$E, $B32, Units!$AY:$AY, false), 
    AVERAGEIFS(Units!$Q:$Q, Units!$E:$E, $B32, Units!$I:$I, $C32, Units!$AY:$AY, false)
)
</f>
        <v>2.2</v>
      </c>
      <c r="AS32" s="85">
        <f>IF($C32="All",COUNTIFS(Units!$E:$E, $B32, Units!$Q:$Q, "&lt;&gt;1"),COUNTIFS(Units!$E:$E, $B32, Units!$Q:$Q, "&lt;&gt;1", Units!$I:$I, $C32)
)</f>
        <v>10</v>
      </c>
      <c r="AT32" s="85">
        <f>AS32 - IF($C32="All",COUNTIFS(Units!$E:$E, $B32, Units!$Q:$Q, 2),COUNTIFS(Units!$E:$E, $B32, Units!$Q:$Q, 2, Units!$I:$I, $C32)
)</f>
        <v>8</v>
      </c>
      <c r="AU32" s="96">
        <f>IF($C32="All", 
    AVERAGEIFS(Units!$AQ:$AQ, Units!$E:$E, $B32, Units!$AY:$AY, false), 
    AVERAGEIFS(Units!$AQ:$AQ, Units!$E:$E, $B32, Units!$I:$I, $C32, Units!$AY:$AY, false)
)
</f>
        <v>6.2</v>
      </c>
      <c r="AV32" s="96">
        <f>IF($C32="All", 
    AVERAGEIFS(Units!$AR:$AR, Units!$E:$E, $B32, Units!$AY:$AY, false), 
    AVERAGEIFS(Units!$AR:$AR, Units!$E:$E, $B32, Units!$I:$I, $C32, Units!$AY:$AY, false)
)</f>
        <v>9.38</v>
      </c>
      <c r="AW32" s="96">
        <f>IF($C32="All", 
    AVERAGEIFS(Units!$AW:$AW, Units!$E:$E, $B32, Units!$AY:$AY, false), 
    AVERAGEIFS(Units!$AW:$AW, Units!$E:$E, $B32, Units!$I:$I, $C32, Units!$AY:$AY, false)
)
</f>
        <v>2.555555556</v>
      </c>
    </row>
    <row r="33" ht="22.5" hidden="1" customHeight="1">
      <c r="A33" s="82" t="str">
        <f t="shared" si="1"/>
        <v>08</v>
      </c>
      <c r="B33" s="85" t="str">
        <f>VLOOKUP(A33, Factions!A:B, 2, FALSE)</f>
        <v>Disciples</v>
      </c>
      <c r="C33" s="83">
        <v>1.0</v>
      </c>
      <c r="D33" s="85">
        <f>IF($C33="All",COUNTIFS(Units!$E:$E, $B33),COUNTIFS(Units!$E:$E, $B33, Units!$I:$I, $C33)
)
</f>
        <v>6</v>
      </c>
      <c r="E33" s="85">
        <f>IF($C33="All",COUNTIFS(Units!$E:$E, $B33, Units!$G:$G, E$4),COUNTIFS(Units!$E:$E, $B33, Units!$G:$G, E$4, Units!$I:$I, $C33)
)
</f>
        <v>2</v>
      </c>
      <c r="F33" s="85">
        <f>IF($C33="All",COUNTIFS(Units!$E:$E, $B33, Units!$G:$G, F$4),COUNTIFS(Units!$E:$E, $B33, Units!$G:$G, F$4, Units!$I:$I, $C33)
)
</f>
        <v>0</v>
      </c>
      <c r="G33" s="85">
        <f>IF($C33="All",COUNTIFS(Units!$E:$E, $B33, Units!$G:$G, G$4),COUNTIFS(Units!$E:$E, $B33, Units!$G:$G, G$4, Units!$I:$I, $C33)
)
</f>
        <v>1</v>
      </c>
      <c r="H33" s="85">
        <f>IF($C33="All",COUNTIFS(Units!$E:$E, $B33, Units!$G:$G, H$4),COUNTIFS(Units!$E:$E, $B33, Units!$G:$G, H$4, Units!$I:$I, $C33)
)
</f>
        <v>2</v>
      </c>
      <c r="I33" s="85">
        <f>IF($C33="All",COUNTIFS(Units!$E:$E, $B33, Units!$G:$G, I$4),COUNTIFS(Units!$E:$E, $B33, Units!$G:$G, I$4, Units!$I:$I, $C33)
)
</f>
        <v>1</v>
      </c>
      <c r="J33" s="85">
        <f>IF($C33="All",COUNTIFS(Units!$E:$E, $B33, Units!$G:$G, J$4),COUNTIFS(Units!$E:$E, $B33, Units!$G:$G, J$4, Units!$I:$I, $C33)
)
</f>
        <v>0</v>
      </c>
      <c r="K33" s="85">
        <f>IF($C33="All",COUNTIFS(Units!$E:$E, $B33, Units!$G:$G, K$4),COUNTIFS(Units!$E:$E, $B33, Units!$G:$G, K$4, Units!$I:$I, $C33)
)
</f>
        <v>0</v>
      </c>
      <c r="L33" s="85">
        <f>IF($C33="All",COUNTIFS(Units!$E:$E, $B33, Units!$G:$G, L$4),COUNTIFS(Units!$E:$E, $B33, Units!$G:$G, L$4, Units!$I:$I, $C33)
)
</f>
        <v>0</v>
      </c>
      <c r="N33" s="85">
        <f>IF($C33="All",COUNTIFS(Units!$E:$E, $B33, Units!$G:$G, N$4),COUNTIFS(Units!$E:$E, $B33, Units!$G:$G, N$4, Units!$I:$I, $C33)
)
</f>
        <v>0</v>
      </c>
      <c r="O33" s="85">
        <f>IF($C33="All",COUNTIFS(Units!$E:$E, $B33, Units!$G:$G, O$4),COUNTIFS(Units!$E:$E, $B33, Units!$G:$G, O$4, Units!$I:$I, $C33)
)
</f>
        <v>0</v>
      </c>
      <c r="P33" s="85">
        <f>IF($C33="All",COUNTIFS(Units!$E:$E, $B33, Units!$G:$G, P$4),COUNTIFS(Units!$E:$E, $B33, Units!$G:$G, P$4, Units!$I:$I, $C33)
)
</f>
        <v>0</v>
      </c>
      <c r="Q33" s="85">
        <f>IF($C33="All",COUNTIFS(Units!$E:$E, $B33, Units!$G:$G, Q$4),COUNTIFS(Units!$E:$E, $B33, Units!$G:$G, Q$4, Units!$I:$I, $C33)
)
</f>
        <v>0</v>
      </c>
      <c r="R33" s="85">
        <f>IF($C33="All",COUNTIFS(Units!$E:$E, $B33, Units!$G:$G, R$4),COUNTIFS(Units!$E:$E, $B33, Units!$G:$G, R$4, Units!$I:$I, $C33)
)
</f>
        <v>0</v>
      </c>
      <c r="S33" s="85">
        <f>IF($C33="All",COUNTIFS(Units!$E:$E, $B33, Units!$G:$G, S$4),COUNTIFS(Units!$E:$E, $B33, Units!$G:$G, S$4, Units!$I:$I, $C33)
)
</f>
        <v>0</v>
      </c>
      <c r="T33" s="87">
        <f>IF($C33="All",COUNTIFS(Units!$E:$E, $B33, Units!$G:$G, T$4),COUNTIFS(Units!$E:$E, $B33, Units!$G:$G, T$4, Units!$I:$I, $C33)
)
</f>
        <v>0</v>
      </c>
      <c r="U33" s="87">
        <f>IF($C33="All",COUNTIFS(Units!$E:$E, $B33, Units!$G:$G, U$4),COUNTIFS(Units!$E:$E, $B33, Units!$G:$G, U$4, Units!$I:$I, $C33)
)
</f>
        <v>0</v>
      </c>
      <c r="V33" s="87">
        <f>IF($C33="All",COUNTIFS(Units!$E:$E, $B33, Units!$G:$G, V$4),COUNTIFS(Units!$E:$E, $B33, Units!$G:$G, V$4, Units!$I:$I, $C33)
)
</f>
        <v>0</v>
      </c>
      <c r="W33" s="87">
        <f>IF($C33="All",COUNTIFS(Units!$E:$E, $B33, Units!$G:$G, W$4),COUNTIFS(Units!$E:$E, $B33, Units!$G:$G, W$4, Units!$I:$I, $C33)
)
</f>
        <v>0</v>
      </c>
      <c r="X33" s="87">
        <f>IF($C33="All",COUNTIFS(Units!$E:$E, $B33, Units!$G:$G, X$4),COUNTIFS(Units!$E:$E, $B33, Units!$G:$G, X$4, Units!$I:$I, $C33)
)
</f>
        <v>0</v>
      </c>
      <c r="Y33" s="87">
        <f>IF($C33="All",COUNTIFS(Units!$E:$E, $B33, Units!$G:$G, Y$4),COUNTIFS(Units!$E:$E, $B33, Units!$G:$G, Y$4, Units!$I:$I, $C33)
)
</f>
        <v>0</v>
      </c>
      <c r="Z33" s="87">
        <f>IF($C33="All",COUNTIFS(Units!$E:$E, $B33, Units!$G:$G, Z$4),COUNTIFS(Units!$E:$E, $B33, Units!$G:$G, Z$4, Units!$I:$I, $C33)
)
</f>
        <v>0</v>
      </c>
      <c r="AA33" s="87">
        <f>IF($C33="All",COUNTIFS(Units!$E:$E, $B33, Units!$G:$G, AA$4),COUNTIFS(Units!$E:$E, $B33, Units!$G:$G, AA$4, Units!$I:$I, $C33)
)
</f>
        <v>0</v>
      </c>
      <c r="AB33" s="87">
        <f>IF($C33="All",COUNTIFS(Units!$E:$E, $B33, Units!$G:$G, AB$4),COUNTIFS(Units!$E:$E, $B33, Units!$G:$G, AB$4, Units!$I:$I, $C33)
)
</f>
        <v>0</v>
      </c>
      <c r="AC33" s="87">
        <f>IF($C33="All",COUNTIFS(Units!$E:$E, $B33, Units!$G:$G, AC$4),COUNTIFS(Units!$E:$E, $B33, Units!$G:$G, AC$4, Units!$I:$I, $C33)
)
</f>
        <v>0</v>
      </c>
      <c r="AD33" s="85">
        <f t="shared" si="2"/>
        <v>6</v>
      </c>
      <c r="AE33" s="85">
        <f t="shared" si="3"/>
        <v>0</v>
      </c>
      <c r="AF33" s="87">
        <f t="shared" si="4"/>
        <v>0</v>
      </c>
      <c r="AG33" s="91">
        <f t="shared" si="5"/>
        <v>0</v>
      </c>
      <c r="AJ33" s="94"/>
      <c r="AO33" s="94"/>
      <c r="AP33" s="85">
        <f>IF($C33="All",COUNTIFS(Units!$E:$E, $B33, Units!$M:$M, "&lt;&gt;1"),COUNTIFS(Units!$E:$E, $B33, Units!$M:$M, "&lt;&gt;1", Units!$I:$I, $C33)
)
</f>
        <v>1</v>
      </c>
      <c r="AQ33" s="94">
        <f>IF($C33="All",COUNTIFS(Units!$E:$E, $B33, Units!$S:$S, "*Maneouverable*"),COUNTIFS(Units!$E:$E, $B33, Units!$S:$S, "*Maneouverable*", Units!$I:$I, $C33)
)
</f>
        <v>0</v>
      </c>
      <c r="AR33" s="96">
        <f>IF($C33="All", 
    AVERAGEIFS(Units!$Q:$Q, Units!$E:$E, $B33, Units!$AY:$AY, false), 
    AVERAGEIFS(Units!$Q:$Q, Units!$E:$E, $B33, Units!$I:$I, $C33, Units!$AY:$AY, false)
)
</f>
        <v>2</v>
      </c>
      <c r="AS33" s="85">
        <f>IF($C33="All",COUNTIFS(Units!$E:$E, $B33, Units!$Q:$Q, "&lt;&gt;1"),COUNTIFS(Units!$E:$E, $B33, Units!$Q:$Q, "&lt;&gt;1", Units!$I:$I, $C33)
)</f>
        <v>6</v>
      </c>
      <c r="AT33" s="85">
        <f>AS33 - IF($C33="All",COUNTIFS(Units!$E:$E, $B33, Units!$Q:$Q, 2),COUNTIFS(Units!$E:$E, $B33, Units!$Q:$Q, 2, Units!$I:$I, $C33)
)</f>
        <v>0</v>
      </c>
      <c r="AU33" s="96">
        <f>IF($C33="All", 
    AVERAGEIFS(Units!$AQ:$AQ, Units!$E:$E, $B33, Units!$AY:$AY, false), 
    AVERAGEIFS(Units!$AQ:$AQ, Units!$E:$E, $B33, Units!$I:$I, $C33, Units!$AY:$AY, false)
)
</f>
        <v>6</v>
      </c>
      <c r="AV33" s="96">
        <f>IF($C33="All", 
    AVERAGEIFS(Units!$AR:$AR, Units!$E:$E, $B33, Units!$AY:$AY, false), 
    AVERAGEIFS(Units!$AR:$AR, Units!$E:$E, $B33, Units!$I:$I, $C33, Units!$AY:$AY, false)
)</f>
        <v>8.5</v>
      </c>
      <c r="AW33" s="96">
        <f>IF($C33="All", 
    AVERAGEIFS(Units!$AW:$AW, Units!$E:$E, $B33, Units!$AY:$AY, false), 
    AVERAGEIFS(Units!$AW:$AW, Units!$E:$E, $B33, Units!$I:$I, $C33, Units!$AY:$AY, false)
)
</f>
        <v>2.75</v>
      </c>
    </row>
    <row r="34" ht="22.5" hidden="1" customHeight="1">
      <c r="A34" s="82" t="str">
        <f t="shared" si="1"/>
        <v>08</v>
      </c>
      <c r="B34" s="85" t="str">
        <f>VLOOKUP(A34, Factions!A:B, 2, FALSE)</f>
        <v>Disciples</v>
      </c>
      <c r="C34" s="83">
        <v>2.0</v>
      </c>
      <c r="D34" s="85">
        <f>IF($C34="All",COUNTIFS(Units!$E:$E, $B34),COUNTIFS(Units!$E:$E, $B34, Units!$I:$I, $C34)
)
</f>
        <v>9</v>
      </c>
      <c r="E34" s="85">
        <f>IF($C34="All",COUNTIFS(Units!$E:$E, $B34, Units!$G:$G, E$4),COUNTIFS(Units!$E:$E, $B34, Units!$G:$G, E$4, Units!$I:$I, $C34)
)
</f>
        <v>0</v>
      </c>
      <c r="F34" s="85">
        <f>IF($C34="All",COUNTIFS(Units!$E:$E, $B34, Units!$G:$G, F$4),COUNTIFS(Units!$E:$E, $B34, Units!$G:$G, F$4, Units!$I:$I, $C34)
)
</f>
        <v>1</v>
      </c>
      <c r="G34" s="85">
        <f>IF($C34="All",COUNTIFS(Units!$E:$E, $B34, Units!$G:$G, G$4),COUNTIFS(Units!$E:$E, $B34, Units!$G:$G, G$4, Units!$I:$I, $C34)
)
</f>
        <v>0</v>
      </c>
      <c r="H34" s="85">
        <f>IF($C34="All",COUNTIFS(Units!$E:$E, $B34, Units!$G:$G, H$4),COUNTIFS(Units!$E:$E, $B34, Units!$G:$G, H$4, Units!$I:$I, $C34)
)
</f>
        <v>0</v>
      </c>
      <c r="I34" s="85">
        <f>IF($C34="All",COUNTIFS(Units!$E:$E, $B34, Units!$G:$G, I$4),COUNTIFS(Units!$E:$E, $B34, Units!$G:$G, I$4, Units!$I:$I, $C34)
)
</f>
        <v>0</v>
      </c>
      <c r="J34" s="85">
        <f>IF($C34="All",COUNTIFS(Units!$E:$E, $B34, Units!$G:$G, J$4),COUNTIFS(Units!$E:$E, $B34, Units!$G:$G, J$4, Units!$I:$I, $C34)
)
</f>
        <v>0</v>
      </c>
      <c r="K34" s="85">
        <f>IF($C34="All",COUNTIFS(Units!$E:$E, $B34, Units!$G:$G, K$4),COUNTIFS(Units!$E:$E, $B34, Units!$G:$G, K$4, Units!$I:$I, $C34)
)
</f>
        <v>0</v>
      </c>
      <c r="L34" s="85">
        <f>IF($C34="All",COUNTIFS(Units!$E:$E, $B34, Units!$G:$G, L$4),COUNTIFS(Units!$E:$E, $B34, Units!$G:$G, L$4, Units!$I:$I, $C34)
)
</f>
        <v>0</v>
      </c>
      <c r="N34" s="85">
        <f>IF($C34="All",COUNTIFS(Units!$E:$E, $B34, Units!$G:$G, N$4),COUNTIFS(Units!$E:$E, $B34, Units!$G:$G, N$4, Units!$I:$I, $C34)
)
</f>
        <v>0</v>
      </c>
      <c r="O34" s="85">
        <f>IF($C34="All",COUNTIFS(Units!$E:$E, $B34, Units!$G:$G, O$4),COUNTIFS(Units!$E:$E, $B34, Units!$G:$G, O$4, Units!$I:$I, $C34)
)
</f>
        <v>2</v>
      </c>
      <c r="P34" s="85">
        <f>IF($C34="All",COUNTIFS(Units!$E:$E, $B34, Units!$G:$G, P$4),COUNTIFS(Units!$E:$E, $B34, Units!$G:$G, P$4, Units!$I:$I, $C34)
)
</f>
        <v>4</v>
      </c>
      <c r="Q34" s="85">
        <f>IF($C34="All",COUNTIFS(Units!$E:$E, $B34, Units!$G:$G, Q$4),COUNTIFS(Units!$E:$E, $B34, Units!$G:$G, Q$4, Units!$I:$I, $C34)
)
</f>
        <v>0</v>
      </c>
      <c r="R34" s="85">
        <f>IF($C34="All",COUNTIFS(Units!$E:$E, $B34, Units!$G:$G, R$4),COUNTIFS(Units!$E:$E, $B34, Units!$G:$G, R$4, Units!$I:$I, $C34)
)
</f>
        <v>0</v>
      </c>
      <c r="S34" s="85">
        <f>IF($C34="All",COUNTIFS(Units!$E:$E, $B34, Units!$G:$G, S$4),COUNTIFS(Units!$E:$E, $B34, Units!$G:$G, S$4, Units!$I:$I, $C34)
)
</f>
        <v>2</v>
      </c>
      <c r="T34" s="87">
        <f>IF($C34="All",COUNTIFS(Units!$E:$E, $B34, Units!$G:$G, T$4),COUNTIFS(Units!$E:$E, $B34, Units!$G:$G, T$4, Units!$I:$I, $C34)
)
</f>
        <v>0</v>
      </c>
      <c r="U34" s="87">
        <f>IF($C34="All",COUNTIFS(Units!$E:$E, $B34, Units!$G:$G, U$4),COUNTIFS(Units!$E:$E, $B34, Units!$G:$G, U$4, Units!$I:$I, $C34)
)
</f>
        <v>0</v>
      </c>
      <c r="V34" s="87">
        <f>IF($C34="All",COUNTIFS(Units!$E:$E, $B34, Units!$G:$G, V$4),COUNTIFS(Units!$E:$E, $B34, Units!$G:$G, V$4, Units!$I:$I, $C34)
)
</f>
        <v>0</v>
      </c>
      <c r="W34" s="87">
        <f>IF($C34="All",COUNTIFS(Units!$E:$E, $B34, Units!$G:$G, W$4),COUNTIFS(Units!$E:$E, $B34, Units!$G:$G, W$4, Units!$I:$I, $C34)
)
</f>
        <v>0</v>
      </c>
      <c r="X34" s="87">
        <f>IF($C34="All",COUNTIFS(Units!$E:$E, $B34, Units!$G:$G, X$4),COUNTIFS(Units!$E:$E, $B34, Units!$G:$G, X$4, Units!$I:$I, $C34)
)
</f>
        <v>0</v>
      </c>
      <c r="Y34" s="87">
        <f>IF($C34="All",COUNTIFS(Units!$E:$E, $B34, Units!$G:$G, Y$4),COUNTIFS(Units!$E:$E, $B34, Units!$G:$G, Y$4, Units!$I:$I, $C34)
)
</f>
        <v>0</v>
      </c>
      <c r="Z34" s="87">
        <f>IF($C34="All",COUNTIFS(Units!$E:$E, $B34, Units!$G:$G, Z$4),COUNTIFS(Units!$E:$E, $B34, Units!$G:$G, Z$4, Units!$I:$I, $C34)
)
</f>
        <v>0</v>
      </c>
      <c r="AA34" s="87">
        <f>IF($C34="All",COUNTIFS(Units!$E:$E, $B34, Units!$G:$G, AA$4),COUNTIFS(Units!$E:$E, $B34, Units!$G:$G, AA$4, Units!$I:$I, $C34)
)
</f>
        <v>0</v>
      </c>
      <c r="AB34" s="87">
        <f>IF($C34="All",COUNTIFS(Units!$E:$E, $B34, Units!$G:$G, AB$4),COUNTIFS(Units!$E:$E, $B34, Units!$G:$G, AB$4, Units!$I:$I, $C34)
)
</f>
        <v>0</v>
      </c>
      <c r="AC34" s="87">
        <f>IF($C34="All",COUNTIFS(Units!$E:$E, $B34, Units!$G:$G, AC$4),COUNTIFS(Units!$E:$E, $B34, Units!$G:$G, AC$4, Units!$I:$I, $C34)
)
</f>
        <v>0</v>
      </c>
      <c r="AD34" s="85">
        <f t="shared" si="2"/>
        <v>0</v>
      </c>
      <c r="AE34" s="85">
        <f t="shared" si="3"/>
        <v>2</v>
      </c>
      <c r="AF34" s="87">
        <f t="shared" si="4"/>
        <v>1</v>
      </c>
      <c r="AG34" s="91">
        <f t="shared" si="5"/>
        <v>6</v>
      </c>
      <c r="AJ34" s="94"/>
      <c r="AO34" s="94"/>
      <c r="AP34" s="85">
        <f>IF($C34="All",COUNTIFS(Units!$E:$E, $B34, Units!$M:$M, "&lt;&gt;1"),COUNTIFS(Units!$E:$E, $B34, Units!$M:$M, "&lt;&gt;1", Units!$I:$I, $C34)
)
</f>
        <v>3</v>
      </c>
      <c r="AQ34" s="94">
        <f>IF($C34="All",COUNTIFS(Units!$E:$E, $B34, Units!$S:$S, "*Maneouverable*"),COUNTIFS(Units!$E:$E, $B34, Units!$S:$S, "*Maneouverable*", Units!$I:$I, $C34)
)
</f>
        <v>0</v>
      </c>
      <c r="AR34" s="96">
        <f>IF($C34="All", 
    AVERAGEIFS(Units!$Q:$Q, Units!$E:$E, $B34, Units!$AY:$AY, false), 
    AVERAGEIFS(Units!$Q:$Q, Units!$E:$E, $B34, Units!$I:$I, $C34, Units!$AY:$AY, false)
)
</f>
        <v>5.285714286</v>
      </c>
      <c r="AS34" s="85">
        <f>IF($C34="All",COUNTIFS(Units!$E:$E, $B34, Units!$Q:$Q, "&lt;&gt;1"),COUNTIFS(Units!$E:$E, $B34, Units!$Q:$Q, "&lt;&gt;1", Units!$I:$I, $C34)
)</f>
        <v>9</v>
      </c>
      <c r="AT34" s="85">
        <f>AS34 - IF($C34="All",COUNTIFS(Units!$E:$E, $B34, Units!$Q:$Q, 2),COUNTIFS(Units!$E:$E, $B34, Units!$Q:$Q, 2, Units!$I:$I, $C34)
)</f>
        <v>6</v>
      </c>
      <c r="AU34" s="96">
        <f>IF($C34="All", 
    AVERAGEIFS(Units!$AQ:$AQ, Units!$E:$E, $B34, Units!$AY:$AY, false), 
    AVERAGEIFS(Units!$AQ:$AQ, Units!$E:$E, $B34, Units!$I:$I, $C34, Units!$AY:$AY, false)
)
</f>
        <v>5.857142857</v>
      </c>
      <c r="AV34" s="96">
        <f>IF($C34="All", 
    AVERAGEIFS(Units!$AR:$AR, Units!$E:$E, $B34, Units!$AY:$AY, false), 
    AVERAGEIFS(Units!$AR:$AR, Units!$E:$E, $B34, Units!$I:$I, $C34, Units!$AY:$AY, false)
)</f>
        <v>9.357142857</v>
      </c>
      <c r="AW34" s="96">
        <f>IF($C34="All", 
    AVERAGEIFS(Units!$AW:$AW, Units!$E:$E, $B34, Units!$AY:$AY, false), 
    AVERAGEIFS(Units!$AW:$AW, Units!$E:$E, $B34, Units!$I:$I, $C34, Units!$AY:$AY, false)
)
</f>
        <v>2.420634921</v>
      </c>
    </row>
    <row r="35" ht="22.5" hidden="1" customHeight="1">
      <c r="A35" s="82" t="str">
        <f t="shared" si="1"/>
        <v>08</v>
      </c>
      <c r="B35" s="85" t="str">
        <f>VLOOKUP(A35, Factions!A:B, 2, FALSE)</f>
        <v>Disciples</v>
      </c>
      <c r="C35" s="83">
        <v>3.0</v>
      </c>
      <c r="D35" s="85">
        <f>IF($C35="All",COUNTIFS(Units!$E:$E, $B35),COUNTIFS(Units!$E:$E, $B35, Units!$I:$I, $C35)
)
</f>
        <v>5</v>
      </c>
      <c r="E35" s="85">
        <f>IF($C35="All",COUNTIFS(Units!$E:$E, $B35, Units!$G:$G, E$4),COUNTIFS(Units!$E:$E, $B35, Units!$G:$G, E$4, Units!$I:$I, $C35)
)
</f>
        <v>0</v>
      </c>
      <c r="F35" s="85">
        <f>IF($C35="All",COUNTIFS(Units!$E:$E, $B35, Units!$G:$G, F$4),COUNTIFS(Units!$E:$E, $B35, Units!$G:$G, F$4, Units!$I:$I, $C35)
)
</f>
        <v>0</v>
      </c>
      <c r="G35" s="85">
        <f>IF($C35="All",COUNTIFS(Units!$E:$E, $B35, Units!$G:$G, G$4),COUNTIFS(Units!$E:$E, $B35, Units!$G:$G, G$4, Units!$I:$I, $C35)
)
</f>
        <v>0</v>
      </c>
      <c r="H35" s="85">
        <f>IF($C35="All",COUNTIFS(Units!$E:$E, $B35, Units!$G:$G, H$4),COUNTIFS(Units!$E:$E, $B35, Units!$G:$G, H$4, Units!$I:$I, $C35)
)
</f>
        <v>0</v>
      </c>
      <c r="I35" s="85">
        <f>IF($C35="All",COUNTIFS(Units!$E:$E, $B35, Units!$G:$G, I$4),COUNTIFS(Units!$E:$E, $B35, Units!$G:$G, I$4, Units!$I:$I, $C35)
)
</f>
        <v>0</v>
      </c>
      <c r="J35" s="85">
        <f>IF($C35="All",COUNTIFS(Units!$E:$E, $B35, Units!$G:$G, J$4),COUNTIFS(Units!$E:$E, $B35, Units!$G:$G, J$4, Units!$I:$I, $C35)
)
</f>
        <v>0</v>
      </c>
      <c r="K35" s="85">
        <f>IF($C35="All",COUNTIFS(Units!$E:$E, $B35, Units!$G:$G, K$4),COUNTIFS(Units!$E:$E, $B35, Units!$G:$G, K$4, Units!$I:$I, $C35)
)
</f>
        <v>0</v>
      </c>
      <c r="L35" s="85">
        <f>IF($C35="All",COUNTIFS(Units!$E:$E, $B35, Units!$G:$G, L$4),COUNTIFS(Units!$E:$E, $B35, Units!$G:$G, L$4, Units!$I:$I, $C35)
)
</f>
        <v>0</v>
      </c>
      <c r="N35" s="85">
        <f>IF($C35="All",COUNTIFS(Units!$E:$E, $B35, Units!$G:$G, N$4),COUNTIFS(Units!$E:$E, $B35, Units!$G:$G, N$4, Units!$I:$I, $C35)
)
</f>
        <v>0</v>
      </c>
      <c r="O35" s="85">
        <f>IF($C35="All",COUNTIFS(Units!$E:$E, $B35, Units!$G:$G, O$4),COUNTIFS(Units!$E:$E, $B35, Units!$G:$G, O$4, Units!$I:$I, $C35)
)
</f>
        <v>0</v>
      </c>
      <c r="P35" s="85">
        <f>IF($C35="All",COUNTIFS(Units!$E:$E, $B35, Units!$G:$G, P$4),COUNTIFS(Units!$E:$E, $B35, Units!$G:$G, P$4, Units!$I:$I, $C35)
)
</f>
        <v>0</v>
      </c>
      <c r="Q35" s="85">
        <f>IF($C35="All",COUNTIFS(Units!$E:$E, $B35, Units!$G:$G, Q$4),COUNTIFS(Units!$E:$E, $B35, Units!$G:$G, Q$4, Units!$I:$I, $C35)
)
</f>
        <v>0</v>
      </c>
      <c r="R35" s="85">
        <f>IF($C35="All",COUNTIFS(Units!$E:$E, $B35, Units!$G:$G, R$4),COUNTIFS(Units!$E:$E, $B35, Units!$G:$G, R$4, Units!$I:$I, $C35)
)
</f>
        <v>0</v>
      </c>
      <c r="S35" s="85">
        <f>IF($C35="All",COUNTIFS(Units!$E:$E, $B35, Units!$G:$G, S$4),COUNTIFS(Units!$E:$E, $B35, Units!$G:$G, S$4, Units!$I:$I, $C35)
)
</f>
        <v>0</v>
      </c>
      <c r="T35" s="87">
        <f>IF($C35="All",COUNTIFS(Units!$E:$E, $B35, Units!$G:$G, T$4),COUNTIFS(Units!$E:$E, $B35, Units!$G:$G, T$4, Units!$I:$I, $C35)
)
</f>
        <v>0</v>
      </c>
      <c r="U35" s="87">
        <f>IF($C35="All",COUNTIFS(Units!$E:$E, $B35, Units!$G:$G, U$4),COUNTIFS(Units!$E:$E, $B35, Units!$G:$G, U$4, Units!$I:$I, $C35)
)
</f>
        <v>2</v>
      </c>
      <c r="V35" s="87">
        <f>IF($C35="All",COUNTIFS(Units!$E:$E, $B35, Units!$G:$G, V$4),COUNTIFS(Units!$E:$E, $B35, Units!$G:$G, V$4, Units!$I:$I, $C35)
)
</f>
        <v>0</v>
      </c>
      <c r="W35" s="87">
        <f>IF($C35="All",COUNTIFS(Units!$E:$E, $B35, Units!$G:$G, W$4),COUNTIFS(Units!$E:$E, $B35, Units!$G:$G, W$4, Units!$I:$I, $C35)
)
</f>
        <v>1</v>
      </c>
      <c r="X35" s="87">
        <f>IF($C35="All",COUNTIFS(Units!$E:$E, $B35, Units!$G:$G, X$4),COUNTIFS(Units!$E:$E, $B35, Units!$G:$G, X$4, Units!$I:$I, $C35)
)
</f>
        <v>0</v>
      </c>
      <c r="Y35" s="87">
        <f>IF($C35="All",COUNTIFS(Units!$E:$E, $B35, Units!$G:$G, Y$4),COUNTIFS(Units!$E:$E, $B35, Units!$G:$G, Y$4, Units!$I:$I, $C35)
)
</f>
        <v>2</v>
      </c>
      <c r="Z35" s="87">
        <f>IF($C35="All",COUNTIFS(Units!$E:$E, $B35, Units!$G:$G, Z$4),COUNTIFS(Units!$E:$E, $B35, Units!$G:$G, Z$4, Units!$I:$I, $C35)
)
</f>
        <v>0</v>
      </c>
      <c r="AA35" s="87">
        <f>IF($C35="All",COUNTIFS(Units!$E:$E, $B35, Units!$G:$G, AA$4),COUNTIFS(Units!$E:$E, $B35, Units!$G:$G, AA$4, Units!$I:$I, $C35)
)
</f>
        <v>0</v>
      </c>
      <c r="AB35" s="87">
        <f>IF($C35="All",COUNTIFS(Units!$E:$E, $B35, Units!$G:$G, AB$4),COUNTIFS(Units!$E:$E, $B35, Units!$G:$G, AB$4, Units!$I:$I, $C35)
)
</f>
        <v>0</v>
      </c>
      <c r="AC35" s="87">
        <f>IF($C35="All",COUNTIFS(Units!$E:$E, $B35, Units!$G:$G, AC$4),COUNTIFS(Units!$E:$E, $B35, Units!$G:$G, AC$4, Units!$I:$I, $C35)
)
</f>
        <v>0</v>
      </c>
      <c r="AD35" s="85">
        <f t="shared" si="2"/>
        <v>0</v>
      </c>
      <c r="AE35" s="85">
        <f t="shared" si="3"/>
        <v>0</v>
      </c>
      <c r="AF35" s="87">
        <f t="shared" si="4"/>
        <v>0</v>
      </c>
      <c r="AG35" s="91">
        <f t="shared" si="5"/>
        <v>0</v>
      </c>
      <c r="AJ35" s="94"/>
      <c r="AO35" s="94"/>
      <c r="AP35" s="85">
        <f>IF($C35="All",COUNTIFS(Units!$E:$E, $B35, Units!$M:$M, "&lt;&gt;1"),COUNTIFS(Units!$E:$E, $B35, Units!$M:$M, "&lt;&gt;1", Units!$I:$I, $C35)
)
</f>
        <v>1</v>
      </c>
      <c r="AQ35" s="94">
        <f>IF($C35="All",COUNTIFS(Units!$E:$E, $B35, Units!$S:$S, "*Maneouverable*"),COUNTIFS(Units!$E:$E, $B35, Units!$S:$S, "*Maneouverable*", Units!$I:$I, $C35)
)
</f>
        <v>0</v>
      </c>
      <c r="AR35" s="96">
        <f>IF($C35="All", 
    AVERAGEIFS(Units!$Q:$Q, Units!$E:$E, $B35, Units!$AY:$AY, false), 
    AVERAGEIFS(Units!$Q:$Q, Units!$E:$E, $B35, Units!$I:$I, $C35, Units!$AY:$AY, false)
)
</f>
        <v>5.666666667</v>
      </c>
      <c r="AS35" s="85">
        <f>IF($C35="All",COUNTIFS(Units!$E:$E, $B35, Units!$Q:$Q, "&lt;&gt;1"),COUNTIFS(Units!$E:$E, $B35, Units!$Q:$Q, "&lt;&gt;1", Units!$I:$I, $C35)
)</f>
        <v>5</v>
      </c>
      <c r="AT35" s="85">
        <f>AS35 - IF($C35="All",COUNTIFS(Units!$E:$E, $B35, Units!$Q:$Q, 2),COUNTIFS(Units!$E:$E, $B35, Units!$Q:$Q, 2, Units!$I:$I, $C35)
)</f>
        <v>5</v>
      </c>
      <c r="AU35" s="96">
        <f>IF($C35="All", 
    AVERAGEIFS(Units!$AQ:$AQ, Units!$E:$E, $B35, Units!$AY:$AY, false), 
    AVERAGEIFS(Units!$AQ:$AQ, Units!$E:$E, $B35, Units!$I:$I, $C35, Units!$AY:$AY, false)
)
</f>
        <v>5.666666667</v>
      </c>
      <c r="AV35" s="96">
        <f>IF($C35="All", 
    AVERAGEIFS(Units!$AR:$AR, Units!$E:$E, $B35, Units!$AY:$AY, false), 
    AVERAGEIFS(Units!$AR:$AR, Units!$E:$E, $B35, Units!$I:$I, $C35, Units!$AY:$AY, false)
)</f>
        <v>7</v>
      </c>
      <c r="AW35" s="96">
        <f>IF($C35="All", 
    AVERAGEIFS(Units!$AW:$AW, Units!$E:$E, $B35, Units!$AY:$AY, false), 
    AVERAGEIFS(Units!$AW:$AW, Units!$E:$E, $B35, Units!$I:$I, $C35, Units!$AY:$AY, false)
)
</f>
        <v>3.611111111</v>
      </c>
    </row>
    <row r="36" ht="22.5" customHeight="1">
      <c r="A36" s="82" t="str">
        <f t="shared" si="1"/>
        <v>08</v>
      </c>
      <c r="B36" s="85" t="str">
        <f>VLOOKUP(A36, Factions!A:B, 2, FALSE)</f>
        <v>Disciples</v>
      </c>
      <c r="C36" s="83" t="s">
        <v>382</v>
      </c>
      <c r="D36" s="85">
        <f>IF($C36="All",COUNTIFS(Units!$E:$E, $B36),COUNTIFS(Units!$E:$E, $B36, Units!$I:$I, $C36)
)
</f>
        <v>20</v>
      </c>
      <c r="E36" s="85">
        <f>IF($C36="All",COUNTIFS(Units!$E:$E, $B36, Units!$G:$G, E$4),COUNTIFS(Units!$E:$E, $B36, Units!$G:$G, E$4, Units!$I:$I, $C36)
)
</f>
        <v>2</v>
      </c>
      <c r="F36" s="85">
        <f>IF($C36="All",COUNTIFS(Units!$E:$E, $B36, Units!$G:$G, F$4),COUNTIFS(Units!$E:$E, $B36, Units!$G:$G, F$4, Units!$I:$I, $C36)
)
</f>
        <v>1</v>
      </c>
      <c r="G36" s="85">
        <f>IF($C36="All",COUNTIFS(Units!$E:$E, $B36, Units!$G:$G, G$4),COUNTIFS(Units!$E:$E, $B36, Units!$G:$G, G$4, Units!$I:$I, $C36)
)
</f>
        <v>1</v>
      </c>
      <c r="H36" s="85">
        <f>IF($C36="All",COUNTIFS(Units!$E:$E, $B36, Units!$G:$G, H$4),COUNTIFS(Units!$E:$E, $B36, Units!$G:$G, H$4, Units!$I:$I, $C36)
)
</f>
        <v>2</v>
      </c>
      <c r="I36" s="85">
        <f>IF($C36="All",COUNTIFS(Units!$E:$E, $B36, Units!$G:$G, I$4),COUNTIFS(Units!$E:$E, $B36, Units!$G:$G, I$4, Units!$I:$I, $C36)
)
</f>
        <v>1</v>
      </c>
      <c r="J36" s="85">
        <f>IF($C36="All",COUNTIFS(Units!$E:$E, $B36, Units!$G:$G, J$4),COUNTIFS(Units!$E:$E, $B36, Units!$G:$G, J$4, Units!$I:$I, $C36)
)
</f>
        <v>0</v>
      </c>
      <c r="K36" s="85">
        <f>IF($C36="All",COUNTIFS(Units!$E:$E, $B36, Units!$G:$G, K$4),COUNTIFS(Units!$E:$E, $B36, Units!$G:$G, K$4, Units!$I:$I, $C36)
)
</f>
        <v>0</v>
      </c>
      <c r="L36" s="85">
        <f>IF($C36="All",COUNTIFS(Units!$E:$E, $B36, Units!$G:$G, L$4),COUNTIFS(Units!$E:$E, $B36, Units!$G:$G, L$4, Units!$I:$I, $C36)
)
</f>
        <v>0</v>
      </c>
      <c r="N36" s="85">
        <f>IF($C36="All",COUNTIFS(Units!$E:$E, $B36, Units!$G:$G, N$4),COUNTIFS(Units!$E:$E, $B36, Units!$G:$G, N$4, Units!$I:$I, $C36)
)
</f>
        <v>0</v>
      </c>
      <c r="O36" s="85">
        <f>IF($C36="All",COUNTIFS(Units!$E:$E, $B36, Units!$G:$G, O$4),COUNTIFS(Units!$E:$E, $B36, Units!$G:$G, O$4, Units!$I:$I, $C36)
)
</f>
        <v>2</v>
      </c>
      <c r="P36" s="85">
        <f>IF($C36="All",COUNTIFS(Units!$E:$E, $B36, Units!$G:$G, P$4),COUNTIFS(Units!$E:$E, $B36, Units!$G:$G, P$4, Units!$I:$I, $C36)
)
</f>
        <v>4</v>
      </c>
      <c r="Q36" s="85">
        <f>IF($C36="All",COUNTIFS(Units!$E:$E, $B36, Units!$G:$G, Q$4),COUNTIFS(Units!$E:$E, $B36, Units!$G:$G, Q$4, Units!$I:$I, $C36)
)
</f>
        <v>0</v>
      </c>
      <c r="R36" s="85">
        <f>IF($C36="All",COUNTIFS(Units!$E:$E, $B36, Units!$G:$G, R$4),COUNTIFS(Units!$E:$E, $B36, Units!$G:$G, R$4, Units!$I:$I, $C36)
)
</f>
        <v>0</v>
      </c>
      <c r="S36" s="85">
        <f>IF($C36="All",COUNTIFS(Units!$E:$E, $B36, Units!$G:$G, S$4),COUNTIFS(Units!$E:$E, $B36, Units!$G:$G, S$4, Units!$I:$I, $C36)
)
</f>
        <v>2</v>
      </c>
      <c r="T36" s="87">
        <f>IF($C36="All",COUNTIFS(Units!$E:$E, $B36, Units!$G:$G, T$4),COUNTIFS(Units!$E:$E, $B36, Units!$G:$G, T$4, Units!$I:$I, $C36)
)
</f>
        <v>0</v>
      </c>
      <c r="U36" s="87">
        <f>IF($C36="All",COUNTIFS(Units!$E:$E, $B36, Units!$G:$G, U$4),COUNTIFS(Units!$E:$E, $B36, Units!$G:$G, U$4, Units!$I:$I, $C36)
)
</f>
        <v>2</v>
      </c>
      <c r="V36" s="87">
        <f>IF($C36="All",COUNTIFS(Units!$E:$E, $B36, Units!$G:$G, V$4),COUNTIFS(Units!$E:$E, $B36, Units!$G:$G, V$4, Units!$I:$I, $C36)
)
</f>
        <v>0</v>
      </c>
      <c r="W36" s="87">
        <f>IF($C36="All",COUNTIFS(Units!$E:$E, $B36, Units!$G:$G, W$4),COUNTIFS(Units!$E:$E, $B36, Units!$G:$G, W$4, Units!$I:$I, $C36)
)
</f>
        <v>1</v>
      </c>
      <c r="X36" s="87">
        <f>IF($C36="All",COUNTIFS(Units!$E:$E, $B36, Units!$G:$G, X$4),COUNTIFS(Units!$E:$E, $B36, Units!$G:$G, X$4, Units!$I:$I, $C36)
)
</f>
        <v>0</v>
      </c>
      <c r="Y36" s="87">
        <f>IF($C36="All",COUNTIFS(Units!$E:$E, $B36, Units!$G:$G, Y$4),COUNTIFS(Units!$E:$E, $B36, Units!$G:$G, Y$4, Units!$I:$I, $C36)
)
</f>
        <v>2</v>
      </c>
      <c r="Z36" s="87">
        <f>IF($C36="All",COUNTIFS(Units!$E:$E, $B36, Units!$G:$G, Z$4),COUNTIFS(Units!$E:$E, $B36, Units!$G:$G, Z$4, Units!$I:$I, $C36)
)
</f>
        <v>0</v>
      </c>
      <c r="AA36" s="87">
        <f>IF($C36="All",COUNTIFS(Units!$E:$E, $B36, Units!$G:$G, AA$4),COUNTIFS(Units!$E:$E, $B36, Units!$G:$G, AA$4, Units!$I:$I, $C36)
)
</f>
        <v>0</v>
      </c>
      <c r="AB36" s="87">
        <f>IF($C36="All",COUNTIFS(Units!$E:$E, $B36, Units!$G:$G, AB$4),COUNTIFS(Units!$E:$E, $B36, Units!$G:$G, AB$4, Units!$I:$I, $C36)
)
</f>
        <v>0</v>
      </c>
      <c r="AC36" s="87">
        <f>IF($C36="All",COUNTIFS(Units!$E:$E, $B36, Units!$G:$G, AC$4),COUNTIFS(Units!$E:$E, $B36, Units!$G:$G, AC$4, Units!$I:$I, $C36)
)
</f>
        <v>0</v>
      </c>
      <c r="AD36" s="85">
        <f t="shared" si="2"/>
        <v>6</v>
      </c>
      <c r="AE36" s="85">
        <f t="shared" si="3"/>
        <v>2</v>
      </c>
      <c r="AF36" s="87">
        <f t="shared" si="4"/>
        <v>1</v>
      </c>
      <c r="AG36" s="91">
        <f t="shared" si="5"/>
        <v>6</v>
      </c>
      <c r="AJ36" s="94"/>
      <c r="AO36" s="94"/>
      <c r="AP36" s="85">
        <f>IF($C36="All",COUNTIFS(Units!$E:$E, $B36, Units!$M:$M, "&lt;&gt;1"),COUNTIFS(Units!$E:$E, $B36, Units!$M:$M, "&lt;&gt;1", Units!$I:$I, $C36)
)
</f>
        <v>5</v>
      </c>
      <c r="AQ36" s="94">
        <f>IF($C36="All",COUNTIFS(Units!$E:$E, $B36, Units!$S:$S, "*Maneouverable*"),COUNTIFS(Units!$E:$E, $B36, Units!$S:$S, "*Maneouverable*", Units!$I:$I, $C36)
)
</f>
        <v>0</v>
      </c>
      <c r="AR36" s="96">
        <f>IF($C36="All", 
    AVERAGEIFS(Units!$Q:$Q, Units!$E:$E, $B36, Units!$AY:$AY, false), 
    AVERAGEIFS(Units!$Q:$Q, Units!$E:$E, $B36, Units!$I:$I, $C36, Units!$AY:$AY, false)
)
</f>
        <v>4.125</v>
      </c>
      <c r="AS36" s="85">
        <f>IF($C36="All",COUNTIFS(Units!$E:$E, $B36, Units!$Q:$Q, "&lt;&gt;1"),COUNTIFS(Units!$E:$E, $B36, Units!$Q:$Q, "&lt;&gt;1", Units!$I:$I, $C36)
)</f>
        <v>20</v>
      </c>
      <c r="AT36" s="85">
        <f>AS36 - IF($C36="All",COUNTIFS(Units!$E:$E, $B36, Units!$Q:$Q, 2),COUNTIFS(Units!$E:$E, $B36, Units!$Q:$Q, 2, Units!$I:$I, $C36)
)</f>
        <v>11</v>
      </c>
      <c r="AU36" s="96">
        <f>IF($C36="All", 
    AVERAGEIFS(Units!$AQ:$AQ, Units!$E:$E, $B36, Units!$AY:$AY, false), 
    AVERAGEIFS(Units!$AQ:$AQ, Units!$E:$E, $B36, Units!$I:$I, $C36, Units!$AY:$AY, false)
)
</f>
        <v>5.875</v>
      </c>
      <c r="AV36" s="96">
        <f>IF($C36="All", 
    AVERAGEIFS(Units!$AR:$AR, Units!$E:$E, $B36, Units!$AY:$AY, false), 
    AVERAGEIFS(Units!$AR:$AR, Units!$E:$E, $B36, Units!$I:$I, $C36, Units!$AY:$AY, false)
)</f>
        <v>8.59375</v>
      </c>
      <c r="AW36" s="96">
        <f>IF($C36="All", 
    AVERAGEIFS(Units!$AW:$AW, Units!$E:$E, $B36, Units!$AY:$AY, false), 
    AVERAGEIFS(Units!$AW:$AW, Units!$E:$E, $B36, Units!$I:$I, $C36, Units!$AY:$AY, false)
)
</f>
        <v>2.767361111</v>
      </c>
    </row>
    <row r="37" ht="22.5" hidden="1" customHeight="1">
      <c r="A37" s="82" t="str">
        <f t="shared" si="1"/>
        <v>09</v>
      </c>
      <c r="B37" s="85" t="str">
        <f>VLOOKUP(A37, Factions!A:B, 2, FALSE)</f>
        <v>Slimes</v>
      </c>
      <c r="C37" s="83">
        <v>1.0</v>
      </c>
      <c r="D37" s="85">
        <f>IF($C37="All",COUNTIFS(Units!$E:$E, $B37),COUNTIFS(Units!$E:$E, $B37, Units!$I:$I, $C37)
)
</f>
        <v>0</v>
      </c>
      <c r="E37" s="85">
        <f>IF($C37="All",COUNTIFS(Units!$E:$E, $B37, Units!$G:$G, E$4),COUNTIFS(Units!$E:$E, $B37, Units!$G:$G, E$4, Units!$I:$I, $C37)
)
</f>
        <v>0</v>
      </c>
      <c r="F37" s="85">
        <f>IF($C37="All",COUNTIFS(Units!$E:$E, $B37, Units!$G:$G, F$4),COUNTIFS(Units!$E:$E, $B37, Units!$G:$G, F$4, Units!$I:$I, $C37)
)
</f>
        <v>0</v>
      </c>
      <c r="G37" s="85">
        <f>IF($C37="All",COUNTIFS(Units!$E:$E, $B37, Units!$G:$G, G$4),COUNTIFS(Units!$E:$E, $B37, Units!$G:$G, G$4, Units!$I:$I, $C37)
)
</f>
        <v>0</v>
      </c>
      <c r="H37" s="85">
        <f>IF($C37="All",COUNTIFS(Units!$E:$E, $B37, Units!$G:$G, H$4),COUNTIFS(Units!$E:$E, $B37, Units!$G:$G, H$4, Units!$I:$I, $C37)
)
</f>
        <v>0</v>
      </c>
      <c r="I37" s="85">
        <f>IF($C37="All",COUNTIFS(Units!$E:$E, $B37, Units!$G:$G, I$4),COUNTIFS(Units!$E:$E, $B37, Units!$G:$G, I$4, Units!$I:$I, $C37)
)
</f>
        <v>0</v>
      </c>
      <c r="J37" s="85">
        <f>IF($C37="All",COUNTIFS(Units!$E:$E, $B37, Units!$G:$G, J$4),COUNTIFS(Units!$E:$E, $B37, Units!$G:$G, J$4, Units!$I:$I, $C37)
)
</f>
        <v>0</v>
      </c>
      <c r="K37" s="85">
        <f>IF($C37="All",COUNTIFS(Units!$E:$E, $B37, Units!$G:$G, K$4),COUNTIFS(Units!$E:$E, $B37, Units!$G:$G, K$4, Units!$I:$I, $C37)
)
</f>
        <v>0</v>
      </c>
      <c r="L37" s="85">
        <f>IF($C37="All",COUNTIFS(Units!$E:$E, $B37, Units!$G:$G, L$4),COUNTIFS(Units!$E:$E, $B37, Units!$G:$G, L$4, Units!$I:$I, $C37)
)
</f>
        <v>0</v>
      </c>
      <c r="N37" s="85">
        <f>IF($C37="All",COUNTIFS(Units!$E:$E, $B37, Units!$G:$G, N$4),COUNTIFS(Units!$E:$E, $B37, Units!$G:$G, N$4, Units!$I:$I, $C37)
)
</f>
        <v>0</v>
      </c>
      <c r="O37" s="85">
        <f>IF($C37="All",COUNTIFS(Units!$E:$E, $B37, Units!$G:$G, O$4),COUNTIFS(Units!$E:$E, $B37, Units!$G:$G, O$4, Units!$I:$I, $C37)
)
</f>
        <v>0</v>
      </c>
      <c r="P37" s="85">
        <f>IF($C37="All",COUNTIFS(Units!$E:$E, $B37, Units!$G:$G, P$4),COUNTIFS(Units!$E:$E, $B37, Units!$G:$G, P$4, Units!$I:$I, $C37)
)
</f>
        <v>0</v>
      </c>
      <c r="Q37" s="85">
        <f>IF($C37="All",COUNTIFS(Units!$E:$E, $B37, Units!$G:$G, Q$4),COUNTIFS(Units!$E:$E, $B37, Units!$G:$G, Q$4, Units!$I:$I, $C37)
)
</f>
        <v>0</v>
      </c>
      <c r="R37" s="85">
        <f>IF($C37="All",COUNTIFS(Units!$E:$E, $B37, Units!$G:$G, R$4),COUNTIFS(Units!$E:$E, $B37, Units!$G:$G, R$4, Units!$I:$I, $C37)
)
</f>
        <v>0</v>
      </c>
      <c r="S37" s="85">
        <f>IF($C37="All",COUNTIFS(Units!$E:$E, $B37, Units!$G:$G, S$4),COUNTIFS(Units!$E:$E, $B37, Units!$G:$G, S$4, Units!$I:$I, $C37)
)
</f>
        <v>0</v>
      </c>
      <c r="T37" s="87">
        <f>IF($C37="All",COUNTIFS(Units!$E:$E, $B37, Units!$G:$G, T$4),COUNTIFS(Units!$E:$E, $B37, Units!$G:$G, T$4, Units!$I:$I, $C37)
)
</f>
        <v>0</v>
      </c>
      <c r="U37" s="87">
        <f>IF($C37="All",COUNTIFS(Units!$E:$E, $B37, Units!$G:$G, U$4),COUNTIFS(Units!$E:$E, $B37, Units!$G:$G, U$4, Units!$I:$I, $C37)
)
</f>
        <v>0</v>
      </c>
      <c r="V37" s="87">
        <f>IF($C37="All",COUNTIFS(Units!$E:$E, $B37, Units!$G:$G, V$4),COUNTIFS(Units!$E:$E, $B37, Units!$G:$G, V$4, Units!$I:$I, $C37)
)
</f>
        <v>0</v>
      </c>
      <c r="W37" s="87">
        <f>IF($C37="All",COUNTIFS(Units!$E:$E, $B37, Units!$G:$G, W$4),COUNTIFS(Units!$E:$E, $B37, Units!$G:$G, W$4, Units!$I:$I, $C37)
)
</f>
        <v>0</v>
      </c>
      <c r="X37" s="87">
        <f>IF($C37="All",COUNTIFS(Units!$E:$E, $B37, Units!$G:$G, X$4),COUNTIFS(Units!$E:$E, $B37, Units!$G:$G, X$4, Units!$I:$I, $C37)
)
</f>
        <v>0</v>
      </c>
      <c r="Y37" s="87">
        <f>IF($C37="All",COUNTIFS(Units!$E:$E, $B37, Units!$G:$G, Y$4),COUNTIFS(Units!$E:$E, $B37, Units!$G:$G, Y$4, Units!$I:$I, $C37)
)
</f>
        <v>0</v>
      </c>
      <c r="Z37" s="87">
        <f>IF($C37="All",COUNTIFS(Units!$E:$E, $B37, Units!$G:$G, Z$4),COUNTIFS(Units!$E:$E, $B37, Units!$G:$G, Z$4, Units!$I:$I, $C37)
)
</f>
        <v>0</v>
      </c>
      <c r="AA37" s="87">
        <f>IF($C37="All",COUNTIFS(Units!$E:$E, $B37, Units!$G:$G, AA$4),COUNTIFS(Units!$E:$E, $B37, Units!$G:$G, AA$4, Units!$I:$I, $C37)
)
</f>
        <v>0</v>
      </c>
      <c r="AB37" s="87">
        <f>IF($C37="All",COUNTIFS(Units!$E:$E, $B37, Units!$G:$G, AB$4),COUNTIFS(Units!$E:$E, $B37, Units!$G:$G, AB$4, Units!$I:$I, $C37)
)
</f>
        <v>0</v>
      </c>
      <c r="AC37" s="87">
        <f>IF($C37="All",COUNTIFS(Units!$E:$E, $B37, Units!$G:$G, AC$4),COUNTIFS(Units!$E:$E, $B37, Units!$G:$G, AC$4, Units!$I:$I, $C37)
)
</f>
        <v>0</v>
      </c>
      <c r="AD37" s="85">
        <f t="shared" si="2"/>
        <v>0</v>
      </c>
      <c r="AE37" s="85">
        <f t="shared" si="3"/>
        <v>0</v>
      </c>
      <c r="AF37" s="87">
        <f t="shared" si="4"/>
        <v>0</v>
      </c>
      <c r="AG37" s="91">
        <f t="shared" si="5"/>
        <v>0</v>
      </c>
      <c r="AJ37" s="94"/>
      <c r="AO37" s="94"/>
      <c r="AP37" s="85">
        <f>IF($C37="All",COUNTIFS(Units!$E:$E, $B37, Units!$M:$M, "&lt;&gt;1"),COUNTIFS(Units!$E:$E, $B37, Units!$M:$M, "&lt;&gt;1", Units!$I:$I, $C37)
)
</f>
        <v>0</v>
      </c>
      <c r="AQ37" s="94">
        <f>IF($C37="All",COUNTIFS(Units!$E:$E, $B37, Units!$S:$S, "*Maneouverable*"),COUNTIFS(Units!$E:$E, $B37, Units!$S:$S, "*Maneouverable*", Units!$I:$I, $C37)
)
</f>
        <v>0</v>
      </c>
      <c r="AR37" s="96" t="str">
        <f>IF($C37="All", 
    AVERAGEIFS(Units!$Q:$Q, Units!$E:$E, $B37, Units!$AY:$AY, false), 
    AVERAGEIFS(Units!$Q:$Q, Units!$E:$E, $B37, Units!$I:$I, $C37, Units!$AY:$AY, false)
)
</f>
        <v>#DIV/0!</v>
      </c>
      <c r="AS37" s="85">
        <f>IF($C37="All",COUNTIFS(Units!$E:$E, $B37, Units!$Q:$Q, "&lt;&gt;1"),COUNTIFS(Units!$E:$E, $B37, Units!$Q:$Q, "&lt;&gt;1", Units!$I:$I, $C37)
)</f>
        <v>0</v>
      </c>
      <c r="AT37" s="85">
        <f>AS37 - IF($C37="All",COUNTIFS(Units!$E:$E, $B37, Units!$Q:$Q, 2),COUNTIFS(Units!$E:$E, $B37, Units!$Q:$Q, 2, Units!$I:$I, $C37)
)</f>
        <v>0</v>
      </c>
      <c r="AU37" s="96" t="str">
        <f>IF($C37="All", 
    AVERAGEIFS(Units!$AQ:$AQ, Units!$E:$E, $B37, Units!$AY:$AY, false), 
    AVERAGEIFS(Units!$AQ:$AQ, Units!$E:$E, $B37, Units!$I:$I, $C37, Units!$AY:$AY, false)
)
</f>
        <v>#DIV/0!</v>
      </c>
      <c r="AV37" s="96" t="str">
        <f>IF($C37="All", 
    AVERAGEIFS(Units!$AR:$AR, Units!$E:$E, $B37, Units!$AY:$AY, false), 
    AVERAGEIFS(Units!$AR:$AR, Units!$E:$E, $B37, Units!$I:$I, $C37, Units!$AY:$AY, false)
)</f>
        <v>#DIV/0!</v>
      </c>
      <c r="AW37" s="96" t="str">
        <f>IF($C37="All", 
    AVERAGEIFS(Units!$AW:$AW, Units!$E:$E, $B37, Units!$AY:$AY, false), 
    AVERAGEIFS(Units!$AW:$AW, Units!$E:$E, $B37, Units!$I:$I, $C37, Units!$AY:$AY, false)
)
</f>
        <v>#DIV/0!</v>
      </c>
    </row>
    <row r="38" ht="22.5" hidden="1" customHeight="1">
      <c r="A38" s="82" t="str">
        <f t="shared" si="1"/>
        <v>09</v>
      </c>
      <c r="B38" s="85" t="str">
        <f>VLOOKUP(A38, Factions!A:B, 2, FALSE)</f>
        <v>Slimes</v>
      </c>
      <c r="C38" s="83">
        <v>2.0</v>
      </c>
      <c r="D38" s="85">
        <f>IF($C38="All",COUNTIFS(Units!$E:$E, $B38),COUNTIFS(Units!$E:$E, $B38, Units!$I:$I, $C38)
)
</f>
        <v>0</v>
      </c>
      <c r="E38" s="85">
        <f>IF($C38="All",COUNTIFS(Units!$E:$E, $B38, Units!$G:$G, E$4),COUNTIFS(Units!$E:$E, $B38, Units!$G:$G, E$4, Units!$I:$I, $C38)
)
</f>
        <v>0</v>
      </c>
      <c r="F38" s="85">
        <f>IF($C38="All",COUNTIFS(Units!$E:$E, $B38, Units!$G:$G, F$4),COUNTIFS(Units!$E:$E, $B38, Units!$G:$G, F$4, Units!$I:$I, $C38)
)
</f>
        <v>0</v>
      </c>
      <c r="G38" s="85">
        <f>IF($C38="All",COUNTIFS(Units!$E:$E, $B38, Units!$G:$G, G$4),COUNTIFS(Units!$E:$E, $B38, Units!$G:$G, G$4, Units!$I:$I, $C38)
)
</f>
        <v>0</v>
      </c>
      <c r="H38" s="85">
        <f>IF($C38="All",COUNTIFS(Units!$E:$E, $B38, Units!$G:$G, H$4),COUNTIFS(Units!$E:$E, $B38, Units!$G:$G, H$4, Units!$I:$I, $C38)
)
</f>
        <v>0</v>
      </c>
      <c r="I38" s="85">
        <f>IF($C38="All",COUNTIFS(Units!$E:$E, $B38, Units!$G:$G, I$4),COUNTIFS(Units!$E:$E, $B38, Units!$G:$G, I$4, Units!$I:$I, $C38)
)
</f>
        <v>0</v>
      </c>
      <c r="J38" s="85">
        <f>IF($C38="All",COUNTIFS(Units!$E:$E, $B38, Units!$G:$G, J$4),COUNTIFS(Units!$E:$E, $B38, Units!$G:$G, J$4, Units!$I:$I, $C38)
)
</f>
        <v>0</v>
      </c>
      <c r="K38" s="85">
        <f>IF($C38="All",COUNTIFS(Units!$E:$E, $B38, Units!$G:$G, K$4),COUNTIFS(Units!$E:$E, $B38, Units!$G:$G, K$4, Units!$I:$I, $C38)
)
</f>
        <v>0</v>
      </c>
      <c r="L38" s="85">
        <f>IF($C38="All",COUNTIFS(Units!$E:$E, $B38, Units!$G:$G, L$4),COUNTIFS(Units!$E:$E, $B38, Units!$G:$G, L$4, Units!$I:$I, $C38)
)
</f>
        <v>0</v>
      </c>
      <c r="N38" s="85">
        <f>IF($C38="All",COUNTIFS(Units!$E:$E, $B38, Units!$G:$G, N$4),COUNTIFS(Units!$E:$E, $B38, Units!$G:$G, N$4, Units!$I:$I, $C38)
)
</f>
        <v>0</v>
      </c>
      <c r="O38" s="85">
        <f>IF($C38="All",COUNTIFS(Units!$E:$E, $B38, Units!$G:$G, O$4),COUNTIFS(Units!$E:$E, $B38, Units!$G:$G, O$4, Units!$I:$I, $C38)
)
</f>
        <v>0</v>
      </c>
      <c r="P38" s="85">
        <f>IF($C38="All",COUNTIFS(Units!$E:$E, $B38, Units!$G:$G, P$4),COUNTIFS(Units!$E:$E, $B38, Units!$G:$G, P$4, Units!$I:$I, $C38)
)
</f>
        <v>0</v>
      </c>
      <c r="Q38" s="85">
        <f>IF($C38="All",COUNTIFS(Units!$E:$E, $B38, Units!$G:$G, Q$4),COUNTIFS(Units!$E:$E, $B38, Units!$G:$G, Q$4, Units!$I:$I, $C38)
)
</f>
        <v>0</v>
      </c>
      <c r="R38" s="85">
        <f>IF($C38="All",COUNTIFS(Units!$E:$E, $B38, Units!$G:$G, R$4),COUNTIFS(Units!$E:$E, $B38, Units!$G:$G, R$4, Units!$I:$I, $C38)
)
</f>
        <v>0</v>
      </c>
      <c r="S38" s="85">
        <f>IF($C38="All",COUNTIFS(Units!$E:$E, $B38, Units!$G:$G, S$4),COUNTIFS(Units!$E:$E, $B38, Units!$G:$G, S$4, Units!$I:$I, $C38)
)
</f>
        <v>0</v>
      </c>
      <c r="T38" s="87">
        <f>IF($C38="All",COUNTIFS(Units!$E:$E, $B38, Units!$G:$G, T$4),COUNTIFS(Units!$E:$E, $B38, Units!$G:$G, T$4, Units!$I:$I, $C38)
)
</f>
        <v>0</v>
      </c>
      <c r="U38" s="87">
        <f>IF($C38="All",COUNTIFS(Units!$E:$E, $B38, Units!$G:$G, U$4),COUNTIFS(Units!$E:$E, $B38, Units!$G:$G, U$4, Units!$I:$I, $C38)
)
</f>
        <v>0</v>
      </c>
      <c r="V38" s="87">
        <f>IF($C38="All",COUNTIFS(Units!$E:$E, $B38, Units!$G:$G, V$4),COUNTIFS(Units!$E:$E, $B38, Units!$G:$G, V$4, Units!$I:$I, $C38)
)
</f>
        <v>0</v>
      </c>
      <c r="W38" s="87">
        <f>IF($C38="All",COUNTIFS(Units!$E:$E, $B38, Units!$G:$G, W$4),COUNTIFS(Units!$E:$E, $B38, Units!$G:$G, W$4, Units!$I:$I, $C38)
)
</f>
        <v>0</v>
      </c>
      <c r="X38" s="87">
        <f>IF($C38="All",COUNTIFS(Units!$E:$E, $B38, Units!$G:$G, X$4),COUNTIFS(Units!$E:$E, $B38, Units!$G:$G, X$4, Units!$I:$I, $C38)
)
</f>
        <v>0</v>
      </c>
      <c r="Y38" s="87">
        <f>IF($C38="All",COUNTIFS(Units!$E:$E, $B38, Units!$G:$G, Y$4),COUNTIFS(Units!$E:$E, $B38, Units!$G:$G, Y$4, Units!$I:$I, $C38)
)
</f>
        <v>0</v>
      </c>
      <c r="Z38" s="87">
        <f>IF($C38="All",COUNTIFS(Units!$E:$E, $B38, Units!$G:$G, Z$4),COUNTIFS(Units!$E:$E, $B38, Units!$G:$G, Z$4, Units!$I:$I, $C38)
)
</f>
        <v>0</v>
      </c>
      <c r="AA38" s="87">
        <f>IF($C38="All",COUNTIFS(Units!$E:$E, $B38, Units!$G:$G, AA$4),COUNTIFS(Units!$E:$E, $B38, Units!$G:$G, AA$4, Units!$I:$I, $C38)
)
</f>
        <v>0</v>
      </c>
      <c r="AB38" s="87">
        <f>IF($C38="All",COUNTIFS(Units!$E:$E, $B38, Units!$G:$G, AB$4),COUNTIFS(Units!$E:$E, $B38, Units!$G:$G, AB$4, Units!$I:$I, $C38)
)
</f>
        <v>0</v>
      </c>
      <c r="AC38" s="87">
        <f>IF($C38="All",COUNTIFS(Units!$E:$E, $B38, Units!$G:$G, AC$4),COUNTIFS(Units!$E:$E, $B38, Units!$G:$G, AC$4, Units!$I:$I, $C38)
)
</f>
        <v>0</v>
      </c>
      <c r="AD38" s="85">
        <f t="shared" si="2"/>
        <v>0</v>
      </c>
      <c r="AE38" s="85">
        <f t="shared" si="3"/>
        <v>0</v>
      </c>
      <c r="AF38" s="87">
        <f t="shared" si="4"/>
        <v>0</v>
      </c>
      <c r="AG38" s="91">
        <f t="shared" si="5"/>
        <v>0</v>
      </c>
      <c r="AJ38" s="94"/>
      <c r="AO38" s="94"/>
      <c r="AP38" s="85">
        <f>IF($C38="All",COUNTIFS(Units!$E:$E, $B38, Units!$M:$M, "&lt;&gt;1"),COUNTIFS(Units!$E:$E, $B38, Units!$M:$M, "&lt;&gt;1", Units!$I:$I, $C38)
)
</f>
        <v>0</v>
      </c>
      <c r="AQ38" s="94">
        <f>IF($C38="All",COUNTIFS(Units!$E:$E, $B38, Units!$S:$S, "*Maneouverable*"),COUNTIFS(Units!$E:$E, $B38, Units!$S:$S, "*Maneouverable*", Units!$I:$I, $C38)
)
</f>
        <v>0</v>
      </c>
      <c r="AR38" s="96" t="str">
        <f>IF($C38="All", 
    AVERAGEIFS(Units!$Q:$Q, Units!$E:$E, $B38, Units!$AY:$AY, false), 
    AVERAGEIFS(Units!$Q:$Q, Units!$E:$E, $B38, Units!$I:$I, $C38, Units!$AY:$AY, false)
)
</f>
        <v>#DIV/0!</v>
      </c>
      <c r="AS38" s="85">
        <f>IF($C38="All",COUNTIFS(Units!$E:$E, $B38, Units!$Q:$Q, "&lt;&gt;1"),COUNTIFS(Units!$E:$E, $B38, Units!$Q:$Q, "&lt;&gt;1", Units!$I:$I, $C38)
)</f>
        <v>0</v>
      </c>
      <c r="AT38" s="85">
        <f>AS38 - IF($C38="All",COUNTIFS(Units!$E:$E, $B38, Units!$Q:$Q, 2),COUNTIFS(Units!$E:$E, $B38, Units!$Q:$Q, 2, Units!$I:$I, $C38)
)</f>
        <v>0</v>
      </c>
      <c r="AU38" s="96" t="str">
        <f>IF($C38="All", 
    AVERAGEIFS(Units!$AQ:$AQ, Units!$E:$E, $B38, Units!$AY:$AY, false), 
    AVERAGEIFS(Units!$AQ:$AQ, Units!$E:$E, $B38, Units!$I:$I, $C38, Units!$AY:$AY, false)
)
</f>
        <v>#DIV/0!</v>
      </c>
      <c r="AV38" s="96" t="str">
        <f>IF($C38="All", 
    AVERAGEIFS(Units!$AR:$AR, Units!$E:$E, $B38, Units!$AY:$AY, false), 
    AVERAGEIFS(Units!$AR:$AR, Units!$E:$E, $B38, Units!$I:$I, $C38, Units!$AY:$AY, false)
)</f>
        <v>#DIV/0!</v>
      </c>
      <c r="AW38" s="96" t="str">
        <f>IF($C38="All", 
    AVERAGEIFS(Units!$AW:$AW, Units!$E:$E, $B38, Units!$AY:$AY, false), 
    AVERAGEIFS(Units!$AW:$AW, Units!$E:$E, $B38, Units!$I:$I, $C38, Units!$AY:$AY, false)
)
</f>
        <v>#DIV/0!</v>
      </c>
    </row>
    <row r="39" ht="22.5" hidden="1" customHeight="1">
      <c r="A39" s="82" t="str">
        <f t="shared" si="1"/>
        <v>09</v>
      </c>
      <c r="B39" s="85" t="str">
        <f>VLOOKUP(A39, Factions!A:B, 2, FALSE)</f>
        <v>Slimes</v>
      </c>
      <c r="C39" s="83">
        <v>3.0</v>
      </c>
      <c r="D39" s="85">
        <f>IF($C39="All",COUNTIFS(Units!$E:$E, $B39),COUNTIFS(Units!$E:$E, $B39, Units!$I:$I, $C39)
)
</f>
        <v>0</v>
      </c>
      <c r="E39" s="85">
        <f>IF($C39="All",COUNTIFS(Units!$E:$E, $B39, Units!$G:$G, E$4),COUNTIFS(Units!$E:$E, $B39, Units!$G:$G, E$4, Units!$I:$I, $C39)
)
</f>
        <v>0</v>
      </c>
      <c r="F39" s="85">
        <f>IF($C39="All",COUNTIFS(Units!$E:$E, $B39, Units!$G:$G, F$4),COUNTIFS(Units!$E:$E, $B39, Units!$G:$G, F$4, Units!$I:$I, $C39)
)
</f>
        <v>0</v>
      </c>
      <c r="G39" s="85">
        <f>IF($C39="All",COUNTIFS(Units!$E:$E, $B39, Units!$G:$G, G$4),COUNTIFS(Units!$E:$E, $B39, Units!$G:$G, G$4, Units!$I:$I, $C39)
)
</f>
        <v>0</v>
      </c>
      <c r="H39" s="85">
        <f>IF($C39="All",COUNTIFS(Units!$E:$E, $B39, Units!$G:$G, H$4),COUNTIFS(Units!$E:$E, $B39, Units!$G:$G, H$4, Units!$I:$I, $C39)
)
</f>
        <v>0</v>
      </c>
      <c r="I39" s="85">
        <f>IF($C39="All",COUNTIFS(Units!$E:$E, $B39, Units!$G:$G, I$4),COUNTIFS(Units!$E:$E, $B39, Units!$G:$G, I$4, Units!$I:$I, $C39)
)
</f>
        <v>0</v>
      </c>
      <c r="J39" s="85">
        <f>IF($C39="All",COUNTIFS(Units!$E:$E, $B39, Units!$G:$G, J$4),COUNTIFS(Units!$E:$E, $B39, Units!$G:$G, J$4, Units!$I:$I, $C39)
)
</f>
        <v>0</v>
      </c>
      <c r="K39" s="85">
        <f>IF($C39="All",COUNTIFS(Units!$E:$E, $B39, Units!$G:$G, K$4),COUNTIFS(Units!$E:$E, $B39, Units!$G:$G, K$4, Units!$I:$I, $C39)
)
</f>
        <v>0</v>
      </c>
      <c r="L39" s="85">
        <f>IF($C39="All",COUNTIFS(Units!$E:$E, $B39, Units!$G:$G, L$4),COUNTIFS(Units!$E:$E, $B39, Units!$G:$G, L$4, Units!$I:$I, $C39)
)
</f>
        <v>0</v>
      </c>
      <c r="N39" s="85">
        <f>IF($C39="All",COUNTIFS(Units!$E:$E, $B39, Units!$G:$G, N$4),COUNTIFS(Units!$E:$E, $B39, Units!$G:$G, N$4, Units!$I:$I, $C39)
)
</f>
        <v>0</v>
      </c>
      <c r="O39" s="85">
        <f>IF($C39="All",COUNTIFS(Units!$E:$E, $B39, Units!$G:$G, O$4),COUNTIFS(Units!$E:$E, $B39, Units!$G:$G, O$4, Units!$I:$I, $C39)
)
</f>
        <v>0</v>
      </c>
      <c r="P39" s="85">
        <f>IF($C39="All",COUNTIFS(Units!$E:$E, $B39, Units!$G:$G, P$4),COUNTIFS(Units!$E:$E, $B39, Units!$G:$G, P$4, Units!$I:$I, $C39)
)
</f>
        <v>0</v>
      </c>
      <c r="Q39" s="85">
        <f>IF($C39="All",COUNTIFS(Units!$E:$E, $B39, Units!$G:$G, Q$4),COUNTIFS(Units!$E:$E, $B39, Units!$G:$G, Q$4, Units!$I:$I, $C39)
)
</f>
        <v>0</v>
      </c>
      <c r="R39" s="85">
        <f>IF($C39="All",COUNTIFS(Units!$E:$E, $B39, Units!$G:$G, R$4),COUNTIFS(Units!$E:$E, $B39, Units!$G:$G, R$4, Units!$I:$I, $C39)
)
</f>
        <v>0</v>
      </c>
      <c r="S39" s="85">
        <f>IF($C39="All",COUNTIFS(Units!$E:$E, $B39, Units!$G:$G, S$4),COUNTIFS(Units!$E:$E, $B39, Units!$G:$G, S$4, Units!$I:$I, $C39)
)
</f>
        <v>0</v>
      </c>
      <c r="T39" s="87">
        <f>IF($C39="All",COUNTIFS(Units!$E:$E, $B39, Units!$G:$G, T$4),COUNTIFS(Units!$E:$E, $B39, Units!$G:$G, T$4, Units!$I:$I, $C39)
)
</f>
        <v>0</v>
      </c>
      <c r="U39" s="87">
        <f>IF($C39="All",COUNTIFS(Units!$E:$E, $B39, Units!$G:$G, U$4),COUNTIFS(Units!$E:$E, $B39, Units!$G:$G, U$4, Units!$I:$I, $C39)
)
</f>
        <v>0</v>
      </c>
      <c r="V39" s="87">
        <f>IF($C39="All",COUNTIFS(Units!$E:$E, $B39, Units!$G:$G, V$4),COUNTIFS(Units!$E:$E, $B39, Units!$G:$G, V$4, Units!$I:$I, $C39)
)
</f>
        <v>0</v>
      </c>
      <c r="W39" s="87">
        <f>IF($C39="All",COUNTIFS(Units!$E:$E, $B39, Units!$G:$G, W$4),COUNTIFS(Units!$E:$E, $B39, Units!$G:$G, W$4, Units!$I:$I, $C39)
)
</f>
        <v>0</v>
      </c>
      <c r="X39" s="87">
        <f>IF($C39="All",COUNTIFS(Units!$E:$E, $B39, Units!$G:$G, X$4),COUNTIFS(Units!$E:$E, $B39, Units!$G:$G, X$4, Units!$I:$I, $C39)
)
</f>
        <v>0</v>
      </c>
      <c r="Y39" s="87">
        <f>IF($C39="All",COUNTIFS(Units!$E:$E, $B39, Units!$G:$G, Y$4),COUNTIFS(Units!$E:$E, $B39, Units!$G:$G, Y$4, Units!$I:$I, $C39)
)
</f>
        <v>0</v>
      </c>
      <c r="Z39" s="87">
        <f>IF($C39="All",COUNTIFS(Units!$E:$E, $B39, Units!$G:$G, Z$4),COUNTIFS(Units!$E:$E, $B39, Units!$G:$G, Z$4, Units!$I:$I, $C39)
)
</f>
        <v>0</v>
      </c>
      <c r="AA39" s="87">
        <f>IF($C39="All",COUNTIFS(Units!$E:$E, $B39, Units!$G:$G, AA$4),COUNTIFS(Units!$E:$E, $B39, Units!$G:$G, AA$4, Units!$I:$I, $C39)
)
</f>
        <v>0</v>
      </c>
      <c r="AB39" s="87">
        <f>IF($C39="All",COUNTIFS(Units!$E:$E, $B39, Units!$G:$G, AB$4),COUNTIFS(Units!$E:$E, $B39, Units!$G:$G, AB$4, Units!$I:$I, $C39)
)
</f>
        <v>0</v>
      </c>
      <c r="AC39" s="87">
        <f>IF($C39="All",COUNTIFS(Units!$E:$E, $B39, Units!$G:$G, AC$4),COUNTIFS(Units!$E:$E, $B39, Units!$G:$G, AC$4, Units!$I:$I, $C39)
)
</f>
        <v>0</v>
      </c>
      <c r="AD39" s="85">
        <f t="shared" si="2"/>
        <v>0</v>
      </c>
      <c r="AE39" s="85">
        <f t="shared" si="3"/>
        <v>0</v>
      </c>
      <c r="AF39" s="87">
        <f t="shared" si="4"/>
        <v>0</v>
      </c>
      <c r="AG39" s="91">
        <f t="shared" si="5"/>
        <v>0</v>
      </c>
      <c r="AJ39" s="94"/>
      <c r="AO39" s="94"/>
      <c r="AP39" s="85">
        <f>IF($C39="All",COUNTIFS(Units!$E:$E, $B39, Units!$M:$M, "&lt;&gt;1"),COUNTIFS(Units!$E:$E, $B39, Units!$M:$M, "&lt;&gt;1", Units!$I:$I, $C39)
)
</f>
        <v>0</v>
      </c>
      <c r="AQ39" s="94">
        <f>IF($C39="All",COUNTIFS(Units!$E:$E, $B39, Units!$S:$S, "*Maneouverable*"),COUNTIFS(Units!$E:$E, $B39, Units!$S:$S, "*Maneouverable*", Units!$I:$I, $C39)
)
</f>
        <v>0</v>
      </c>
      <c r="AR39" s="96" t="str">
        <f>IF($C39="All", 
    AVERAGEIFS(Units!$Q:$Q, Units!$E:$E, $B39, Units!$AY:$AY, false), 
    AVERAGEIFS(Units!$Q:$Q, Units!$E:$E, $B39, Units!$I:$I, $C39, Units!$AY:$AY, false)
)
</f>
        <v>#DIV/0!</v>
      </c>
      <c r="AS39" s="85">
        <f>IF($C39="All",COUNTIFS(Units!$E:$E, $B39, Units!$Q:$Q, "&lt;&gt;1"),COUNTIFS(Units!$E:$E, $B39, Units!$Q:$Q, "&lt;&gt;1", Units!$I:$I, $C39)
)</f>
        <v>0</v>
      </c>
      <c r="AT39" s="85">
        <f>AS39 - IF($C39="All",COUNTIFS(Units!$E:$E, $B39, Units!$Q:$Q, 2),COUNTIFS(Units!$E:$E, $B39, Units!$Q:$Q, 2, Units!$I:$I, $C39)
)</f>
        <v>0</v>
      </c>
      <c r="AU39" s="96" t="str">
        <f>IF($C39="All", 
    AVERAGEIFS(Units!$AQ:$AQ, Units!$E:$E, $B39, Units!$AY:$AY, false), 
    AVERAGEIFS(Units!$AQ:$AQ, Units!$E:$E, $B39, Units!$I:$I, $C39, Units!$AY:$AY, false)
)
</f>
        <v>#DIV/0!</v>
      </c>
      <c r="AV39" s="96" t="str">
        <f>IF($C39="All", 
    AVERAGEIFS(Units!$AR:$AR, Units!$E:$E, $B39, Units!$AY:$AY, false), 
    AVERAGEIFS(Units!$AR:$AR, Units!$E:$E, $B39, Units!$I:$I, $C39, Units!$AY:$AY, false)
)</f>
        <v>#DIV/0!</v>
      </c>
      <c r="AW39" s="96" t="str">
        <f>IF($C39="All", 
    AVERAGEIFS(Units!$AW:$AW, Units!$E:$E, $B39, Units!$AY:$AY, false), 
    AVERAGEIFS(Units!$AW:$AW, Units!$E:$E, $B39, Units!$I:$I, $C39, Units!$AY:$AY, false)
)
</f>
        <v>#DIV/0!</v>
      </c>
    </row>
    <row r="40" ht="22.5" customHeight="1">
      <c r="A40" s="82" t="str">
        <f t="shared" si="1"/>
        <v>09</v>
      </c>
      <c r="B40" s="85" t="str">
        <f>VLOOKUP(A40, Factions!A:B, 2, FALSE)</f>
        <v>Slimes</v>
      </c>
      <c r="C40" s="83" t="s">
        <v>382</v>
      </c>
      <c r="D40" s="85">
        <f>IF($C40="All",COUNTIFS(Units!$E:$E, $B40),COUNTIFS(Units!$E:$E, $B40, Units!$I:$I, $C40)
)
</f>
        <v>1</v>
      </c>
      <c r="E40" s="85">
        <f>IF($C40="All",COUNTIFS(Units!$E:$E, $B40, Units!$G:$G, E$4),COUNTIFS(Units!$E:$E, $B40, Units!$G:$G, E$4, Units!$I:$I, $C40)
)
</f>
        <v>0</v>
      </c>
      <c r="F40" s="85">
        <f>IF($C40="All",COUNTIFS(Units!$E:$E, $B40, Units!$G:$G, F$4),COUNTIFS(Units!$E:$E, $B40, Units!$G:$G, F$4, Units!$I:$I, $C40)
)
</f>
        <v>0</v>
      </c>
      <c r="G40" s="85">
        <f>IF($C40="All",COUNTIFS(Units!$E:$E, $B40, Units!$G:$G, G$4),COUNTIFS(Units!$E:$E, $B40, Units!$G:$G, G$4, Units!$I:$I, $C40)
)
</f>
        <v>0</v>
      </c>
      <c r="H40" s="85">
        <f>IF($C40="All",COUNTIFS(Units!$E:$E, $B40, Units!$G:$G, H$4),COUNTIFS(Units!$E:$E, $B40, Units!$G:$G, H$4, Units!$I:$I, $C40)
)
</f>
        <v>0</v>
      </c>
      <c r="I40" s="85">
        <f>IF($C40="All",COUNTIFS(Units!$E:$E, $B40, Units!$G:$G, I$4),COUNTIFS(Units!$E:$E, $B40, Units!$G:$G, I$4, Units!$I:$I, $C40)
)
</f>
        <v>0</v>
      </c>
      <c r="J40" s="85">
        <f>IF($C40="All",COUNTIFS(Units!$E:$E, $B40, Units!$G:$G, J$4),COUNTIFS(Units!$E:$E, $B40, Units!$G:$G, J$4, Units!$I:$I, $C40)
)
</f>
        <v>0</v>
      </c>
      <c r="K40" s="85">
        <f>IF($C40="All",COUNTIFS(Units!$E:$E, $B40, Units!$G:$G, K$4),COUNTIFS(Units!$E:$E, $B40, Units!$G:$G, K$4, Units!$I:$I, $C40)
)
</f>
        <v>0</v>
      </c>
      <c r="L40" s="85">
        <f>IF($C40="All",COUNTIFS(Units!$E:$E, $B40, Units!$G:$G, L$4),COUNTIFS(Units!$E:$E, $B40, Units!$G:$G, L$4, Units!$I:$I, $C40)
)
</f>
        <v>0</v>
      </c>
      <c r="N40" s="85">
        <f>IF($C40="All",COUNTIFS(Units!$E:$E, $B40, Units!$G:$G, N$4),COUNTIFS(Units!$E:$E, $B40, Units!$G:$G, N$4, Units!$I:$I, $C40)
)
</f>
        <v>0</v>
      </c>
      <c r="O40" s="85">
        <f>IF($C40="All",COUNTIFS(Units!$E:$E, $B40, Units!$G:$G, O$4),COUNTIFS(Units!$E:$E, $B40, Units!$G:$G, O$4, Units!$I:$I, $C40)
)
</f>
        <v>0</v>
      </c>
      <c r="P40" s="85">
        <f>IF($C40="All",COUNTIFS(Units!$E:$E, $B40, Units!$G:$G, P$4),COUNTIFS(Units!$E:$E, $B40, Units!$G:$G, P$4, Units!$I:$I, $C40)
)
</f>
        <v>0</v>
      </c>
      <c r="Q40" s="85">
        <f>IF($C40="All",COUNTIFS(Units!$E:$E, $B40, Units!$G:$G, Q$4),COUNTIFS(Units!$E:$E, $B40, Units!$G:$G, Q$4, Units!$I:$I, $C40)
)
</f>
        <v>0</v>
      </c>
      <c r="R40" s="85">
        <f>IF($C40="All",COUNTIFS(Units!$E:$E, $B40, Units!$G:$G, R$4),COUNTIFS(Units!$E:$E, $B40, Units!$G:$G, R$4, Units!$I:$I, $C40)
)
</f>
        <v>0</v>
      </c>
      <c r="S40" s="85">
        <f>IF($C40="All",COUNTIFS(Units!$E:$E, $B40, Units!$G:$G, S$4),COUNTIFS(Units!$E:$E, $B40, Units!$G:$G, S$4, Units!$I:$I, $C40)
)
</f>
        <v>0</v>
      </c>
      <c r="T40" s="87">
        <f>IF($C40="All",COUNTIFS(Units!$E:$E, $B40, Units!$G:$G, T$4),COUNTIFS(Units!$E:$E, $B40, Units!$G:$G, T$4, Units!$I:$I, $C40)
)
</f>
        <v>0</v>
      </c>
      <c r="U40" s="87">
        <f>IF($C40="All",COUNTIFS(Units!$E:$E, $B40, Units!$G:$G, U$4),COUNTIFS(Units!$E:$E, $B40, Units!$G:$G, U$4, Units!$I:$I, $C40)
)
</f>
        <v>0</v>
      </c>
      <c r="V40" s="87">
        <f>IF($C40="All",COUNTIFS(Units!$E:$E, $B40, Units!$G:$G, V$4),COUNTIFS(Units!$E:$E, $B40, Units!$G:$G, V$4, Units!$I:$I, $C40)
)
</f>
        <v>0</v>
      </c>
      <c r="W40" s="87">
        <f>IF($C40="All",COUNTIFS(Units!$E:$E, $B40, Units!$G:$G, W$4),COUNTIFS(Units!$E:$E, $B40, Units!$G:$G, W$4, Units!$I:$I, $C40)
)
</f>
        <v>0</v>
      </c>
      <c r="X40" s="87">
        <f>IF($C40="All",COUNTIFS(Units!$E:$E, $B40, Units!$G:$G, X$4),COUNTIFS(Units!$E:$E, $B40, Units!$G:$G, X$4, Units!$I:$I, $C40)
)
</f>
        <v>0</v>
      </c>
      <c r="Y40" s="87">
        <f>IF($C40="All",COUNTIFS(Units!$E:$E, $B40, Units!$G:$G, Y$4),COUNTIFS(Units!$E:$E, $B40, Units!$G:$G, Y$4, Units!$I:$I, $C40)
)
</f>
        <v>0</v>
      </c>
      <c r="Z40" s="87">
        <f>IF($C40="All",COUNTIFS(Units!$E:$E, $B40, Units!$G:$G, Z$4),COUNTIFS(Units!$E:$E, $B40, Units!$G:$G, Z$4, Units!$I:$I, $C40)
)
</f>
        <v>0</v>
      </c>
      <c r="AA40" s="87">
        <f>IF($C40="All",COUNTIFS(Units!$E:$E, $B40, Units!$G:$G, AA$4),COUNTIFS(Units!$E:$E, $B40, Units!$G:$G, AA$4, Units!$I:$I, $C40)
)
</f>
        <v>0</v>
      </c>
      <c r="AB40" s="87">
        <f>IF($C40="All",COUNTIFS(Units!$E:$E, $B40, Units!$G:$G, AB$4),COUNTIFS(Units!$E:$E, $B40, Units!$G:$G, AB$4, Units!$I:$I, $C40)
)
</f>
        <v>0</v>
      </c>
      <c r="AC40" s="87">
        <f>IF($C40="All",COUNTIFS(Units!$E:$E, $B40, Units!$G:$G, AC$4),COUNTIFS(Units!$E:$E, $B40, Units!$G:$G, AC$4, Units!$I:$I, $C40)
)
</f>
        <v>0</v>
      </c>
      <c r="AD40" s="85">
        <f t="shared" si="2"/>
        <v>0</v>
      </c>
      <c r="AE40" s="85">
        <f t="shared" si="3"/>
        <v>0</v>
      </c>
      <c r="AF40" s="87">
        <f t="shared" si="4"/>
        <v>0</v>
      </c>
      <c r="AG40" s="91">
        <f t="shared" si="5"/>
        <v>0</v>
      </c>
      <c r="AJ40" s="94"/>
      <c r="AO40" s="94"/>
      <c r="AP40" s="85">
        <f>IF($C40="All",COUNTIFS(Units!$E:$E, $B40, Units!$M:$M, "&lt;&gt;1"),COUNTIFS(Units!$E:$E, $B40, Units!$M:$M, "&lt;&gt;1", Units!$I:$I, $C40)
)
</f>
        <v>0</v>
      </c>
      <c r="AQ40" s="94">
        <f>IF($C40="All",COUNTIFS(Units!$E:$E, $B40, Units!$S:$S, "*Maneouverable*"),COUNTIFS(Units!$E:$E, $B40, Units!$S:$S, "*Maneouverable*", Units!$I:$I, $C40)
)
</f>
        <v>0</v>
      </c>
      <c r="AR40" s="96" t="str">
        <f>IF($C40="All", 
    AVERAGEIFS(Units!$Q:$Q, Units!$E:$E, $B40, Units!$AY:$AY, false), 
    AVERAGEIFS(Units!$Q:$Q, Units!$E:$E, $B40, Units!$I:$I, $C40, Units!$AY:$AY, false)
)
</f>
        <v>#DIV/0!</v>
      </c>
      <c r="AS40" s="85">
        <f>IF($C40="All",COUNTIFS(Units!$E:$E, $B40, Units!$Q:$Q, "&lt;&gt;1"),COUNTIFS(Units!$E:$E, $B40, Units!$Q:$Q, "&lt;&gt;1", Units!$I:$I, $C40)
)</f>
        <v>0</v>
      </c>
      <c r="AT40" s="85">
        <f>AS40 - IF($C40="All",COUNTIFS(Units!$E:$E, $B40, Units!$Q:$Q, 2),COUNTIFS(Units!$E:$E, $B40, Units!$Q:$Q, 2, Units!$I:$I, $C40)
)</f>
        <v>0</v>
      </c>
      <c r="AU40" s="96">
        <f>IF($C40="All", 
    AVERAGEIFS(Units!$AQ:$AQ, Units!$E:$E, $B40, Units!$AY:$AY, false), 
    AVERAGEIFS(Units!$AQ:$AQ, Units!$E:$E, $B40, Units!$I:$I, $C40, Units!$AY:$AY, false)
)
</f>
        <v>0</v>
      </c>
      <c r="AV40" s="96">
        <f>IF($C40="All", 
    AVERAGEIFS(Units!$AR:$AR, Units!$E:$E, $B40, Units!$AY:$AY, false), 
    AVERAGEIFS(Units!$AR:$AR, Units!$E:$E, $B40, Units!$I:$I, $C40, Units!$AY:$AY, false)
)</f>
        <v>0</v>
      </c>
      <c r="AW40" s="96">
        <f>IF($C40="All", 
    AVERAGEIFS(Units!$AW:$AW, Units!$E:$E, $B40, Units!$AY:$AY, false), 
    AVERAGEIFS(Units!$AW:$AW, Units!$E:$E, $B40, Units!$I:$I, $C40, Units!$AY:$AY, false)
)
</f>
        <v>0</v>
      </c>
    </row>
    <row r="41" ht="22.5" hidden="1" customHeight="1">
      <c r="C41" s="94"/>
      <c r="D41" s="85">
        <f>IF($C41="All",COUNTIFS(Units!$E:$E, $B41),COUNTIFS(Units!$E:$E, $B41, Units!$I:$I, $C41)
)
</f>
        <v>0</v>
      </c>
      <c r="E41" s="85">
        <f>IF($C41="All",COUNTIFS(Units!$E:$E, $B41, Units!$G:$G, E$4),COUNTIFS(Units!$E:$E, $B41, Units!$G:$G, E$4, Units!$I:$I, $C41)
)
</f>
        <v>0</v>
      </c>
      <c r="F41" s="85">
        <f>IF($C41="All",COUNTIFS(Units!$E:$E, $B41, Units!$G:$G, F$4),COUNTIFS(Units!$E:$E, $B41, Units!$G:$G, F$4, Units!$I:$I, $C41)
)
</f>
        <v>0</v>
      </c>
      <c r="G41" s="85">
        <f>IF($C41="All",COUNTIFS(Units!$E:$E, $B41, Units!$G:$G, G$4),COUNTIFS(Units!$E:$E, $B41, Units!$G:$G, G$4, Units!$I:$I, $C41)
)
</f>
        <v>0</v>
      </c>
      <c r="H41" s="85">
        <f>IF($C41="All",COUNTIFS(Units!$E:$E, $B41, Units!$G:$G, H$4),COUNTIFS(Units!$E:$E, $B41, Units!$G:$G, H$4, Units!$I:$I, $C41)
)
</f>
        <v>0</v>
      </c>
      <c r="I41" s="85">
        <f>IF($C41="All",COUNTIFS(Units!$E:$E, $B41, Units!$G:$G, I$4),COUNTIFS(Units!$E:$E, $B41, Units!$G:$G, I$4, Units!$I:$I, $C41)
)
</f>
        <v>0</v>
      </c>
      <c r="J41" s="85">
        <f>IF($C41="All",COUNTIFS(Units!$E:$E, $B41, Units!$G:$G, J$4),COUNTIFS(Units!$E:$E, $B41, Units!$G:$G, J$4, Units!$I:$I, $C41)
)
</f>
        <v>0</v>
      </c>
      <c r="K41" s="85">
        <f>IF($C41="All",COUNTIFS(Units!$E:$E, $B41, Units!$G:$G, K$4),COUNTIFS(Units!$E:$E, $B41, Units!$G:$G, K$4, Units!$I:$I, $C41)
)
</f>
        <v>0</v>
      </c>
      <c r="L41" s="85">
        <f>IF($C41="All",COUNTIFS(Units!$E:$E, $B41, Units!$G:$G, L$4),COUNTIFS(Units!$E:$E, $B41, Units!$G:$G, L$4, Units!$I:$I, $C41)
)
</f>
        <v>0</v>
      </c>
      <c r="N41" s="85">
        <f>IF($C41="All",COUNTIFS(Units!$E:$E, $B41, Units!$G:$G, N$4),COUNTIFS(Units!$E:$E, $B41, Units!$G:$G, N$4, Units!$I:$I, $C41)
)
</f>
        <v>0</v>
      </c>
      <c r="O41" s="85">
        <f>IF($C41="All",COUNTIFS(Units!$E:$E, $B41, Units!$G:$G, O$4),COUNTIFS(Units!$E:$E, $B41, Units!$G:$G, O$4, Units!$I:$I, $C41)
)
</f>
        <v>0</v>
      </c>
      <c r="P41" s="85">
        <f>IF($C41="All",COUNTIFS(Units!$E:$E, $B41, Units!$G:$G, P$4),COUNTIFS(Units!$E:$E, $B41, Units!$G:$G, P$4, Units!$I:$I, $C41)
)
</f>
        <v>0</v>
      </c>
      <c r="Q41" s="85">
        <f>IF($C41="All",COUNTIFS(Units!$E:$E, $B41, Units!$G:$G, Q$4),COUNTIFS(Units!$E:$E, $B41, Units!$G:$G, Q$4, Units!$I:$I, $C41)
)
</f>
        <v>0</v>
      </c>
      <c r="R41" s="85">
        <f>IF($C41="All",COUNTIFS(Units!$E:$E, $B41, Units!$G:$G, R$4),COUNTIFS(Units!$E:$E, $B41, Units!$G:$G, R$4, Units!$I:$I, $C41)
)
</f>
        <v>0</v>
      </c>
      <c r="S41" s="85">
        <f>IF($C41="All",COUNTIFS(Units!$E:$E, $B41, Units!$G:$G, S$4),COUNTIFS(Units!$E:$E, $B41, Units!$G:$G, S$4, Units!$I:$I, $C41)
)
</f>
        <v>0</v>
      </c>
      <c r="T41" s="87">
        <f>IF($C41="All",COUNTIFS(Units!$E:$E, $B41, Units!$G:$G, T$4),COUNTIFS(Units!$E:$E, $B41, Units!$G:$G, T$4, Units!$I:$I, $C41)
)
</f>
        <v>0</v>
      </c>
      <c r="U41" s="87">
        <f>IF($C41="All",COUNTIFS(Units!$E:$E, $B41, Units!$G:$G, U$4),COUNTIFS(Units!$E:$E, $B41, Units!$G:$G, U$4, Units!$I:$I, $C41)
)
</f>
        <v>0</v>
      </c>
      <c r="V41" s="87">
        <f>IF($C41="All",COUNTIFS(Units!$E:$E, $B41, Units!$G:$G, V$4),COUNTIFS(Units!$E:$E, $B41, Units!$G:$G, V$4, Units!$I:$I, $C41)
)
</f>
        <v>0</v>
      </c>
      <c r="W41" s="87">
        <f>IF($C41="All",COUNTIFS(Units!$E:$E, $B41, Units!$G:$G, W$4),COUNTIFS(Units!$E:$E, $B41, Units!$G:$G, W$4, Units!$I:$I, $C41)
)
</f>
        <v>0</v>
      </c>
      <c r="X41" s="87">
        <f>IF($C41="All",COUNTIFS(Units!$E:$E, $B41, Units!$G:$G, X$4),COUNTIFS(Units!$E:$E, $B41, Units!$G:$G, X$4, Units!$I:$I, $C41)
)
</f>
        <v>0</v>
      </c>
      <c r="Y41" s="87">
        <f>IF($C41="All",COUNTIFS(Units!$E:$E, $B41, Units!$G:$G, Y$4),COUNTIFS(Units!$E:$E, $B41, Units!$G:$G, Y$4, Units!$I:$I, $C41)
)
</f>
        <v>0</v>
      </c>
      <c r="Z41" s="87">
        <f>IF($C41="All",COUNTIFS(Units!$E:$E, $B41, Units!$G:$G, Z$4),COUNTIFS(Units!$E:$E, $B41, Units!$G:$G, Z$4, Units!$I:$I, $C41)
)
</f>
        <v>0</v>
      </c>
      <c r="AA41" s="87">
        <f>IF($C41="All",COUNTIFS(Units!$E:$E, $B41, Units!$G:$G, AA$4),COUNTIFS(Units!$E:$E, $B41, Units!$G:$G, AA$4, Units!$I:$I, $C41)
)
</f>
        <v>0</v>
      </c>
      <c r="AB41" s="87">
        <f>IF($C41="All",COUNTIFS(Units!$E:$E, $B41, Units!$G:$G, AB$4),COUNTIFS(Units!$E:$E, $B41, Units!$G:$G, AB$4, Units!$I:$I, $C41)
)
</f>
        <v>0</v>
      </c>
      <c r="AC41" s="87">
        <f>IF($C41="All",COUNTIFS(Units!$E:$E, $B41, Units!$G:$G, AC$4),COUNTIFS(Units!$E:$E, $B41, Units!$G:$G, AC$4, Units!$I:$I, $C41)
)
</f>
        <v>0</v>
      </c>
      <c r="AD41" s="85">
        <f t="shared" si="2"/>
        <v>0</v>
      </c>
      <c r="AE41" s="85">
        <f t="shared" si="3"/>
        <v>0</v>
      </c>
      <c r="AF41" s="87">
        <f t="shared" si="4"/>
        <v>0</v>
      </c>
      <c r="AG41" s="91">
        <f t="shared" si="5"/>
        <v>0</v>
      </c>
      <c r="AJ41" s="94"/>
      <c r="AO41" s="94"/>
      <c r="AP41" s="85">
        <f>IF($C41="All",COUNTIFS(Units!$E:$E, $B41, Units!$M:$M, "&lt;&gt;1"),COUNTIFS(Units!$E:$E, $B41, Units!$M:$M, "&lt;&gt;1", Units!$I:$I, $C41)
)
</f>
        <v>0</v>
      </c>
      <c r="AQ41" s="94">
        <f>IF($C41="All",COUNTIFS(Units!$E:$E, $B41, Units!$S:$S, "*Maneouverable*"),COUNTIFS(Units!$E:$E, $B41, Units!$S:$S, "*Maneouverable*", Units!$I:$I, $C41)
)
</f>
        <v>0</v>
      </c>
      <c r="AR41" s="96" t="str">
        <f>IF($C41="All", 
    AVERAGEIFS(Units!$Q:$Q, Units!$E:$E, $B41, Units!$AY:$AY, false), 
    AVERAGEIFS(Units!$Q:$Q, Units!$E:$E, $B41, Units!$I:$I, $C41, Units!$AY:$AY, false)
)
</f>
        <v>#DIV/0!</v>
      </c>
      <c r="AS41" s="85">
        <f>IF($C41="All",COUNTIFS(Units!$E:$E, $B41, Units!$Q:$Q, "&lt;&gt;1"),COUNTIFS(Units!$E:$E, $B41, Units!$Q:$Q, "&lt;&gt;1", Units!$I:$I, $C41)
)</f>
        <v>0</v>
      </c>
      <c r="AT41" s="85">
        <f>AS41 - IF($C41="All",COUNTIFS(Units!$E:$E, $B41, Units!$Q:$Q, 2),COUNTIFS(Units!$E:$E, $B41, Units!$Q:$Q, 2, Units!$I:$I, $C41)
)</f>
        <v>0</v>
      </c>
      <c r="AU41" s="96" t="str">
        <f>IF($C41="All", 
    AVERAGEIFS(Units!$AQ:$AQ, Units!$E:$E, $B41, Units!$AY:$AY, false), 
    AVERAGEIFS(Units!$AQ:$AQ, Units!$E:$E, $B41, Units!$I:$I, $C41, Units!$AY:$AY, false)
)
</f>
        <v>#DIV/0!</v>
      </c>
      <c r="AV41" s="96" t="str">
        <f>IF($C41="All", 
    AVERAGEIFS(Units!$AR:$AR, Units!$E:$E, $B41, Units!$AY:$AY, false), 
    AVERAGEIFS(Units!$AR:$AR, Units!$E:$E, $B41, Units!$I:$I, $C41, Units!$AY:$AY, false)
)</f>
        <v>#DIV/0!</v>
      </c>
      <c r="AW41" s="96" t="str">
        <f>IF($C41="All", 
    AVERAGEIFS(Units!$AW:$AW, Units!$E:$E, $B41, Units!$AY:$AY, false), 
    AVERAGEIFS(Units!$AW:$AW, Units!$E:$E, $B41, Units!$I:$I, $C41, Units!$AY:$AY, false)
)
</f>
        <v>#DIV/0!</v>
      </c>
    </row>
    <row r="42" ht="22.5" hidden="1" customHeight="1">
      <c r="C42" s="94"/>
      <c r="D42" s="85">
        <f>IF($C42="All",COUNTIFS(Units!$E:$E, $B42),COUNTIFS(Units!$E:$E, $B42, Units!$I:$I, $C42)
)
</f>
        <v>0</v>
      </c>
      <c r="E42" s="85">
        <f>IF($C42="All",COUNTIFS(Units!$E:$E, $B42, Units!$G:$G, E$4),COUNTIFS(Units!$E:$E, $B42, Units!$G:$G, E$4, Units!$I:$I, $C42)
)
</f>
        <v>0</v>
      </c>
      <c r="F42" s="85">
        <f>IF($C42="All",COUNTIFS(Units!$E:$E, $B42, Units!$G:$G, F$4),COUNTIFS(Units!$E:$E, $B42, Units!$G:$G, F$4, Units!$I:$I, $C42)
)
</f>
        <v>0</v>
      </c>
      <c r="G42" s="85">
        <f>IF($C42="All",COUNTIFS(Units!$E:$E, $B42, Units!$G:$G, G$4),COUNTIFS(Units!$E:$E, $B42, Units!$G:$G, G$4, Units!$I:$I, $C42)
)
</f>
        <v>0</v>
      </c>
      <c r="H42" s="85">
        <f>IF($C42="All",COUNTIFS(Units!$E:$E, $B42, Units!$G:$G, H$4),COUNTIFS(Units!$E:$E, $B42, Units!$G:$G, H$4, Units!$I:$I, $C42)
)
</f>
        <v>0</v>
      </c>
      <c r="I42" s="85">
        <f>IF($C42="All",COUNTIFS(Units!$E:$E, $B42, Units!$G:$G, I$4),COUNTIFS(Units!$E:$E, $B42, Units!$G:$G, I$4, Units!$I:$I, $C42)
)
</f>
        <v>0</v>
      </c>
      <c r="J42" s="85">
        <f>IF($C42="All",COUNTIFS(Units!$E:$E, $B42, Units!$G:$G, J$4),COUNTIFS(Units!$E:$E, $B42, Units!$G:$G, J$4, Units!$I:$I, $C42)
)
</f>
        <v>0</v>
      </c>
      <c r="K42" s="85">
        <f>IF($C42="All",COUNTIFS(Units!$E:$E, $B42, Units!$G:$G, K$4),COUNTIFS(Units!$E:$E, $B42, Units!$G:$G, K$4, Units!$I:$I, $C42)
)
</f>
        <v>0</v>
      </c>
      <c r="L42" s="85">
        <f>IF($C42="All",COUNTIFS(Units!$E:$E, $B42, Units!$G:$G, L$4),COUNTIFS(Units!$E:$E, $B42, Units!$G:$G, L$4, Units!$I:$I, $C42)
)
</f>
        <v>0</v>
      </c>
      <c r="N42" s="85">
        <f>IF($C42="All",COUNTIFS(Units!$E:$E, $B42, Units!$G:$G, N$4),COUNTIFS(Units!$E:$E, $B42, Units!$G:$G, N$4, Units!$I:$I, $C42)
)
</f>
        <v>0</v>
      </c>
      <c r="O42" s="85">
        <f>IF($C42="All",COUNTIFS(Units!$E:$E, $B42, Units!$G:$G, O$4),COUNTIFS(Units!$E:$E, $B42, Units!$G:$G, O$4, Units!$I:$I, $C42)
)
</f>
        <v>0</v>
      </c>
      <c r="P42" s="85">
        <f>IF($C42="All",COUNTIFS(Units!$E:$E, $B42, Units!$G:$G, P$4),COUNTIFS(Units!$E:$E, $B42, Units!$G:$G, P$4, Units!$I:$I, $C42)
)
</f>
        <v>0</v>
      </c>
      <c r="Q42" s="85">
        <f>IF($C42="All",COUNTIFS(Units!$E:$E, $B42, Units!$G:$G, Q$4),COUNTIFS(Units!$E:$E, $B42, Units!$G:$G, Q$4, Units!$I:$I, $C42)
)
</f>
        <v>0</v>
      </c>
      <c r="R42" s="85">
        <f>IF($C42="All",COUNTIFS(Units!$E:$E, $B42, Units!$G:$G, R$4),COUNTIFS(Units!$E:$E, $B42, Units!$G:$G, R$4, Units!$I:$I, $C42)
)
</f>
        <v>0</v>
      </c>
      <c r="S42" s="85">
        <f>IF($C42="All",COUNTIFS(Units!$E:$E, $B42, Units!$G:$G, S$4),COUNTIFS(Units!$E:$E, $B42, Units!$G:$G, S$4, Units!$I:$I, $C42)
)
</f>
        <v>0</v>
      </c>
      <c r="T42" s="87">
        <f>IF($C42="All",COUNTIFS(Units!$E:$E, $B42, Units!$G:$G, T$4),COUNTIFS(Units!$E:$E, $B42, Units!$G:$G, T$4, Units!$I:$I, $C42)
)
</f>
        <v>0</v>
      </c>
      <c r="U42" s="87">
        <f>IF($C42="All",COUNTIFS(Units!$E:$E, $B42, Units!$G:$G, U$4),COUNTIFS(Units!$E:$E, $B42, Units!$G:$G, U$4, Units!$I:$I, $C42)
)
</f>
        <v>0</v>
      </c>
      <c r="V42" s="87">
        <f>IF($C42="All",COUNTIFS(Units!$E:$E, $B42, Units!$G:$G, V$4),COUNTIFS(Units!$E:$E, $B42, Units!$G:$G, V$4, Units!$I:$I, $C42)
)
</f>
        <v>0</v>
      </c>
      <c r="W42" s="87">
        <f>IF($C42="All",COUNTIFS(Units!$E:$E, $B42, Units!$G:$G, W$4),COUNTIFS(Units!$E:$E, $B42, Units!$G:$G, W$4, Units!$I:$I, $C42)
)
</f>
        <v>0</v>
      </c>
      <c r="X42" s="87">
        <f>IF($C42="All",COUNTIFS(Units!$E:$E, $B42, Units!$G:$G, X$4),COUNTIFS(Units!$E:$E, $B42, Units!$G:$G, X$4, Units!$I:$I, $C42)
)
</f>
        <v>0</v>
      </c>
      <c r="Y42" s="87">
        <f>IF($C42="All",COUNTIFS(Units!$E:$E, $B42, Units!$G:$G, Y$4),COUNTIFS(Units!$E:$E, $B42, Units!$G:$G, Y$4, Units!$I:$I, $C42)
)
</f>
        <v>0</v>
      </c>
      <c r="Z42" s="87">
        <f>IF($C42="All",COUNTIFS(Units!$E:$E, $B42, Units!$G:$G, Z$4),COUNTIFS(Units!$E:$E, $B42, Units!$G:$G, Z$4, Units!$I:$I, $C42)
)
</f>
        <v>0</v>
      </c>
      <c r="AA42" s="87">
        <f>IF($C42="All",COUNTIFS(Units!$E:$E, $B42, Units!$G:$G, AA$4),COUNTIFS(Units!$E:$E, $B42, Units!$G:$G, AA$4, Units!$I:$I, $C42)
)
</f>
        <v>0</v>
      </c>
      <c r="AB42" s="87">
        <f>IF($C42="All",COUNTIFS(Units!$E:$E, $B42, Units!$G:$G, AB$4),COUNTIFS(Units!$E:$E, $B42, Units!$G:$G, AB$4, Units!$I:$I, $C42)
)
</f>
        <v>0</v>
      </c>
      <c r="AC42" s="87">
        <f>IF($C42="All",COUNTIFS(Units!$E:$E, $B42, Units!$G:$G, AC$4),COUNTIFS(Units!$E:$E, $B42, Units!$G:$G, AC$4, Units!$I:$I, $C42)
)
</f>
        <v>0</v>
      </c>
      <c r="AD42" s="85">
        <f t="shared" si="2"/>
        <v>0</v>
      </c>
      <c r="AE42" s="85">
        <f t="shared" si="3"/>
        <v>0</v>
      </c>
      <c r="AF42" s="87">
        <f t="shared" si="4"/>
        <v>0</v>
      </c>
      <c r="AG42" s="91">
        <f t="shared" si="5"/>
        <v>0</v>
      </c>
      <c r="AJ42" s="94"/>
      <c r="AO42" s="94"/>
      <c r="AP42" s="85">
        <f>IF($C42="All",COUNTIFS(Units!$E:$E, $B42, Units!$M:$M, "&lt;&gt;1"),COUNTIFS(Units!$E:$E, $B42, Units!$M:$M, "&lt;&gt;1", Units!$I:$I, $C42)
)
</f>
        <v>0</v>
      </c>
      <c r="AQ42" s="94">
        <f>IF($C42="All",COUNTIFS(Units!$E:$E, $B42, Units!$S:$S, "*Maneouverable*"),COUNTIFS(Units!$E:$E, $B42, Units!$S:$S, "*Maneouverable*", Units!$I:$I, $C42)
)
</f>
        <v>0</v>
      </c>
      <c r="AR42" s="96" t="str">
        <f>IF($C42="All", 
    AVERAGEIFS(Units!$Q:$Q, Units!$E:$E, $B42, Units!$AY:$AY, false), 
    AVERAGEIFS(Units!$Q:$Q, Units!$E:$E, $B42, Units!$I:$I, $C42, Units!$AY:$AY, false)
)
</f>
        <v>#DIV/0!</v>
      </c>
      <c r="AS42" s="85">
        <f>IF($C42="All",COUNTIFS(Units!$E:$E, $B42, Units!$Q:$Q, "&lt;&gt;1"),COUNTIFS(Units!$E:$E, $B42, Units!$Q:$Q, "&lt;&gt;1", Units!$I:$I, $C42)
)</f>
        <v>0</v>
      </c>
      <c r="AT42" s="85">
        <f>AS42 - IF($C42="All",COUNTIFS(Units!$E:$E, $B42, Units!$Q:$Q, 2),COUNTIFS(Units!$E:$E, $B42, Units!$Q:$Q, 2, Units!$I:$I, $C42)
)</f>
        <v>0</v>
      </c>
      <c r="AU42" s="96" t="str">
        <f>IF($C42="All", 
    AVERAGEIFS(Units!$AQ:$AQ, Units!$E:$E, $B42, Units!$AY:$AY, false), 
    AVERAGEIFS(Units!$AQ:$AQ, Units!$E:$E, $B42, Units!$I:$I, $C42, Units!$AY:$AY, false)
)
</f>
        <v>#DIV/0!</v>
      </c>
      <c r="AV42" s="96" t="str">
        <f>IF($C42="All", 
    AVERAGEIFS(Units!$AR:$AR, Units!$E:$E, $B42, Units!$AY:$AY, false), 
    AVERAGEIFS(Units!$AR:$AR, Units!$E:$E, $B42, Units!$I:$I, $C42, Units!$AY:$AY, false)
)</f>
        <v>#DIV/0!</v>
      </c>
      <c r="AW42" s="96" t="str">
        <f>IF($C42="All", 
    AVERAGEIFS(Units!$AW:$AW, Units!$E:$E, $B42, Units!$AY:$AY, false), 
    AVERAGEIFS(Units!$AW:$AW, Units!$E:$E, $B42, Units!$I:$I, $C42, Units!$AY:$AY, false)
)
</f>
        <v>#DIV/0!</v>
      </c>
    </row>
    <row r="43" ht="22.5" hidden="1" customHeight="1">
      <c r="C43" s="94"/>
      <c r="D43" s="85">
        <f>IF($C43="All",COUNTIFS(Units!$E:$E, $B43),COUNTIFS(Units!$E:$E, $B43, Units!$I:$I, $C43)
)
</f>
        <v>0</v>
      </c>
      <c r="E43" s="85">
        <f>IF($C43="All",COUNTIFS(Units!$E:$E, $B43, Units!$G:$G, E$4),COUNTIFS(Units!$E:$E, $B43, Units!$G:$G, E$4, Units!$I:$I, $C43)
)
</f>
        <v>0</v>
      </c>
      <c r="F43" s="85">
        <f>IF($C43="All",COUNTIFS(Units!$E:$E, $B43, Units!$G:$G, F$4),COUNTIFS(Units!$E:$E, $B43, Units!$G:$G, F$4, Units!$I:$I, $C43)
)
</f>
        <v>0</v>
      </c>
      <c r="G43" s="85">
        <f>IF($C43="All",COUNTIFS(Units!$E:$E, $B43, Units!$G:$G, G$4),COUNTIFS(Units!$E:$E, $B43, Units!$G:$G, G$4, Units!$I:$I, $C43)
)
</f>
        <v>0</v>
      </c>
      <c r="H43" s="85">
        <f>IF($C43="All",COUNTIFS(Units!$E:$E, $B43, Units!$G:$G, H$4),COUNTIFS(Units!$E:$E, $B43, Units!$G:$G, H$4, Units!$I:$I, $C43)
)
</f>
        <v>0</v>
      </c>
      <c r="I43" s="85">
        <f>IF($C43="All",COUNTIFS(Units!$E:$E, $B43, Units!$G:$G, I$4),COUNTIFS(Units!$E:$E, $B43, Units!$G:$G, I$4, Units!$I:$I, $C43)
)
</f>
        <v>0</v>
      </c>
      <c r="J43" s="85">
        <f>IF($C43="All",COUNTIFS(Units!$E:$E, $B43, Units!$G:$G, J$4),COUNTIFS(Units!$E:$E, $B43, Units!$G:$G, J$4, Units!$I:$I, $C43)
)
</f>
        <v>0</v>
      </c>
      <c r="K43" s="85">
        <f>IF($C43="All",COUNTIFS(Units!$E:$E, $B43, Units!$G:$G, K$4),COUNTIFS(Units!$E:$E, $B43, Units!$G:$G, K$4, Units!$I:$I, $C43)
)
</f>
        <v>0</v>
      </c>
      <c r="L43" s="85">
        <f>IF($C43="All",COUNTIFS(Units!$E:$E, $B43, Units!$G:$G, L$4),COUNTIFS(Units!$E:$E, $B43, Units!$G:$G, L$4, Units!$I:$I, $C43)
)
</f>
        <v>0</v>
      </c>
      <c r="N43" s="85">
        <f>IF($C43="All",COUNTIFS(Units!$E:$E, $B43, Units!$G:$G, N$4),COUNTIFS(Units!$E:$E, $B43, Units!$G:$G, N$4, Units!$I:$I, $C43)
)
</f>
        <v>0</v>
      </c>
      <c r="O43" s="85">
        <f>IF($C43="All",COUNTIFS(Units!$E:$E, $B43, Units!$G:$G, O$4),COUNTIFS(Units!$E:$E, $B43, Units!$G:$G, O$4, Units!$I:$I, $C43)
)
</f>
        <v>0</v>
      </c>
      <c r="P43" s="85">
        <f>IF($C43="All",COUNTIFS(Units!$E:$E, $B43, Units!$G:$G, P$4),COUNTIFS(Units!$E:$E, $B43, Units!$G:$G, P$4, Units!$I:$I, $C43)
)
</f>
        <v>0</v>
      </c>
      <c r="Q43" s="85">
        <f>IF($C43="All",COUNTIFS(Units!$E:$E, $B43, Units!$G:$G, Q$4),COUNTIFS(Units!$E:$E, $B43, Units!$G:$G, Q$4, Units!$I:$I, $C43)
)
</f>
        <v>0</v>
      </c>
      <c r="R43" s="85">
        <f>IF($C43="All",COUNTIFS(Units!$E:$E, $B43, Units!$G:$G, R$4),COUNTIFS(Units!$E:$E, $B43, Units!$G:$G, R$4, Units!$I:$I, $C43)
)
</f>
        <v>0</v>
      </c>
      <c r="S43" s="85">
        <f>IF($C43="All",COUNTIFS(Units!$E:$E, $B43, Units!$G:$G, S$4),COUNTIFS(Units!$E:$E, $B43, Units!$G:$G, S$4, Units!$I:$I, $C43)
)
</f>
        <v>0</v>
      </c>
      <c r="T43" s="87">
        <f>IF($C43="All",COUNTIFS(Units!$E:$E, $B43, Units!$G:$G, T$4),COUNTIFS(Units!$E:$E, $B43, Units!$G:$G, T$4, Units!$I:$I, $C43)
)
</f>
        <v>0</v>
      </c>
      <c r="U43" s="87">
        <f>IF($C43="All",COUNTIFS(Units!$E:$E, $B43, Units!$G:$G, U$4),COUNTIFS(Units!$E:$E, $B43, Units!$G:$G, U$4, Units!$I:$I, $C43)
)
</f>
        <v>0</v>
      </c>
      <c r="V43" s="87">
        <f>IF($C43="All",COUNTIFS(Units!$E:$E, $B43, Units!$G:$G, V$4),COUNTIFS(Units!$E:$E, $B43, Units!$G:$G, V$4, Units!$I:$I, $C43)
)
</f>
        <v>0</v>
      </c>
      <c r="W43" s="87">
        <f>IF($C43="All",COUNTIFS(Units!$E:$E, $B43, Units!$G:$G, W$4),COUNTIFS(Units!$E:$E, $B43, Units!$G:$G, W$4, Units!$I:$I, $C43)
)
</f>
        <v>0</v>
      </c>
      <c r="X43" s="87">
        <f>IF($C43="All",COUNTIFS(Units!$E:$E, $B43, Units!$G:$G, X$4),COUNTIFS(Units!$E:$E, $B43, Units!$G:$G, X$4, Units!$I:$I, $C43)
)
</f>
        <v>0</v>
      </c>
      <c r="Y43" s="87">
        <f>IF($C43="All",COUNTIFS(Units!$E:$E, $B43, Units!$G:$G, Y$4),COUNTIFS(Units!$E:$E, $B43, Units!$G:$G, Y$4, Units!$I:$I, $C43)
)
</f>
        <v>0</v>
      </c>
      <c r="Z43" s="87">
        <f>IF($C43="All",COUNTIFS(Units!$E:$E, $B43, Units!$G:$G, Z$4),COUNTIFS(Units!$E:$E, $B43, Units!$G:$G, Z$4, Units!$I:$I, $C43)
)
</f>
        <v>0</v>
      </c>
      <c r="AA43" s="87">
        <f>IF($C43="All",COUNTIFS(Units!$E:$E, $B43, Units!$G:$G, AA$4),COUNTIFS(Units!$E:$E, $B43, Units!$G:$G, AA$4, Units!$I:$I, $C43)
)
</f>
        <v>0</v>
      </c>
      <c r="AB43" s="87">
        <f>IF($C43="All",COUNTIFS(Units!$E:$E, $B43, Units!$G:$G, AB$4),COUNTIFS(Units!$E:$E, $B43, Units!$G:$G, AB$4, Units!$I:$I, $C43)
)
</f>
        <v>0</v>
      </c>
      <c r="AC43" s="87">
        <f>IF($C43="All",COUNTIFS(Units!$E:$E, $B43, Units!$G:$G, AC$4),COUNTIFS(Units!$E:$E, $B43, Units!$G:$G, AC$4, Units!$I:$I, $C43)
)
</f>
        <v>0</v>
      </c>
      <c r="AD43" s="85">
        <f t="shared" si="2"/>
        <v>0</v>
      </c>
      <c r="AE43" s="85">
        <f t="shared" si="3"/>
        <v>0</v>
      </c>
      <c r="AF43" s="87">
        <f t="shared" si="4"/>
        <v>0</v>
      </c>
      <c r="AG43" s="91">
        <f t="shared" si="5"/>
        <v>0</v>
      </c>
      <c r="AJ43" s="94"/>
      <c r="AO43" s="94"/>
      <c r="AP43" s="85">
        <f>IF($C43="All",COUNTIFS(Units!$E:$E, $B43, Units!$M:$M, "&lt;&gt;1"),COUNTIFS(Units!$E:$E, $B43, Units!$M:$M, "&lt;&gt;1", Units!$I:$I, $C43)
)
</f>
        <v>0</v>
      </c>
      <c r="AQ43" s="94">
        <f>IF($C43="All",COUNTIFS(Units!$E:$E, $B43, Units!$S:$S, "*Maneouverable*"),COUNTIFS(Units!$E:$E, $B43, Units!$S:$S, "*Maneouverable*", Units!$I:$I, $C43)
)
</f>
        <v>0</v>
      </c>
      <c r="AR43" s="96" t="str">
        <f>IF($C43="All", 
    AVERAGEIFS(Units!$Q:$Q, Units!$E:$E, $B43, Units!$AY:$AY, false), 
    AVERAGEIFS(Units!$Q:$Q, Units!$E:$E, $B43, Units!$I:$I, $C43, Units!$AY:$AY, false)
)
</f>
        <v>#DIV/0!</v>
      </c>
      <c r="AS43" s="85">
        <f>IF($C43="All",COUNTIFS(Units!$E:$E, $B43, Units!$Q:$Q, "&lt;&gt;1"),COUNTIFS(Units!$E:$E, $B43, Units!$Q:$Q, "&lt;&gt;1", Units!$I:$I, $C43)
)</f>
        <v>0</v>
      </c>
      <c r="AT43" s="85">
        <f>AS43 - IF($C43="All",COUNTIFS(Units!$E:$E, $B43, Units!$Q:$Q, 2),COUNTIFS(Units!$E:$E, $B43, Units!$Q:$Q, 2, Units!$I:$I, $C43)
)</f>
        <v>0</v>
      </c>
      <c r="AU43" s="96" t="str">
        <f>IF($C43="All", 
    AVERAGEIFS(Units!$AQ:$AQ, Units!$E:$E, $B43, Units!$AY:$AY, false), 
    AVERAGEIFS(Units!$AQ:$AQ, Units!$E:$E, $B43, Units!$I:$I, $C43, Units!$AY:$AY, false)
)
</f>
        <v>#DIV/0!</v>
      </c>
      <c r="AV43" s="96" t="str">
        <f>IF($C43="All", 
    AVERAGEIFS(Units!$AR:$AR, Units!$E:$E, $B43, Units!$AY:$AY, false), 
    AVERAGEIFS(Units!$AR:$AR, Units!$E:$E, $B43, Units!$I:$I, $C43, Units!$AY:$AY, false)
)</f>
        <v>#DIV/0!</v>
      </c>
      <c r="AW43" s="96" t="str">
        <f>IF($C43="All", 
    AVERAGEIFS(Units!$AW:$AW, Units!$E:$E, $B43, Units!$AY:$AY, false), 
    AVERAGEIFS(Units!$AW:$AW, Units!$E:$E, $B43, Units!$I:$I, $C43, Units!$AY:$AY, false)
)
</f>
        <v>#DIV/0!</v>
      </c>
    </row>
    <row r="44" ht="22.5" hidden="1" customHeight="1">
      <c r="C44" s="94"/>
      <c r="D44" s="85">
        <f>IF($C44="All",COUNTIFS(Units!$E:$E, $B44),COUNTIFS(Units!$E:$E, $B44, Units!$I:$I, $C44)
)
</f>
        <v>0</v>
      </c>
      <c r="E44" s="85">
        <f>IF($C44="All",COUNTIFS(Units!$E:$E, $B44, Units!$G:$G, E$4),COUNTIFS(Units!$E:$E, $B44, Units!$G:$G, E$4, Units!$I:$I, $C44)
)
</f>
        <v>0</v>
      </c>
      <c r="F44" s="85">
        <f>IF($C44="All",COUNTIFS(Units!$E:$E, $B44, Units!$G:$G, F$4),COUNTIFS(Units!$E:$E, $B44, Units!$G:$G, F$4, Units!$I:$I, $C44)
)
</f>
        <v>0</v>
      </c>
      <c r="G44" s="85">
        <f>IF($C44="All",COUNTIFS(Units!$E:$E, $B44, Units!$G:$G, G$4),COUNTIFS(Units!$E:$E, $B44, Units!$G:$G, G$4, Units!$I:$I, $C44)
)
</f>
        <v>0</v>
      </c>
      <c r="H44" s="85">
        <f>IF($C44="All",COUNTIFS(Units!$E:$E, $B44, Units!$G:$G, H$4),COUNTIFS(Units!$E:$E, $B44, Units!$G:$G, H$4, Units!$I:$I, $C44)
)
</f>
        <v>0</v>
      </c>
      <c r="I44" s="85">
        <f>IF($C44="All",COUNTIFS(Units!$E:$E, $B44, Units!$G:$G, I$4),COUNTIFS(Units!$E:$E, $B44, Units!$G:$G, I$4, Units!$I:$I, $C44)
)
</f>
        <v>0</v>
      </c>
      <c r="J44" s="85">
        <f>IF($C44="All",COUNTIFS(Units!$E:$E, $B44, Units!$G:$G, J$4),COUNTIFS(Units!$E:$E, $B44, Units!$G:$G, J$4, Units!$I:$I, $C44)
)
</f>
        <v>0</v>
      </c>
      <c r="K44" s="85">
        <f>IF($C44="All",COUNTIFS(Units!$E:$E, $B44, Units!$G:$G, K$4),COUNTIFS(Units!$E:$E, $B44, Units!$G:$G, K$4, Units!$I:$I, $C44)
)
</f>
        <v>0</v>
      </c>
      <c r="L44" s="85">
        <f>IF($C44="All",COUNTIFS(Units!$E:$E, $B44, Units!$G:$G, L$4),COUNTIFS(Units!$E:$E, $B44, Units!$G:$G, L$4, Units!$I:$I, $C44)
)
</f>
        <v>0</v>
      </c>
      <c r="N44" s="85">
        <f>IF($C44="All",COUNTIFS(Units!$E:$E, $B44, Units!$G:$G, N$4),COUNTIFS(Units!$E:$E, $B44, Units!$G:$G, N$4, Units!$I:$I, $C44)
)
</f>
        <v>0</v>
      </c>
      <c r="O44" s="85">
        <f>IF($C44="All",COUNTIFS(Units!$E:$E, $B44, Units!$G:$G, O$4),COUNTIFS(Units!$E:$E, $B44, Units!$G:$G, O$4, Units!$I:$I, $C44)
)
</f>
        <v>0</v>
      </c>
      <c r="P44" s="85">
        <f>IF($C44="All",COUNTIFS(Units!$E:$E, $B44, Units!$G:$G, P$4),COUNTIFS(Units!$E:$E, $B44, Units!$G:$G, P$4, Units!$I:$I, $C44)
)
</f>
        <v>0</v>
      </c>
      <c r="Q44" s="85">
        <f>IF($C44="All",COUNTIFS(Units!$E:$E, $B44, Units!$G:$G, Q$4),COUNTIFS(Units!$E:$E, $B44, Units!$G:$G, Q$4, Units!$I:$I, $C44)
)
</f>
        <v>0</v>
      </c>
      <c r="R44" s="85">
        <f>IF($C44="All",COUNTIFS(Units!$E:$E, $B44, Units!$G:$G, R$4),COUNTIFS(Units!$E:$E, $B44, Units!$G:$G, R$4, Units!$I:$I, $C44)
)
</f>
        <v>0</v>
      </c>
      <c r="S44" s="85">
        <f>IF($C44="All",COUNTIFS(Units!$E:$E, $B44, Units!$G:$G, S$4),COUNTIFS(Units!$E:$E, $B44, Units!$G:$G, S$4, Units!$I:$I, $C44)
)
</f>
        <v>0</v>
      </c>
      <c r="T44" s="87">
        <f>IF($C44="All",COUNTIFS(Units!$E:$E, $B44, Units!$G:$G, T$4),COUNTIFS(Units!$E:$E, $B44, Units!$G:$G, T$4, Units!$I:$I, $C44)
)
</f>
        <v>0</v>
      </c>
      <c r="U44" s="87">
        <f>IF($C44="All",COUNTIFS(Units!$E:$E, $B44, Units!$G:$G, U$4),COUNTIFS(Units!$E:$E, $B44, Units!$G:$G, U$4, Units!$I:$I, $C44)
)
</f>
        <v>0</v>
      </c>
      <c r="V44" s="87">
        <f>IF($C44="All",COUNTIFS(Units!$E:$E, $B44, Units!$G:$G, V$4),COUNTIFS(Units!$E:$E, $B44, Units!$G:$G, V$4, Units!$I:$I, $C44)
)
</f>
        <v>0</v>
      </c>
      <c r="W44" s="87">
        <f>IF($C44="All",COUNTIFS(Units!$E:$E, $B44, Units!$G:$G, W$4),COUNTIFS(Units!$E:$E, $B44, Units!$G:$G, W$4, Units!$I:$I, $C44)
)
</f>
        <v>0</v>
      </c>
      <c r="X44" s="87">
        <f>IF($C44="All",COUNTIFS(Units!$E:$E, $B44, Units!$G:$G, X$4),COUNTIFS(Units!$E:$E, $B44, Units!$G:$G, X$4, Units!$I:$I, $C44)
)
</f>
        <v>0</v>
      </c>
      <c r="Y44" s="87">
        <f>IF($C44="All",COUNTIFS(Units!$E:$E, $B44, Units!$G:$G, Y$4),COUNTIFS(Units!$E:$E, $B44, Units!$G:$G, Y$4, Units!$I:$I, $C44)
)
</f>
        <v>0</v>
      </c>
      <c r="Z44" s="87">
        <f>IF($C44="All",COUNTIFS(Units!$E:$E, $B44, Units!$G:$G, Z$4),COUNTIFS(Units!$E:$E, $B44, Units!$G:$G, Z$4, Units!$I:$I, $C44)
)
</f>
        <v>0</v>
      </c>
      <c r="AA44" s="87">
        <f>IF($C44="All",COUNTIFS(Units!$E:$E, $B44, Units!$G:$G, AA$4),COUNTIFS(Units!$E:$E, $B44, Units!$G:$G, AA$4, Units!$I:$I, $C44)
)
</f>
        <v>0</v>
      </c>
      <c r="AB44" s="87">
        <f>IF($C44="All",COUNTIFS(Units!$E:$E, $B44, Units!$G:$G, AB$4),COUNTIFS(Units!$E:$E, $B44, Units!$G:$G, AB$4, Units!$I:$I, $C44)
)
</f>
        <v>0</v>
      </c>
      <c r="AC44" s="87">
        <f>IF($C44="All",COUNTIFS(Units!$E:$E, $B44, Units!$G:$G, AC$4),COUNTIFS(Units!$E:$E, $B44, Units!$G:$G, AC$4, Units!$I:$I, $C44)
)
</f>
        <v>0</v>
      </c>
      <c r="AD44" s="85">
        <f t="shared" si="2"/>
        <v>0</v>
      </c>
      <c r="AE44" s="85">
        <f t="shared" si="3"/>
        <v>0</v>
      </c>
      <c r="AF44" s="87">
        <f t="shared" si="4"/>
        <v>0</v>
      </c>
      <c r="AG44" s="91">
        <f t="shared" si="5"/>
        <v>0</v>
      </c>
      <c r="AJ44" s="94"/>
      <c r="AO44" s="94"/>
      <c r="AP44" s="85">
        <f>IF($C44="All",COUNTIFS(Units!$E:$E, $B44, Units!$M:$M, "&lt;&gt;1"),COUNTIFS(Units!$E:$E, $B44, Units!$M:$M, "&lt;&gt;1", Units!$I:$I, $C44)
)
</f>
        <v>0</v>
      </c>
      <c r="AQ44" s="94">
        <f>IF($C44="All",COUNTIFS(Units!$E:$E, $B44, Units!$S:$S, "*Maneouverable*"),COUNTIFS(Units!$E:$E, $B44, Units!$S:$S, "*Maneouverable*", Units!$I:$I, $C44)
)
</f>
        <v>0</v>
      </c>
      <c r="AR44" s="96" t="str">
        <f>IF($C44="All", 
    AVERAGEIFS(Units!$Q:$Q, Units!$E:$E, $B44, Units!$AY:$AY, false), 
    AVERAGEIFS(Units!$Q:$Q, Units!$E:$E, $B44, Units!$I:$I, $C44, Units!$AY:$AY, false)
)
</f>
        <v>#DIV/0!</v>
      </c>
      <c r="AS44" s="85">
        <f>IF($C44="All",COUNTIFS(Units!$E:$E, $B44, Units!$Q:$Q, "&lt;&gt;1"),COUNTIFS(Units!$E:$E, $B44, Units!$Q:$Q, "&lt;&gt;1", Units!$I:$I, $C44)
)</f>
        <v>0</v>
      </c>
      <c r="AT44" s="85">
        <f>AS44 - IF($C44="All",COUNTIFS(Units!$E:$E, $B44, Units!$Q:$Q, 2),COUNTIFS(Units!$E:$E, $B44, Units!$Q:$Q, 2, Units!$I:$I, $C44)
)</f>
        <v>0</v>
      </c>
      <c r="AU44" s="96" t="str">
        <f>IF($C44="All", 
    AVERAGEIFS(Units!$AQ:$AQ, Units!$E:$E, $B44, Units!$AY:$AY, false), 
    AVERAGEIFS(Units!$AQ:$AQ, Units!$E:$E, $B44, Units!$I:$I, $C44, Units!$AY:$AY, false)
)
</f>
        <v>#DIV/0!</v>
      </c>
      <c r="AV44" s="96" t="str">
        <f>IF($C44="All", 
    AVERAGEIFS(Units!$AR:$AR, Units!$E:$E, $B44, Units!$AY:$AY, false), 
    AVERAGEIFS(Units!$AR:$AR, Units!$E:$E, $B44, Units!$I:$I, $C44, Units!$AY:$AY, false)
)</f>
        <v>#DIV/0!</v>
      </c>
      <c r="AW44" s="96" t="str">
        <f>IF($C44="All", 
    AVERAGEIFS(Units!$AW:$AW, Units!$E:$E, $B44, Units!$AY:$AY, false), 
    AVERAGEIFS(Units!$AW:$AW, Units!$E:$E, $B44, Units!$I:$I, $C44, Units!$AY:$AY, false)
)
</f>
        <v>#DIV/0!</v>
      </c>
    </row>
    <row r="45" ht="22.5" hidden="1" customHeight="1">
      <c r="C45" s="94"/>
      <c r="D45" s="85">
        <f>IF($C45="All",COUNTIFS(Units!$E:$E, $B45),COUNTIFS(Units!$E:$E, $B45, Units!$I:$I, $C45)
)
</f>
        <v>0</v>
      </c>
      <c r="E45" s="85">
        <f>IF($C45="All",COUNTIFS(Units!$E:$E, $B45, Units!$G:$G, E$4),COUNTIFS(Units!$E:$E, $B45, Units!$G:$G, E$4, Units!$I:$I, $C45)
)
</f>
        <v>0</v>
      </c>
      <c r="F45" s="85">
        <f>IF($C45="All",COUNTIFS(Units!$E:$E, $B45, Units!$G:$G, F$4),COUNTIFS(Units!$E:$E, $B45, Units!$G:$G, F$4, Units!$I:$I, $C45)
)
</f>
        <v>0</v>
      </c>
      <c r="G45" s="85">
        <f>IF($C45="All",COUNTIFS(Units!$E:$E, $B45, Units!$G:$G, G$4),COUNTIFS(Units!$E:$E, $B45, Units!$G:$G, G$4, Units!$I:$I, $C45)
)
</f>
        <v>0</v>
      </c>
      <c r="H45" s="85">
        <f>IF($C45="All",COUNTIFS(Units!$E:$E, $B45, Units!$G:$G, H$4),COUNTIFS(Units!$E:$E, $B45, Units!$G:$G, H$4, Units!$I:$I, $C45)
)
</f>
        <v>0</v>
      </c>
      <c r="I45" s="85">
        <f>IF($C45="All",COUNTIFS(Units!$E:$E, $B45, Units!$G:$G, I$4),COUNTIFS(Units!$E:$E, $B45, Units!$G:$G, I$4, Units!$I:$I, $C45)
)
</f>
        <v>0</v>
      </c>
      <c r="J45" s="85">
        <f>IF($C45="All",COUNTIFS(Units!$E:$E, $B45, Units!$G:$G, J$4),COUNTIFS(Units!$E:$E, $B45, Units!$G:$G, J$4, Units!$I:$I, $C45)
)
</f>
        <v>0</v>
      </c>
      <c r="K45" s="85">
        <f>IF($C45="All",COUNTIFS(Units!$E:$E, $B45, Units!$G:$G, K$4),COUNTIFS(Units!$E:$E, $B45, Units!$G:$G, K$4, Units!$I:$I, $C45)
)
</f>
        <v>0</v>
      </c>
      <c r="L45" s="85">
        <f>IF($C45="All",COUNTIFS(Units!$E:$E, $B45, Units!$G:$G, L$4),COUNTIFS(Units!$E:$E, $B45, Units!$G:$G, L$4, Units!$I:$I, $C45)
)
</f>
        <v>0</v>
      </c>
      <c r="N45" s="85">
        <f>IF($C45="All",COUNTIFS(Units!$E:$E, $B45, Units!$G:$G, N$4),COUNTIFS(Units!$E:$E, $B45, Units!$G:$G, N$4, Units!$I:$I, $C45)
)
</f>
        <v>0</v>
      </c>
      <c r="O45" s="85">
        <f>IF($C45="All",COUNTIFS(Units!$E:$E, $B45, Units!$G:$G, O$4),COUNTIFS(Units!$E:$E, $B45, Units!$G:$G, O$4, Units!$I:$I, $C45)
)
</f>
        <v>0</v>
      </c>
      <c r="P45" s="85">
        <f>IF($C45="All",COUNTIFS(Units!$E:$E, $B45, Units!$G:$G, P$4),COUNTIFS(Units!$E:$E, $B45, Units!$G:$G, P$4, Units!$I:$I, $C45)
)
</f>
        <v>0</v>
      </c>
      <c r="Q45" s="85">
        <f>IF($C45="All",COUNTIFS(Units!$E:$E, $B45, Units!$G:$G, Q$4),COUNTIFS(Units!$E:$E, $B45, Units!$G:$G, Q$4, Units!$I:$I, $C45)
)
</f>
        <v>0</v>
      </c>
      <c r="R45" s="85">
        <f>IF($C45="All",COUNTIFS(Units!$E:$E, $B45, Units!$G:$G, R$4),COUNTIFS(Units!$E:$E, $B45, Units!$G:$G, R$4, Units!$I:$I, $C45)
)
</f>
        <v>0</v>
      </c>
      <c r="S45" s="85">
        <f>IF($C45="All",COUNTIFS(Units!$E:$E, $B45, Units!$G:$G, S$4),COUNTIFS(Units!$E:$E, $B45, Units!$G:$G, S$4, Units!$I:$I, $C45)
)
</f>
        <v>0</v>
      </c>
      <c r="T45" s="87">
        <f>IF($C45="All",COUNTIFS(Units!$E:$E, $B45, Units!$G:$G, T$4),COUNTIFS(Units!$E:$E, $B45, Units!$G:$G, T$4, Units!$I:$I, $C45)
)
</f>
        <v>0</v>
      </c>
      <c r="U45" s="87">
        <f>IF($C45="All",COUNTIFS(Units!$E:$E, $B45, Units!$G:$G, U$4),COUNTIFS(Units!$E:$E, $B45, Units!$G:$G, U$4, Units!$I:$I, $C45)
)
</f>
        <v>0</v>
      </c>
      <c r="V45" s="87">
        <f>IF($C45="All",COUNTIFS(Units!$E:$E, $B45, Units!$G:$G, V$4),COUNTIFS(Units!$E:$E, $B45, Units!$G:$G, V$4, Units!$I:$I, $C45)
)
</f>
        <v>0</v>
      </c>
      <c r="W45" s="87">
        <f>IF($C45="All",COUNTIFS(Units!$E:$E, $B45, Units!$G:$G, W$4),COUNTIFS(Units!$E:$E, $B45, Units!$G:$G, W$4, Units!$I:$I, $C45)
)
</f>
        <v>0</v>
      </c>
      <c r="X45" s="87">
        <f>IF($C45="All",COUNTIFS(Units!$E:$E, $B45, Units!$G:$G, X$4),COUNTIFS(Units!$E:$E, $B45, Units!$G:$G, X$4, Units!$I:$I, $C45)
)
</f>
        <v>0</v>
      </c>
      <c r="Y45" s="87">
        <f>IF($C45="All",COUNTIFS(Units!$E:$E, $B45, Units!$G:$G, Y$4),COUNTIFS(Units!$E:$E, $B45, Units!$G:$G, Y$4, Units!$I:$I, $C45)
)
</f>
        <v>0</v>
      </c>
      <c r="Z45" s="87">
        <f>IF($C45="All",COUNTIFS(Units!$E:$E, $B45, Units!$G:$G, Z$4),COUNTIFS(Units!$E:$E, $B45, Units!$G:$G, Z$4, Units!$I:$I, $C45)
)
</f>
        <v>0</v>
      </c>
      <c r="AA45" s="87">
        <f>IF($C45="All",COUNTIFS(Units!$E:$E, $B45, Units!$G:$G, AA$4),COUNTIFS(Units!$E:$E, $B45, Units!$G:$G, AA$4, Units!$I:$I, $C45)
)
</f>
        <v>0</v>
      </c>
      <c r="AB45" s="87">
        <f>IF($C45="All",COUNTIFS(Units!$E:$E, $B45, Units!$G:$G, AB$4),COUNTIFS(Units!$E:$E, $B45, Units!$G:$G, AB$4, Units!$I:$I, $C45)
)
</f>
        <v>0</v>
      </c>
      <c r="AC45" s="87">
        <f>IF($C45="All",COUNTIFS(Units!$E:$E, $B45, Units!$G:$G, AC$4),COUNTIFS(Units!$E:$E, $B45, Units!$G:$G, AC$4, Units!$I:$I, $C45)
)
</f>
        <v>0</v>
      </c>
      <c r="AD45" s="85">
        <f t="shared" si="2"/>
        <v>0</v>
      </c>
      <c r="AE45" s="85">
        <f t="shared" si="3"/>
        <v>0</v>
      </c>
      <c r="AF45" s="87">
        <f t="shared" si="4"/>
        <v>0</v>
      </c>
      <c r="AG45" s="91">
        <f t="shared" si="5"/>
        <v>0</v>
      </c>
      <c r="AJ45" s="94"/>
      <c r="AO45" s="94"/>
      <c r="AP45" s="85">
        <f>IF($C45="All",COUNTIFS(Units!$E:$E, $B45, Units!$M:$M, "&lt;&gt;1"),COUNTIFS(Units!$E:$E, $B45, Units!$M:$M, "&lt;&gt;1", Units!$I:$I, $C45)
)
</f>
        <v>0</v>
      </c>
      <c r="AQ45" s="94">
        <f>IF($C45="All",COUNTIFS(Units!$E:$E, $B45, Units!$S:$S, "*Maneouverable*"),COUNTIFS(Units!$E:$E, $B45, Units!$S:$S, "*Maneouverable*", Units!$I:$I, $C45)
)
</f>
        <v>0</v>
      </c>
      <c r="AR45" s="96" t="str">
        <f>IF($C45="All", 
    AVERAGEIFS(Units!$Q:$Q, Units!$E:$E, $B45, Units!$AY:$AY, false), 
    AVERAGEIFS(Units!$Q:$Q, Units!$E:$E, $B45, Units!$I:$I, $C45, Units!$AY:$AY, false)
)
</f>
        <v>#DIV/0!</v>
      </c>
      <c r="AS45" s="85">
        <f>IF($C45="All",COUNTIFS(Units!$E:$E, $B45, Units!$Q:$Q, "&lt;&gt;1"),COUNTIFS(Units!$E:$E, $B45, Units!$Q:$Q, "&lt;&gt;1", Units!$I:$I, $C45)
)</f>
        <v>0</v>
      </c>
      <c r="AT45" s="85">
        <f>AS45 - IF($C45="All",COUNTIFS(Units!$E:$E, $B45, Units!$Q:$Q, 2),COUNTIFS(Units!$E:$E, $B45, Units!$Q:$Q, 2, Units!$I:$I, $C45)
)</f>
        <v>0</v>
      </c>
      <c r="AU45" s="96" t="str">
        <f>IF($C45="All", 
    AVERAGEIFS(Units!$AQ:$AQ, Units!$E:$E, $B45, Units!$AY:$AY, false), 
    AVERAGEIFS(Units!$AQ:$AQ, Units!$E:$E, $B45, Units!$I:$I, $C45, Units!$AY:$AY, false)
)
</f>
        <v>#DIV/0!</v>
      </c>
      <c r="AV45" s="96" t="str">
        <f>IF($C45="All", 
    AVERAGEIFS(Units!$AR:$AR, Units!$E:$E, $B45, Units!$AY:$AY, false), 
    AVERAGEIFS(Units!$AR:$AR, Units!$E:$E, $B45, Units!$I:$I, $C45, Units!$AY:$AY, false)
)</f>
        <v>#DIV/0!</v>
      </c>
      <c r="AW45" s="96" t="str">
        <f>IF($C45="All", 
    AVERAGEIFS(Units!$AW:$AW, Units!$E:$E, $B45, Units!$AY:$AY, false), 
    AVERAGEIFS(Units!$AW:$AW, Units!$E:$E, $B45, Units!$I:$I, $C45, Units!$AY:$AY, false)
)
</f>
        <v>#DIV/0!</v>
      </c>
    </row>
    <row r="46" ht="22.5" hidden="1" customHeight="1">
      <c r="C46" s="94"/>
      <c r="D46" s="85">
        <f>IF($C46="All",COUNTIFS(Units!$E:$E, $B46),COUNTIFS(Units!$E:$E, $B46, Units!$I:$I, $C46)
)
</f>
        <v>0</v>
      </c>
      <c r="E46" s="85">
        <f>IF($C46="All",COUNTIFS(Units!$E:$E, $B46, Units!$G:$G, E$4),COUNTIFS(Units!$E:$E, $B46, Units!$G:$G, E$4, Units!$I:$I, $C46)
)
</f>
        <v>0</v>
      </c>
      <c r="F46" s="85">
        <f>IF($C46="All",COUNTIFS(Units!$E:$E, $B46, Units!$G:$G, F$4),COUNTIFS(Units!$E:$E, $B46, Units!$G:$G, F$4, Units!$I:$I, $C46)
)
</f>
        <v>0</v>
      </c>
      <c r="G46" s="85">
        <f>IF($C46="All",COUNTIFS(Units!$E:$E, $B46, Units!$G:$G, G$4),COUNTIFS(Units!$E:$E, $B46, Units!$G:$G, G$4, Units!$I:$I, $C46)
)
</f>
        <v>0</v>
      </c>
      <c r="H46" s="85">
        <f>IF($C46="All",COUNTIFS(Units!$E:$E, $B46, Units!$G:$G, H$4),COUNTIFS(Units!$E:$E, $B46, Units!$G:$G, H$4, Units!$I:$I, $C46)
)
</f>
        <v>0</v>
      </c>
      <c r="I46" s="85">
        <f>IF($C46="All",COUNTIFS(Units!$E:$E, $B46, Units!$G:$G, I$4),COUNTIFS(Units!$E:$E, $B46, Units!$G:$G, I$4, Units!$I:$I, $C46)
)
</f>
        <v>0</v>
      </c>
      <c r="J46" s="85">
        <f>IF($C46="All",COUNTIFS(Units!$E:$E, $B46, Units!$G:$G, J$4),COUNTIFS(Units!$E:$E, $B46, Units!$G:$G, J$4, Units!$I:$I, $C46)
)
</f>
        <v>0</v>
      </c>
      <c r="K46" s="85">
        <f>IF($C46="All",COUNTIFS(Units!$E:$E, $B46, Units!$G:$G, K$4),COUNTIFS(Units!$E:$E, $B46, Units!$G:$G, K$4, Units!$I:$I, $C46)
)
</f>
        <v>0</v>
      </c>
      <c r="L46" s="85">
        <f>IF($C46="All",COUNTIFS(Units!$E:$E, $B46, Units!$G:$G, L$4),COUNTIFS(Units!$E:$E, $B46, Units!$G:$G, L$4, Units!$I:$I, $C46)
)
</f>
        <v>0</v>
      </c>
      <c r="N46" s="85">
        <f>IF($C46="All",COUNTIFS(Units!$E:$E, $B46, Units!$G:$G, N$4),COUNTIFS(Units!$E:$E, $B46, Units!$G:$G, N$4, Units!$I:$I, $C46)
)
</f>
        <v>0</v>
      </c>
      <c r="O46" s="85">
        <f>IF($C46="All",COUNTIFS(Units!$E:$E, $B46, Units!$G:$G, O$4),COUNTIFS(Units!$E:$E, $B46, Units!$G:$G, O$4, Units!$I:$I, $C46)
)
</f>
        <v>0</v>
      </c>
      <c r="P46" s="85">
        <f>IF($C46="All",COUNTIFS(Units!$E:$E, $B46, Units!$G:$G, P$4),COUNTIFS(Units!$E:$E, $B46, Units!$G:$G, P$4, Units!$I:$I, $C46)
)
</f>
        <v>0</v>
      </c>
      <c r="Q46" s="85">
        <f>IF($C46="All",COUNTIFS(Units!$E:$E, $B46, Units!$G:$G, Q$4),COUNTIFS(Units!$E:$E, $B46, Units!$G:$G, Q$4, Units!$I:$I, $C46)
)
</f>
        <v>0</v>
      </c>
      <c r="R46" s="85">
        <f>IF($C46="All",COUNTIFS(Units!$E:$E, $B46, Units!$G:$G, R$4),COUNTIFS(Units!$E:$E, $B46, Units!$G:$G, R$4, Units!$I:$I, $C46)
)
</f>
        <v>0</v>
      </c>
      <c r="S46" s="85">
        <f>IF($C46="All",COUNTIFS(Units!$E:$E, $B46, Units!$G:$G, S$4),COUNTIFS(Units!$E:$E, $B46, Units!$G:$G, S$4, Units!$I:$I, $C46)
)
</f>
        <v>0</v>
      </c>
      <c r="T46" s="87">
        <f>IF($C46="All",COUNTIFS(Units!$E:$E, $B46, Units!$G:$G, T$4),COUNTIFS(Units!$E:$E, $B46, Units!$G:$G, T$4, Units!$I:$I, $C46)
)
</f>
        <v>0</v>
      </c>
      <c r="U46" s="87">
        <f>IF($C46="All",COUNTIFS(Units!$E:$E, $B46, Units!$G:$G, U$4),COUNTIFS(Units!$E:$E, $B46, Units!$G:$G, U$4, Units!$I:$I, $C46)
)
</f>
        <v>0</v>
      </c>
      <c r="V46" s="87">
        <f>IF($C46="All",COUNTIFS(Units!$E:$E, $B46, Units!$G:$G, V$4),COUNTIFS(Units!$E:$E, $B46, Units!$G:$G, V$4, Units!$I:$I, $C46)
)
</f>
        <v>0</v>
      </c>
      <c r="W46" s="87">
        <f>IF($C46="All",COUNTIFS(Units!$E:$E, $B46, Units!$G:$G, W$4),COUNTIFS(Units!$E:$E, $B46, Units!$G:$G, W$4, Units!$I:$I, $C46)
)
</f>
        <v>0</v>
      </c>
      <c r="X46" s="87">
        <f>IF($C46="All",COUNTIFS(Units!$E:$E, $B46, Units!$G:$G, X$4),COUNTIFS(Units!$E:$E, $B46, Units!$G:$G, X$4, Units!$I:$I, $C46)
)
</f>
        <v>0</v>
      </c>
      <c r="Y46" s="87">
        <f>IF($C46="All",COUNTIFS(Units!$E:$E, $B46, Units!$G:$G, Y$4),COUNTIFS(Units!$E:$E, $B46, Units!$G:$G, Y$4, Units!$I:$I, $C46)
)
</f>
        <v>0</v>
      </c>
      <c r="Z46" s="87">
        <f>IF($C46="All",COUNTIFS(Units!$E:$E, $B46, Units!$G:$G, Z$4),COUNTIFS(Units!$E:$E, $B46, Units!$G:$G, Z$4, Units!$I:$I, $C46)
)
</f>
        <v>0</v>
      </c>
      <c r="AA46" s="87">
        <f>IF($C46="All",COUNTIFS(Units!$E:$E, $B46, Units!$G:$G, AA$4),COUNTIFS(Units!$E:$E, $B46, Units!$G:$G, AA$4, Units!$I:$I, $C46)
)
</f>
        <v>0</v>
      </c>
      <c r="AB46" s="87">
        <f>IF($C46="All",COUNTIFS(Units!$E:$E, $B46, Units!$G:$G, AB$4),COUNTIFS(Units!$E:$E, $B46, Units!$G:$G, AB$4, Units!$I:$I, $C46)
)
</f>
        <v>0</v>
      </c>
      <c r="AC46" s="87">
        <f>IF($C46="All",COUNTIFS(Units!$E:$E, $B46, Units!$G:$G, AC$4),COUNTIFS(Units!$E:$E, $B46, Units!$G:$G, AC$4, Units!$I:$I, $C46)
)
</f>
        <v>0</v>
      </c>
      <c r="AD46" s="85">
        <f t="shared" si="2"/>
        <v>0</v>
      </c>
      <c r="AE46" s="85">
        <f t="shared" si="3"/>
        <v>0</v>
      </c>
      <c r="AF46" s="87">
        <f t="shared" si="4"/>
        <v>0</v>
      </c>
      <c r="AG46" s="91">
        <f t="shared" si="5"/>
        <v>0</v>
      </c>
      <c r="AJ46" s="94"/>
      <c r="AO46" s="94"/>
      <c r="AP46" s="85">
        <f>IF($C46="All",COUNTIFS(Units!$E:$E, $B46, Units!$M:$M, "&lt;&gt;1"),COUNTIFS(Units!$E:$E, $B46, Units!$M:$M, "&lt;&gt;1", Units!$I:$I, $C46)
)
</f>
        <v>0</v>
      </c>
      <c r="AQ46" s="94">
        <f>IF($C46="All",COUNTIFS(Units!$E:$E, $B46, Units!$S:$S, "*Maneouverable*"),COUNTIFS(Units!$E:$E, $B46, Units!$S:$S, "*Maneouverable*", Units!$I:$I, $C46)
)
</f>
        <v>0</v>
      </c>
      <c r="AR46" s="96" t="str">
        <f>IF($C46="All", 
    AVERAGEIFS(Units!$Q:$Q, Units!$E:$E, $B46, Units!$AY:$AY, false), 
    AVERAGEIFS(Units!$Q:$Q, Units!$E:$E, $B46, Units!$I:$I, $C46, Units!$AY:$AY, false)
)
</f>
        <v>#DIV/0!</v>
      </c>
      <c r="AS46" s="85">
        <f>IF($C46="All",COUNTIFS(Units!$E:$E, $B46, Units!$Q:$Q, "&lt;&gt;1"),COUNTIFS(Units!$E:$E, $B46, Units!$Q:$Q, "&lt;&gt;1", Units!$I:$I, $C46)
)</f>
        <v>0</v>
      </c>
      <c r="AT46" s="85">
        <f>AS46 - IF($C46="All",COUNTIFS(Units!$E:$E, $B46, Units!$Q:$Q, 2),COUNTIFS(Units!$E:$E, $B46, Units!$Q:$Q, 2, Units!$I:$I, $C46)
)</f>
        <v>0</v>
      </c>
      <c r="AU46" s="96" t="str">
        <f>IF($C46="All", 
    AVERAGEIFS(Units!$AQ:$AQ, Units!$E:$E, $B46, Units!$AY:$AY, false), 
    AVERAGEIFS(Units!$AQ:$AQ, Units!$E:$E, $B46, Units!$I:$I, $C46, Units!$AY:$AY, false)
)
</f>
        <v>#DIV/0!</v>
      </c>
      <c r="AV46" s="96" t="str">
        <f>IF($C46="All", 
    AVERAGEIFS(Units!$AR:$AR, Units!$E:$E, $B46, Units!$AY:$AY, false), 
    AVERAGEIFS(Units!$AR:$AR, Units!$E:$E, $B46, Units!$I:$I, $C46, Units!$AY:$AY, false)
)</f>
        <v>#DIV/0!</v>
      </c>
      <c r="AW46" s="96" t="str">
        <f>IF($C46="All", 
    AVERAGEIFS(Units!$AW:$AW, Units!$E:$E, $B46, Units!$AY:$AY, false), 
    AVERAGEIFS(Units!$AW:$AW, Units!$E:$E, $B46, Units!$I:$I, $C46, Units!$AY:$AY, false)
)
</f>
        <v>#DIV/0!</v>
      </c>
    </row>
    <row r="47" ht="22.5" hidden="1" customHeight="1">
      <c r="C47" s="94"/>
      <c r="D47" s="85">
        <f>IF($C47="All",COUNTIFS(Units!$E:$E, $B47),COUNTIFS(Units!$E:$E, $B47, Units!$I:$I, $C47)
)
</f>
        <v>0</v>
      </c>
      <c r="E47" s="85">
        <f>IF($C47="All",COUNTIFS(Units!$E:$E, $B47, Units!$G:$G, E$4),COUNTIFS(Units!$E:$E, $B47, Units!$G:$G, E$4, Units!$I:$I, $C47)
)
</f>
        <v>0</v>
      </c>
      <c r="F47" s="85">
        <f>IF($C47="All",COUNTIFS(Units!$E:$E, $B47, Units!$G:$G, F$4),COUNTIFS(Units!$E:$E, $B47, Units!$G:$G, F$4, Units!$I:$I, $C47)
)
</f>
        <v>0</v>
      </c>
      <c r="G47" s="85">
        <f>IF($C47="All",COUNTIFS(Units!$E:$E, $B47, Units!$G:$G, G$4),COUNTIFS(Units!$E:$E, $B47, Units!$G:$G, G$4, Units!$I:$I, $C47)
)
</f>
        <v>0</v>
      </c>
      <c r="H47" s="85">
        <f>IF($C47="All",COUNTIFS(Units!$E:$E, $B47, Units!$G:$G, H$4),COUNTIFS(Units!$E:$E, $B47, Units!$G:$G, H$4, Units!$I:$I, $C47)
)
</f>
        <v>0</v>
      </c>
      <c r="I47" s="85">
        <f>IF($C47="All",COUNTIFS(Units!$E:$E, $B47, Units!$G:$G, I$4),COUNTIFS(Units!$E:$E, $B47, Units!$G:$G, I$4, Units!$I:$I, $C47)
)
</f>
        <v>0</v>
      </c>
      <c r="J47" s="85">
        <f>IF($C47="All",COUNTIFS(Units!$E:$E, $B47, Units!$G:$G, J$4),COUNTIFS(Units!$E:$E, $B47, Units!$G:$G, J$4, Units!$I:$I, $C47)
)
</f>
        <v>0</v>
      </c>
      <c r="K47" s="85">
        <f>IF($C47="All",COUNTIFS(Units!$E:$E, $B47, Units!$G:$G, K$4),COUNTIFS(Units!$E:$E, $B47, Units!$G:$G, K$4, Units!$I:$I, $C47)
)
</f>
        <v>0</v>
      </c>
      <c r="L47" s="85">
        <f>IF($C47="All",COUNTIFS(Units!$E:$E, $B47, Units!$G:$G, L$4),COUNTIFS(Units!$E:$E, $B47, Units!$G:$G, L$4, Units!$I:$I, $C47)
)
</f>
        <v>0</v>
      </c>
      <c r="N47" s="85">
        <f>IF($C47="All",COUNTIFS(Units!$E:$E, $B47, Units!$G:$G, N$4),COUNTIFS(Units!$E:$E, $B47, Units!$G:$G, N$4, Units!$I:$I, $C47)
)
</f>
        <v>0</v>
      </c>
      <c r="O47" s="85">
        <f>IF($C47="All",COUNTIFS(Units!$E:$E, $B47, Units!$G:$G, O$4),COUNTIFS(Units!$E:$E, $B47, Units!$G:$G, O$4, Units!$I:$I, $C47)
)
</f>
        <v>0</v>
      </c>
      <c r="P47" s="85">
        <f>IF($C47="All",COUNTIFS(Units!$E:$E, $B47, Units!$G:$G, P$4),COUNTIFS(Units!$E:$E, $B47, Units!$G:$G, P$4, Units!$I:$I, $C47)
)
</f>
        <v>0</v>
      </c>
      <c r="Q47" s="85">
        <f>IF($C47="All",COUNTIFS(Units!$E:$E, $B47, Units!$G:$G, Q$4),COUNTIFS(Units!$E:$E, $B47, Units!$G:$G, Q$4, Units!$I:$I, $C47)
)
</f>
        <v>0</v>
      </c>
      <c r="R47" s="85">
        <f>IF($C47="All",COUNTIFS(Units!$E:$E, $B47, Units!$G:$G, R$4),COUNTIFS(Units!$E:$E, $B47, Units!$G:$G, R$4, Units!$I:$I, $C47)
)
</f>
        <v>0</v>
      </c>
      <c r="S47" s="85">
        <f>IF($C47="All",COUNTIFS(Units!$E:$E, $B47, Units!$G:$G, S$4),COUNTIFS(Units!$E:$E, $B47, Units!$G:$G, S$4, Units!$I:$I, $C47)
)
</f>
        <v>0</v>
      </c>
      <c r="T47" s="87">
        <f>IF($C47="All",COUNTIFS(Units!$E:$E, $B47, Units!$G:$G, T$4),COUNTIFS(Units!$E:$E, $B47, Units!$G:$G, T$4, Units!$I:$I, $C47)
)
</f>
        <v>0</v>
      </c>
      <c r="U47" s="87">
        <f>IF($C47="All",COUNTIFS(Units!$E:$E, $B47, Units!$G:$G, U$4),COUNTIFS(Units!$E:$E, $B47, Units!$G:$G, U$4, Units!$I:$I, $C47)
)
</f>
        <v>0</v>
      </c>
      <c r="V47" s="87">
        <f>IF($C47="All",COUNTIFS(Units!$E:$E, $B47, Units!$G:$G, V$4),COUNTIFS(Units!$E:$E, $B47, Units!$G:$G, V$4, Units!$I:$I, $C47)
)
</f>
        <v>0</v>
      </c>
      <c r="W47" s="87">
        <f>IF($C47="All",COUNTIFS(Units!$E:$E, $B47, Units!$G:$G, W$4),COUNTIFS(Units!$E:$E, $B47, Units!$G:$G, W$4, Units!$I:$I, $C47)
)
</f>
        <v>0</v>
      </c>
      <c r="X47" s="87">
        <f>IF($C47="All",COUNTIFS(Units!$E:$E, $B47, Units!$G:$G, X$4),COUNTIFS(Units!$E:$E, $B47, Units!$G:$G, X$4, Units!$I:$I, $C47)
)
</f>
        <v>0</v>
      </c>
      <c r="Y47" s="87">
        <f>IF($C47="All",COUNTIFS(Units!$E:$E, $B47, Units!$G:$G, Y$4),COUNTIFS(Units!$E:$E, $B47, Units!$G:$G, Y$4, Units!$I:$I, $C47)
)
</f>
        <v>0</v>
      </c>
      <c r="Z47" s="87">
        <f>IF($C47="All",COUNTIFS(Units!$E:$E, $B47, Units!$G:$G, Z$4),COUNTIFS(Units!$E:$E, $B47, Units!$G:$G, Z$4, Units!$I:$I, $C47)
)
</f>
        <v>0</v>
      </c>
      <c r="AA47" s="87">
        <f>IF($C47="All",COUNTIFS(Units!$E:$E, $B47, Units!$G:$G, AA$4),COUNTIFS(Units!$E:$E, $B47, Units!$G:$G, AA$4, Units!$I:$I, $C47)
)
</f>
        <v>0</v>
      </c>
      <c r="AB47" s="87">
        <f>IF($C47="All",COUNTIFS(Units!$E:$E, $B47, Units!$G:$G, AB$4),COUNTIFS(Units!$E:$E, $B47, Units!$G:$G, AB$4, Units!$I:$I, $C47)
)
</f>
        <v>0</v>
      </c>
      <c r="AC47" s="87">
        <f>IF($C47="All",COUNTIFS(Units!$E:$E, $B47, Units!$G:$G, AC$4),COUNTIFS(Units!$E:$E, $B47, Units!$G:$G, AC$4, Units!$I:$I, $C47)
)
</f>
        <v>0</v>
      </c>
      <c r="AD47" s="85">
        <f t="shared" si="2"/>
        <v>0</v>
      </c>
      <c r="AE47" s="85">
        <f t="shared" si="3"/>
        <v>0</v>
      </c>
      <c r="AF47" s="87">
        <f t="shared" si="4"/>
        <v>0</v>
      </c>
      <c r="AG47" s="91">
        <f t="shared" si="5"/>
        <v>0</v>
      </c>
      <c r="AJ47" s="94"/>
      <c r="AO47" s="94"/>
      <c r="AP47" s="85">
        <f>IF($C47="All",COUNTIFS(Units!$E:$E, $B47, Units!$M:$M, "&lt;&gt;1"),COUNTIFS(Units!$E:$E, $B47, Units!$M:$M, "&lt;&gt;1", Units!$I:$I, $C47)
)
</f>
        <v>0</v>
      </c>
      <c r="AQ47" s="94">
        <f>IF($C47="All",COUNTIFS(Units!$E:$E, $B47, Units!$S:$S, "*Maneouverable*"),COUNTIFS(Units!$E:$E, $B47, Units!$S:$S, "*Maneouverable*", Units!$I:$I, $C47)
)
</f>
        <v>0</v>
      </c>
      <c r="AR47" s="96" t="str">
        <f>IF($C47="All", 
    AVERAGEIFS(Units!$Q:$Q, Units!$E:$E, $B47, Units!$AY:$AY, false), 
    AVERAGEIFS(Units!$Q:$Q, Units!$E:$E, $B47, Units!$I:$I, $C47, Units!$AY:$AY, false)
)
</f>
        <v>#DIV/0!</v>
      </c>
      <c r="AS47" s="85">
        <f>IF($C47="All",COUNTIFS(Units!$E:$E, $B47, Units!$Q:$Q, "&lt;&gt;1"),COUNTIFS(Units!$E:$E, $B47, Units!$Q:$Q, "&lt;&gt;1", Units!$I:$I, $C47)
)</f>
        <v>0</v>
      </c>
      <c r="AT47" s="85">
        <f>AS47 - IF($C47="All",COUNTIFS(Units!$E:$E, $B47, Units!$Q:$Q, 2),COUNTIFS(Units!$E:$E, $B47, Units!$Q:$Q, 2, Units!$I:$I, $C47)
)</f>
        <v>0</v>
      </c>
      <c r="AU47" s="96" t="str">
        <f>IF($C47="All", 
    AVERAGEIFS(Units!$AQ:$AQ, Units!$E:$E, $B47, Units!$AY:$AY, false), 
    AVERAGEIFS(Units!$AQ:$AQ, Units!$E:$E, $B47, Units!$I:$I, $C47, Units!$AY:$AY, false)
)
</f>
        <v>#DIV/0!</v>
      </c>
      <c r="AV47" s="96" t="str">
        <f>IF($C47="All", 
    AVERAGEIFS(Units!$AR:$AR, Units!$E:$E, $B47, Units!$AY:$AY, false), 
    AVERAGEIFS(Units!$AR:$AR, Units!$E:$E, $B47, Units!$I:$I, $C47, Units!$AY:$AY, false)
)</f>
        <v>#DIV/0!</v>
      </c>
      <c r="AW47" s="96" t="str">
        <f>IF($C47="All", 
    AVERAGEIFS(Units!$AW:$AW, Units!$E:$E, $B47, Units!$AY:$AY, false), 
    AVERAGEIFS(Units!$AW:$AW, Units!$E:$E, $B47, Units!$I:$I, $C47, Units!$AY:$AY, false)
)
</f>
        <v>#DIV/0!</v>
      </c>
    </row>
    <row r="48" ht="22.5" hidden="1" customHeight="1">
      <c r="C48" s="94"/>
      <c r="D48" s="85">
        <f>IF($C48="All",COUNTIFS(Units!$E:$E, $B48),COUNTIFS(Units!$E:$E, $B48, Units!$I:$I, $C48)
)
</f>
        <v>0</v>
      </c>
      <c r="E48" s="85">
        <f>IF($C48="All",COUNTIFS(Units!$E:$E, $B48, Units!$G:$G, E$4),COUNTIFS(Units!$E:$E, $B48, Units!$G:$G, E$4, Units!$I:$I, $C48)
)
</f>
        <v>0</v>
      </c>
      <c r="F48" s="85">
        <f>IF($C48="All",COUNTIFS(Units!$E:$E, $B48, Units!$G:$G, F$4),COUNTIFS(Units!$E:$E, $B48, Units!$G:$G, F$4, Units!$I:$I, $C48)
)
</f>
        <v>0</v>
      </c>
      <c r="G48" s="85">
        <f>IF($C48="All",COUNTIFS(Units!$E:$E, $B48, Units!$G:$G, G$4),COUNTIFS(Units!$E:$E, $B48, Units!$G:$G, G$4, Units!$I:$I, $C48)
)
</f>
        <v>0</v>
      </c>
      <c r="H48" s="85">
        <f>IF($C48="All",COUNTIFS(Units!$E:$E, $B48, Units!$G:$G, H$4),COUNTIFS(Units!$E:$E, $B48, Units!$G:$G, H$4, Units!$I:$I, $C48)
)
</f>
        <v>0</v>
      </c>
      <c r="I48" s="85">
        <f>IF($C48="All",COUNTIFS(Units!$E:$E, $B48, Units!$G:$G, I$4),COUNTIFS(Units!$E:$E, $B48, Units!$G:$G, I$4, Units!$I:$I, $C48)
)
</f>
        <v>0</v>
      </c>
      <c r="J48" s="85">
        <f>IF($C48="All",COUNTIFS(Units!$E:$E, $B48, Units!$G:$G, J$4),COUNTIFS(Units!$E:$E, $B48, Units!$G:$G, J$4, Units!$I:$I, $C48)
)
</f>
        <v>0</v>
      </c>
      <c r="K48" s="85">
        <f>IF($C48="All",COUNTIFS(Units!$E:$E, $B48, Units!$G:$G, K$4),COUNTIFS(Units!$E:$E, $B48, Units!$G:$G, K$4, Units!$I:$I, $C48)
)
</f>
        <v>0</v>
      </c>
      <c r="L48" s="85">
        <f>IF($C48="All",COUNTIFS(Units!$E:$E, $B48, Units!$G:$G, L$4),COUNTIFS(Units!$E:$E, $B48, Units!$G:$G, L$4, Units!$I:$I, $C48)
)
</f>
        <v>0</v>
      </c>
      <c r="N48" s="85">
        <f>IF($C48="All",COUNTIFS(Units!$E:$E, $B48, Units!$G:$G, N$4),COUNTIFS(Units!$E:$E, $B48, Units!$G:$G, N$4, Units!$I:$I, $C48)
)
</f>
        <v>0</v>
      </c>
      <c r="O48" s="85">
        <f>IF($C48="All",COUNTIFS(Units!$E:$E, $B48, Units!$G:$G, O$4),COUNTIFS(Units!$E:$E, $B48, Units!$G:$G, O$4, Units!$I:$I, $C48)
)
</f>
        <v>0</v>
      </c>
      <c r="P48" s="85">
        <f>IF($C48="All",COUNTIFS(Units!$E:$E, $B48, Units!$G:$G, P$4),COUNTIFS(Units!$E:$E, $B48, Units!$G:$G, P$4, Units!$I:$I, $C48)
)
</f>
        <v>0</v>
      </c>
      <c r="Q48" s="85">
        <f>IF($C48="All",COUNTIFS(Units!$E:$E, $B48, Units!$G:$G, Q$4),COUNTIFS(Units!$E:$E, $B48, Units!$G:$G, Q$4, Units!$I:$I, $C48)
)
</f>
        <v>0</v>
      </c>
      <c r="R48" s="85">
        <f>IF($C48="All",COUNTIFS(Units!$E:$E, $B48, Units!$G:$G, R$4),COUNTIFS(Units!$E:$E, $B48, Units!$G:$G, R$4, Units!$I:$I, $C48)
)
</f>
        <v>0</v>
      </c>
      <c r="S48" s="85">
        <f>IF($C48="All",COUNTIFS(Units!$E:$E, $B48, Units!$G:$G, S$4),COUNTIFS(Units!$E:$E, $B48, Units!$G:$G, S$4, Units!$I:$I, $C48)
)
</f>
        <v>0</v>
      </c>
      <c r="T48" s="87">
        <f>IF($C48="All",COUNTIFS(Units!$E:$E, $B48, Units!$G:$G, T$4),COUNTIFS(Units!$E:$E, $B48, Units!$G:$G, T$4, Units!$I:$I, $C48)
)
</f>
        <v>0</v>
      </c>
      <c r="U48" s="87">
        <f>IF($C48="All",COUNTIFS(Units!$E:$E, $B48, Units!$G:$G, U$4),COUNTIFS(Units!$E:$E, $B48, Units!$G:$G, U$4, Units!$I:$I, $C48)
)
</f>
        <v>0</v>
      </c>
      <c r="V48" s="87">
        <f>IF($C48="All",COUNTIFS(Units!$E:$E, $B48, Units!$G:$G, V$4),COUNTIFS(Units!$E:$E, $B48, Units!$G:$G, V$4, Units!$I:$I, $C48)
)
</f>
        <v>0</v>
      </c>
      <c r="W48" s="87">
        <f>IF($C48="All",COUNTIFS(Units!$E:$E, $B48, Units!$G:$G, W$4),COUNTIFS(Units!$E:$E, $B48, Units!$G:$G, W$4, Units!$I:$I, $C48)
)
</f>
        <v>0</v>
      </c>
      <c r="X48" s="87">
        <f>IF($C48="All",COUNTIFS(Units!$E:$E, $B48, Units!$G:$G, X$4),COUNTIFS(Units!$E:$E, $B48, Units!$G:$G, X$4, Units!$I:$I, $C48)
)
</f>
        <v>0</v>
      </c>
      <c r="Y48" s="87">
        <f>IF($C48="All",COUNTIFS(Units!$E:$E, $B48, Units!$G:$G, Y$4),COUNTIFS(Units!$E:$E, $B48, Units!$G:$G, Y$4, Units!$I:$I, $C48)
)
</f>
        <v>0</v>
      </c>
      <c r="Z48" s="87">
        <f>IF($C48="All",COUNTIFS(Units!$E:$E, $B48, Units!$G:$G, Z$4),COUNTIFS(Units!$E:$E, $B48, Units!$G:$G, Z$4, Units!$I:$I, $C48)
)
</f>
        <v>0</v>
      </c>
      <c r="AA48" s="87">
        <f>IF($C48="All",COUNTIFS(Units!$E:$E, $B48, Units!$G:$G, AA$4),COUNTIFS(Units!$E:$E, $B48, Units!$G:$G, AA$4, Units!$I:$I, $C48)
)
</f>
        <v>0</v>
      </c>
      <c r="AB48" s="87">
        <f>IF($C48="All",COUNTIFS(Units!$E:$E, $B48, Units!$G:$G, AB$4),COUNTIFS(Units!$E:$E, $B48, Units!$G:$G, AB$4, Units!$I:$I, $C48)
)
</f>
        <v>0</v>
      </c>
      <c r="AC48" s="87">
        <f>IF($C48="All",COUNTIFS(Units!$E:$E, $B48, Units!$G:$G, AC$4),COUNTIFS(Units!$E:$E, $B48, Units!$G:$G, AC$4, Units!$I:$I, $C48)
)
</f>
        <v>0</v>
      </c>
      <c r="AD48" s="85">
        <f t="shared" si="2"/>
        <v>0</v>
      </c>
      <c r="AE48" s="85">
        <f t="shared" si="3"/>
        <v>0</v>
      </c>
      <c r="AF48" s="87">
        <f t="shared" si="4"/>
        <v>0</v>
      </c>
      <c r="AG48" s="91">
        <f t="shared" si="5"/>
        <v>0</v>
      </c>
      <c r="AJ48" s="94"/>
      <c r="AO48" s="94"/>
      <c r="AP48" s="85">
        <f>IF($C48="All",COUNTIFS(Units!$E:$E, $B48, Units!$M:$M, "&lt;&gt;1"),COUNTIFS(Units!$E:$E, $B48, Units!$M:$M, "&lt;&gt;1", Units!$I:$I, $C48)
)
</f>
        <v>0</v>
      </c>
      <c r="AQ48" s="94">
        <f>IF($C48="All",COUNTIFS(Units!$E:$E, $B48, Units!$S:$S, "*Maneouverable*"),COUNTIFS(Units!$E:$E, $B48, Units!$S:$S, "*Maneouverable*", Units!$I:$I, $C48)
)
</f>
        <v>0</v>
      </c>
      <c r="AR48" s="96" t="str">
        <f>IF($C48="All", 
    AVERAGEIFS(Units!$Q:$Q, Units!$E:$E, $B48, Units!$AY:$AY, false), 
    AVERAGEIFS(Units!$Q:$Q, Units!$E:$E, $B48, Units!$I:$I, $C48, Units!$AY:$AY, false)
)
</f>
        <v>#DIV/0!</v>
      </c>
      <c r="AS48" s="85">
        <f>IF($C48="All",COUNTIFS(Units!$E:$E, $B48, Units!$Q:$Q, "&lt;&gt;1"),COUNTIFS(Units!$E:$E, $B48, Units!$Q:$Q, "&lt;&gt;1", Units!$I:$I, $C48)
)</f>
        <v>0</v>
      </c>
      <c r="AT48" s="85">
        <f>AS48 - IF($C48="All",COUNTIFS(Units!$E:$E, $B48, Units!$Q:$Q, 2),COUNTIFS(Units!$E:$E, $B48, Units!$Q:$Q, 2, Units!$I:$I, $C48)
)</f>
        <v>0</v>
      </c>
      <c r="AU48" s="96" t="str">
        <f>IF($C48="All", 
    AVERAGEIFS(Units!$AQ:$AQ, Units!$E:$E, $B48, Units!$AY:$AY, false), 
    AVERAGEIFS(Units!$AQ:$AQ, Units!$E:$E, $B48, Units!$I:$I, $C48, Units!$AY:$AY, false)
)
</f>
        <v>#DIV/0!</v>
      </c>
      <c r="AV48" s="96" t="str">
        <f>IF($C48="All", 
    AVERAGEIFS(Units!$AR:$AR, Units!$E:$E, $B48, Units!$AY:$AY, false), 
    AVERAGEIFS(Units!$AR:$AR, Units!$E:$E, $B48, Units!$I:$I, $C48, Units!$AY:$AY, false)
)</f>
        <v>#DIV/0!</v>
      </c>
      <c r="AW48" s="96" t="str">
        <f>IF($C48="All", 
    AVERAGEIFS(Units!$AW:$AW, Units!$E:$E, $B48, Units!$AY:$AY, false), 
    AVERAGEIFS(Units!$AW:$AW, Units!$E:$E, $B48, Units!$I:$I, $C48, Units!$AY:$AY, false)
)
</f>
        <v>#DIV/0!</v>
      </c>
    </row>
    <row r="49" ht="22.5" hidden="1" customHeight="1">
      <c r="C49" s="94"/>
      <c r="D49" s="85">
        <f>IF($C49="All",COUNTIFS(Units!$E:$E, $B49),COUNTIFS(Units!$E:$E, $B49, Units!$I:$I, $C49)
)
</f>
        <v>0</v>
      </c>
      <c r="E49" s="85">
        <f>IF($C49="All",COUNTIFS(Units!$E:$E, $B49, Units!$G:$G, E$4),COUNTIFS(Units!$E:$E, $B49, Units!$G:$G, E$4, Units!$I:$I, $C49)
)
</f>
        <v>0</v>
      </c>
      <c r="F49" s="85">
        <f>IF($C49="All",COUNTIFS(Units!$E:$E, $B49, Units!$G:$G, F$4),COUNTIFS(Units!$E:$E, $B49, Units!$G:$G, F$4, Units!$I:$I, $C49)
)
</f>
        <v>0</v>
      </c>
      <c r="G49" s="85">
        <f>IF($C49="All",COUNTIFS(Units!$E:$E, $B49, Units!$G:$G, G$4),COUNTIFS(Units!$E:$E, $B49, Units!$G:$G, G$4, Units!$I:$I, $C49)
)
</f>
        <v>0</v>
      </c>
      <c r="H49" s="85">
        <f>IF($C49="All",COUNTIFS(Units!$E:$E, $B49, Units!$G:$G, H$4),COUNTIFS(Units!$E:$E, $B49, Units!$G:$G, H$4, Units!$I:$I, $C49)
)
</f>
        <v>0</v>
      </c>
      <c r="I49" s="85">
        <f>IF($C49="All",COUNTIFS(Units!$E:$E, $B49, Units!$G:$G, I$4),COUNTIFS(Units!$E:$E, $B49, Units!$G:$G, I$4, Units!$I:$I, $C49)
)
</f>
        <v>0</v>
      </c>
      <c r="J49" s="85">
        <f>IF($C49="All",COUNTIFS(Units!$E:$E, $B49, Units!$G:$G, J$4),COUNTIFS(Units!$E:$E, $B49, Units!$G:$G, J$4, Units!$I:$I, $C49)
)
</f>
        <v>0</v>
      </c>
      <c r="K49" s="85">
        <f>IF($C49="All",COUNTIFS(Units!$E:$E, $B49, Units!$G:$G, K$4),COUNTIFS(Units!$E:$E, $B49, Units!$G:$G, K$4, Units!$I:$I, $C49)
)
</f>
        <v>0</v>
      </c>
      <c r="L49" s="85">
        <f>IF($C49="All",COUNTIFS(Units!$E:$E, $B49, Units!$G:$G, L$4),COUNTIFS(Units!$E:$E, $B49, Units!$G:$G, L$4, Units!$I:$I, $C49)
)
</f>
        <v>0</v>
      </c>
      <c r="N49" s="85">
        <f>IF($C49="All",COUNTIFS(Units!$E:$E, $B49, Units!$G:$G, N$4),COUNTIFS(Units!$E:$E, $B49, Units!$G:$G, N$4, Units!$I:$I, $C49)
)
</f>
        <v>0</v>
      </c>
      <c r="O49" s="85">
        <f>IF($C49="All",COUNTIFS(Units!$E:$E, $B49, Units!$G:$G, O$4),COUNTIFS(Units!$E:$E, $B49, Units!$G:$G, O$4, Units!$I:$I, $C49)
)
</f>
        <v>0</v>
      </c>
      <c r="P49" s="85">
        <f>IF($C49="All",COUNTIFS(Units!$E:$E, $B49, Units!$G:$G, P$4),COUNTIFS(Units!$E:$E, $B49, Units!$G:$G, P$4, Units!$I:$I, $C49)
)
</f>
        <v>0</v>
      </c>
      <c r="Q49" s="85">
        <f>IF($C49="All",COUNTIFS(Units!$E:$E, $B49, Units!$G:$G, Q$4),COUNTIFS(Units!$E:$E, $B49, Units!$G:$G, Q$4, Units!$I:$I, $C49)
)
</f>
        <v>0</v>
      </c>
      <c r="R49" s="85">
        <f>IF($C49="All",COUNTIFS(Units!$E:$E, $B49, Units!$G:$G, R$4),COUNTIFS(Units!$E:$E, $B49, Units!$G:$G, R$4, Units!$I:$I, $C49)
)
</f>
        <v>0</v>
      </c>
      <c r="S49" s="85">
        <f>IF($C49="All",COUNTIFS(Units!$E:$E, $B49, Units!$G:$G, S$4),COUNTIFS(Units!$E:$E, $B49, Units!$G:$G, S$4, Units!$I:$I, $C49)
)
</f>
        <v>0</v>
      </c>
      <c r="T49" s="87">
        <f>IF($C49="All",COUNTIFS(Units!$E:$E, $B49, Units!$G:$G, T$4),COUNTIFS(Units!$E:$E, $B49, Units!$G:$G, T$4, Units!$I:$I, $C49)
)
</f>
        <v>0</v>
      </c>
      <c r="U49" s="87">
        <f>IF($C49="All",COUNTIFS(Units!$E:$E, $B49, Units!$G:$G, U$4),COUNTIFS(Units!$E:$E, $B49, Units!$G:$G, U$4, Units!$I:$I, $C49)
)
</f>
        <v>0</v>
      </c>
      <c r="V49" s="87">
        <f>IF($C49="All",COUNTIFS(Units!$E:$E, $B49, Units!$G:$G, V$4),COUNTIFS(Units!$E:$E, $B49, Units!$G:$G, V$4, Units!$I:$I, $C49)
)
</f>
        <v>0</v>
      </c>
      <c r="W49" s="87">
        <f>IF($C49="All",COUNTIFS(Units!$E:$E, $B49, Units!$G:$G, W$4),COUNTIFS(Units!$E:$E, $B49, Units!$G:$G, W$4, Units!$I:$I, $C49)
)
</f>
        <v>0</v>
      </c>
      <c r="X49" s="87">
        <f>IF($C49="All",COUNTIFS(Units!$E:$E, $B49, Units!$G:$G, X$4),COUNTIFS(Units!$E:$E, $B49, Units!$G:$G, X$4, Units!$I:$I, $C49)
)
</f>
        <v>0</v>
      </c>
      <c r="Y49" s="87">
        <f>IF($C49="All",COUNTIFS(Units!$E:$E, $B49, Units!$G:$G, Y$4),COUNTIFS(Units!$E:$E, $B49, Units!$G:$G, Y$4, Units!$I:$I, $C49)
)
</f>
        <v>0</v>
      </c>
      <c r="Z49" s="87">
        <f>IF($C49="All",COUNTIFS(Units!$E:$E, $B49, Units!$G:$G, Z$4),COUNTIFS(Units!$E:$E, $B49, Units!$G:$G, Z$4, Units!$I:$I, $C49)
)
</f>
        <v>0</v>
      </c>
      <c r="AA49" s="87">
        <f>IF($C49="All",COUNTIFS(Units!$E:$E, $B49, Units!$G:$G, AA$4),COUNTIFS(Units!$E:$E, $B49, Units!$G:$G, AA$4, Units!$I:$I, $C49)
)
</f>
        <v>0</v>
      </c>
      <c r="AB49" s="87">
        <f>IF($C49="All",COUNTIFS(Units!$E:$E, $B49, Units!$G:$G, AB$4),COUNTIFS(Units!$E:$E, $B49, Units!$G:$G, AB$4, Units!$I:$I, $C49)
)
</f>
        <v>0</v>
      </c>
      <c r="AC49" s="87">
        <f>IF($C49="All",COUNTIFS(Units!$E:$E, $B49, Units!$G:$G, AC$4),COUNTIFS(Units!$E:$E, $B49, Units!$G:$G, AC$4, Units!$I:$I, $C49)
)
</f>
        <v>0</v>
      </c>
      <c r="AD49" s="85">
        <f t="shared" si="2"/>
        <v>0</v>
      </c>
      <c r="AE49" s="85">
        <f t="shared" si="3"/>
        <v>0</v>
      </c>
      <c r="AF49" s="87">
        <f t="shared" si="4"/>
        <v>0</v>
      </c>
      <c r="AG49" s="91">
        <f t="shared" si="5"/>
        <v>0</v>
      </c>
      <c r="AJ49" s="94"/>
      <c r="AO49" s="94"/>
      <c r="AP49" s="85">
        <f>IF($C49="All",COUNTIFS(Units!$E:$E, $B49, Units!$M:$M, "&lt;&gt;1"),COUNTIFS(Units!$E:$E, $B49, Units!$M:$M, "&lt;&gt;1", Units!$I:$I, $C49)
)
</f>
        <v>0</v>
      </c>
      <c r="AQ49" s="94">
        <f>IF($C49="All",COUNTIFS(Units!$E:$E, $B49, Units!$S:$S, "*Maneouverable*"),COUNTIFS(Units!$E:$E, $B49, Units!$S:$S, "*Maneouverable*", Units!$I:$I, $C49)
)
</f>
        <v>0</v>
      </c>
      <c r="AR49" s="96" t="str">
        <f>IF($C49="All", 
    AVERAGEIFS(Units!$Q:$Q, Units!$E:$E, $B49, Units!$AY:$AY, false), 
    AVERAGEIFS(Units!$Q:$Q, Units!$E:$E, $B49, Units!$I:$I, $C49, Units!$AY:$AY, false)
)
</f>
        <v>#DIV/0!</v>
      </c>
      <c r="AS49" s="85">
        <f>IF($C49="All",COUNTIFS(Units!$E:$E, $B49, Units!$Q:$Q, "&lt;&gt;1"),COUNTIFS(Units!$E:$E, $B49, Units!$Q:$Q, "&lt;&gt;1", Units!$I:$I, $C49)
)</f>
        <v>0</v>
      </c>
      <c r="AT49" s="85">
        <f>AS49 - IF($C49="All",COUNTIFS(Units!$E:$E, $B49, Units!$Q:$Q, 2),COUNTIFS(Units!$E:$E, $B49, Units!$Q:$Q, 2, Units!$I:$I, $C49)
)</f>
        <v>0</v>
      </c>
      <c r="AU49" s="96" t="str">
        <f>IF($C49="All", 
    AVERAGEIFS(Units!$AQ:$AQ, Units!$E:$E, $B49, Units!$AY:$AY, false), 
    AVERAGEIFS(Units!$AQ:$AQ, Units!$E:$E, $B49, Units!$I:$I, $C49, Units!$AY:$AY, false)
)
</f>
        <v>#DIV/0!</v>
      </c>
      <c r="AV49" s="96" t="str">
        <f>IF($C49="All", 
    AVERAGEIFS(Units!$AR:$AR, Units!$E:$E, $B49, Units!$AY:$AY, false), 
    AVERAGEIFS(Units!$AR:$AR, Units!$E:$E, $B49, Units!$I:$I, $C49, Units!$AY:$AY, false)
)</f>
        <v>#DIV/0!</v>
      </c>
      <c r="AW49" s="96" t="str">
        <f>IF($C49="All", 
    AVERAGEIFS(Units!$AW:$AW, Units!$E:$E, $B49, Units!$AY:$AY, false), 
    AVERAGEIFS(Units!$AW:$AW, Units!$E:$E, $B49, Units!$I:$I, $C49, Units!$AY:$AY, false)
)
</f>
        <v>#DIV/0!</v>
      </c>
    </row>
    <row r="50" ht="22.5" hidden="1" customHeight="1">
      <c r="C50" s="94"/>
      <c r="D50" s="85">
        <f>IF($C50="All",COUNTIFS(Units!$E:$E, $B50),COUNTIFS(Units!$E:$E, $B50, Units!$I:$I, $C50)
)
</f>
        <v>0</v>
      </c>
      <c r="E50" s="85">
        <f>IF($C50="All",COUNTIFS(Units!$E:$E, $B50, Units!$G:$G, E$4),COUNTIFS(Units!$E:$E, $B50, Units!$G:$G, E$4, Units!$I:$I, $C50)
)
</f>
        <v>0</v>
      </c>
      <c r="F50" s="85">
        <f>IF($C50="All",COUNTIFS(Units!$E:$E, $B50, Units!$G:$G, F$4),COUNTIFS(Units!$E:$E, $B50, Units!$G:$G, F$4, Units!$I:$I, $C50)
)
</f>
        <v>0</v>
      </c>
      <c r="G50" s="85">
        <f>IF($C50="All",COUNTIFS(Units!$E:$E, $B50, Units!$G:$G, G$4),COUNTIFS(Units!$E:$E, $B50, Units!$G:$G, G$4, Units!$I:$I, $C50)
)
</f>
        <v>0</v>
      </c>
      <c r="H50" s="85">
        <f>IF($C50="All",COUNTIFS(Units!$E:$E, $B50, Units!$G:$G, H$4),COUNTIFS(Units!$E:$E, $B50, Units!$G:$G, H$4, Units!$I:$I, $C50)
)
</f>
        <v>0</v>
      </c>
      <c r="I50" s="85">
        <f>IF($C50="All",COUNTIFS(Units!$E:$E, $B50, Units!$G:$G, I$4),COUNTIFS(Units!$E:$E, $B50, Units!$G:$G, I$4, Units!$I:$I, $C50)
)
</f>
        <v>0</v>
      </c>
      <c r="J50" s="85">
        <f>IF($C50="All",COUNTIFS(Units!$E:$E, $B50, Units!$G:$G, J$4),COUNTIFS(Units!$E:$E, $B50, Units!$G:$G, J$4, Units!$I:$I, $C50)
)
</f>
        <v>0</v>
      </c>
      <c r="K50" s="85">
        <f>IF($C50="All",COUNTIFS(Units!$E:$E, $B50, Units!$G:$G, K$4),COUNTIFS(Units!$E:$E, $B50, Units!$G:$G, K$4, Units!$I:$I, $C50)
)
</f>
        <v>0</v>
      </c>
      <c r="L50" s="85">
        <f>IF($C50="All",COUNTIFS(Units!$E:$E, $B50, Units!$G:$G, L$4),COUNTIFS(Units!$E:$E, $B50, Units!$G:$G, L$4, Units!$I:$I, $C50)
)
</f>
        <v>0</v>
      </c>
      <c r="N50" s="85">
        <f>IF($C50="All",COUNTIFS(Units!$E:$E, $B50, Units!$G:$G, N$4),COUNTIFS(Units!$E:$E, $B50, Units!$G:$G, N$4, Units!$I:$I, $C50)
)
</f>
        <v>0</v>
      </c>
      <c r="O50" s="85">
        <f>IF($C50="All",COUNTIFS(Units!$E:$E, $B50, Units!$G:$G, O$4),COUNTIFS(Units!$E:$E, $B50, Units!$G:$G, O$4, Units!$I:$I, $C50)
)
</f>
        <v>0</v>
      </c>
      <c r="P50" s="85">
        <f>IF($C50="All",COUNTIFS(Units!$E:$E, $B50, Units!$G:$G, P$4),COUNTIFS(Units!$E:$E, $B50, Units!$G:$G, P$4, Units!$I:$I, $C50)
)
</f>
        <v>0</v>
      </c>
      <c r="Q50" s="85">
        <f>IF($C50="All",COUNTIFS(Units!$E:$E, $B50, Units!$G:$G, Q$4),COUNTIFS(Units!$E:$E, $B50, Units!$G:$G, Q$4, Units!$I:$I, $C50)
)
</f>
        <v>0</v>
      </c>
      <c r="R50" s="85">
        <f>IF($C50="All",COUNTIFS(Units!$E:$E, $B50, Units!$G:$G, R$4),COUNTIFS(Units!$E:$E, $B50, Units!$G:$G, R$4, Units!$I:$I, $C50)
)
</f>
        <v>0</v>
      </c>
      <c r="S50" s="85">
        <f>IF($C50="All",COUNTIFS(Units!$E:$E, $B50, Units!$G:$G, S$4),COUNTIFS(Units!$E:$E, $B50, Units!$G:$G, S$4, Units!$I:$I, $C50)
)
</f>
        <v>0</v>
      </c>
      <c r="T50" s="87">
        <f>IF($C50="All",COUNTIFS(Units!$E:$E, $B50, Units!$G:$G, T$4),COUNTIFS(Units!$E:$E, $B50, Units!$G:$G, T$4, Units!$I:$I, $C50)
)
</f>
        <v>0</v>
      </c>
      <c r="U50" s="87">
        <f>IF($C50="All",COUNTIFS(Units!$E:$E, $B50, Units!$G:$G, U$4),COUNTIFS(Units!$E:$E, $B50, Units!$G:$G, U$4, Units!$I:$I, $C50)
)
</f>
        <v>0</v>
      </c>
      <c r="V50" s="87">
        <f>IF($C50="All",COUNTIFS(Units!$E:$E, $B50, Units!$G:$G, V$4),COUNTIFS(Units!$E:$E, $B50, Units!$G:$G, V$4, Units!$I:$I, $C50)
)
</f>
        <v>0</v>
      </c>
      <c r="W50" s="87">
        <f>IF($C50="All",COUNTIFS(Units!$E:$E, $B50, Units!$G:$G, W$4),COUNTIFS(Units!$E:$E, $B50, Units!$G:$G, W$4, Units!$I:$I, $C50)
)
</f>
        <v>0</v>
      </c>
      <c r="X50" s="87">
        <f>IF($C50="All",COUNTIFS(Units!$E:$E, $B50, Units!$G:$G, X$4),COUNTIFS(Units!$E:$E, $B50, Units!$G:$G, X$4, Units!$I:$I, $C50)
)
</f>
        <v>0</v>
      </c>
      <c r="Y50" s="87">
        <f>IF($C50="All",COUNTIFS(Units!$E:$E, $B50, Units!$G:$G, Y$4),COUNTIFS(Units!$E:$E, $B50, Units!$G:$G, Y$4, Units!$I:$I, $C50)
)
</f>
        <v>0</v>
      </c>
      <c r="Z50" s="87">
        <f>IF($C50="All",COUNTIFS(Units!$E:$E, $B50, Units!$G:$G, Z$4),COUNTIFS(Units!$E:$E, $B50, Units!$G:$G, Z$4, Units!$I:$I, $C50)
)
</f>
        <v>0</v>
      </c>
      <c r="AA50" s="87">
        <f>IF($C50="All",COUNTIFS(Units!$E:$E, $B50, Units!$G:$G, AA$4),COUNTIFS(Units!$E:$E, $B50, Units!$G:$G, AA$4, Units!$I:$I, $C50)
)
</f>
        <v>0</v>
      </c>
      <c r="AB50" s="87">
        <f>IF($C50="All",COUNTIFS(Units!$E:$E, $B50, Units!$G:$G, AB$4),COUNTIFS(Units!$E:$E, $B50, Units!$G:$G, AB$4, Units!$I:$I, $C50)
)
</f>
        <v>0</v>
      </c>
      <c r="AC50" s="87">
        <f>IF($C50="All",COUNTIFS(Units!$E:$E, $B50, Units!$G:$G, AC$4),COUNTIFS(Units!$E:$E, $B50, Units!$G:$G, AC$4, Units!$I:$I, $C50)
)
</f>
        <v>0</v>
      </c>
      <c r="AD50" s="85">
        <f t="shared" si="2"/>
        <v>0</v>
      </c>
      <c r="AE50" s="85">
        <f t="shared" si="3"/>
        <v>0</v>
      </c>
      <c r="AF50" s="87">
        <f t="shared" si="4"/>
        <v>0</v>
      </c>
      <c r="AG50" s="91">
        <f t="shared" si="5"/>
        <v>0</v>
      </c>
      <c r="AJ50" s="94"/>
      <c r="AO50" s="94"/>
      <c r="AP50" s="85">
        <f>IF($C50="All",COUNTIFS(Units!$E:$E, $B50, Units!$M:$M, "&lt;&gt;1"),COUNTIFS(Units!$E:$E, $B50, Units!$M:$M, "&lt;&gt;1", Units!$I:$I, $C50)
)
</f>
        <v>0</v>
      </c>
      <c r="AQ50" s="94">
        <f>IF($C50="All",COUNTIFS(Units!$E:$E, $B50, Units!$S:$S, "*Maneouverable*"),COUNTIFS(Units!$E:$E, $B50, Units!$S:$S, "*Maneouverable*", Units!$I:$I, $C50)
)
</f>
        <v>0</v>
      </c>
      <c r="AR50" s="96" t="str">
        <f>IF($C50="All", 
    AVERAGEIFS(Units!$Q:$Q, Units!$E:$E, $B50, Units!$AY:$AY, false), 
    AVERAGEIFS(Units!$Q:$Q, Units!$E:$E, $B50, Units!$I:$I, $C50, Units!$AY:$AY, false)
)
</f>
        <v>#DIV/0!</v>
      </c>
      <c r="AS50" s="85">
        <f>IF($C50="All",COUNTIFS(Units!$E:$E, $B50, Units!$Q:$Q, "&lt;&gt;1"),COUNTIFS(Units!$E:$E, $B50, Units!$Q:$Q, "&lt;&gt;1", Units!$I:$I, $C50)
)</f>
        <v>0</v>
      </c>
      <c r="AT50" s="85">
        <f>AS50 - IF($C50="All",COUNTIFS(Units!$E:$E, $B50, Units!$Q:$Q, 2),COUNTIFS(Units!$E:$E, $B50, Units!$Q:$Q, 2, Units!$I:$I, $C50)
)</f>
        <v>0</v>
      </c>
      <c r="AU50" s="96" t="str">
        <f>IF($C50="All", 
    AVERAGEIFS(Units!$AQ:$AQ, Units!$E:$E, $B50, Units!$AY:$AY, false), 
    AVERAGEIFS(Units!$AQ:$AQ, Units!$E:$E, $B50, Units!$I:$I, $C50, Units!$AY:$AY, false)
)
</f>
        <v>#DIV/0!</v>
      </c>
      <c r="AV50" s="96" t="str">
        <f>IF($C50="All", 
    AVERAGEIFS(Units!$AR:$AR, Units!$E:$E, $B50, Units!$AY:$AY, false), 
    AVERAGEIFS(Units!$AR:$AR, Units!$E:$E, $B50, Units!$I:$I, $C50, Units!$AY:$AY, false)
)</f>
        <v>#DIV/0!</v>
      </c>
      <c r="AW50" s="96" t="str">
        <f>IF($C50="All", 
    AVERAGEIFS(Units!$AW:$AW, Units!$E:$E, $B50, Units!$AY:$AY, false), 
    AVERAGEIFS(Units!$AW:$AW, Units!$E:$E, $B50, Units!$I:$I, $C50, Units!$AY:$AY, false)
)
</f>
        <v>#DIV/0!</v>
      </c>
    </row>
    <row r="51" ht="22.5" hidden="1" customHeight="1">
      <c r="C51" s="94"/>
      <c r="D51" s="85">
        <f>IF($C51="All",COUNTIFS(Units!$E:$E, $B51),COUNTIFS(Units!$E:$E, $B51, Units!$I:$I, $C51)
)
</f>
        <v>0</v>
      </c>
      <c r="E51" s="85">
        <f>IF($C51="All",COUNTIFS(Units!$E:$E, $B51, Units!$G:$G, E$4),COUNTIFS(Units!$E:$E, $B51, Units!$G:$G, E$4, Units!$I:$I, $C51)
)
</f>
        <v>0</v>
      </c>
      <c r="F51" s="85">
        <f>IF($C51="All",COUNTIFS(Units!$E:$E, $B51, Units!$G:$G, F$4),COUNTIFS(Units!$E:$E, $B51, Units!$G:$G, F$4, Units!$I:$I, $C51)
)
</f>
        <v>0</v>
      </c>
      <c r="G51" s="85">
        <f>IF($C51="All",COUNTIFS(Units!$E:$E, $B51, Units!$G:$G, G$4),COUNTIFS(Units!$E:$E, $B51, Units!$G:$G, G$4, Units!$I:$I, $C51)
)
</f>
        <v>0</v>
      </c>
      <c r="H51" s="85">
        <f>IF($C51="All",COUNTIFS(Units!$E:$E, $B51, Units!$G:$G, H$4),COUNTIFS(Units!$E:$E, $B51, Units!$G:$G, H$4, Units!$I:$I, $C51)
)
</f>
        <v>0</v>
      </c>
      <c r="I51" s="85">
        <f>IF($C51="All",COUNTIFS(Units!$E:$E, $B51, Units!$G:$G, I$4),COUNTIFS(Units!$E:$E, $B51, Units!$G:$G, I$4, Units!$I:$I, $C51)
)
</f>
        <v>0</v>
      </c>
      <c r="J51" s="85">
        <f>IF($C51="All",COUNTIFS(Units!$E:$E, $B51, Units!$G:$G, J$4),COUNTIFS(Units!$E:$E, $B51, Units!$G:$G, J$4, Units!$I:$I, $C51)
)
</f>
        <v>0</v>
      </c>
      <c r="K51" s="85">
        <f>IF($C51="All",COUNTIFS(Units!$E:$E, $B51, Units!$G:$G, K$4),COUNTIFS(Units!$E:$E, $B51, Units!$G:$G, K$4, Units!$I:$I, $C51)
)
</f>
        <v>0</v>
      </c>
      <c r="L51" s="85">
        <f>IF($C51="All",COUNTIFS(Units!$E:$E, $B51, Units!$G:$G, L$4),COUNTIFS(Units!$E:$E, $B51, Units!$G:$G, L$4, Units!$I:$I, $C51)
)
</f>
        <v>0</v>
      </c>
      <c r="N51" s="85">
        <f>IF($C51="All",COUNTIFS(Units!$E:$E, $B51, Units!$G:$G, N$4),COUNTIFS(Units!$E:$E, $B51, Units!$G:$G, N$4, Units!$I:$I, $C51)
)
</f>
        <v>0</v>
      </c>
      <c r="O51" s="85">
        <f>IF($C51="All",COUNTIFS(Units!$E:$E, $B51, Units!$G:$G, O$4),COUNTIFS(Units!$E:$E, $B51, Units!$G:$G, O$4, Units!$I:$I, $C51)
)
</f>
        <v>0</v>
      </c>
      <c r="P51" s="85">
        <f>IF($C51="All",COUNTIFS(Units!$E:$E, $B51, Units!$G:$G, P$4),COUNTIFS(Units!$E:$E, $B51, Units!$G:$G, P$4, Units!$I:$I, $C51)
)
</f>
        <v>0</v>
      </c>
      <c r="Q51" s="85">
        <f>IF($C51="All",COUNTIFS(Units!$E:$E, $B51, Units!$G:$G, Q$4),COUNTIFS(Units!$E:$E, $B51, Units!$G:$G, Q$4, Units!$I:$I, $C51)
)
</f>
        <v>0</v>
      </c>
      <c r="R51" s="85">
        <f>IF($C51="All",COUNTIFS(Units!$E:$E, $B51, Units!$G:$G, R$4),COUNTIFS(Units!$E:$E, $B51, Units!$G:$G, R$4, Units!$I:$I, $C51)
)
</f>
        <v>0</v>
      </c>
      <c r="S51" s="85">
        <f>IF($C51="All",COUNTIFS(Units!$E:$E, $B51, Units!$G:$G, S$4),COUNTIFS(Units!$E:$E, $B51, Units!$G:$G, S$4, Units!$I:$I, $C51)
)
</f>
        <v>0</v>
      </c>
      <c r="T51" s="87">
        <f>IF($C51="All",COUNTIFS(Units!$E:$E, $B51, Units!$G:$G, T$4),COUNTIFS(Units!$E:$E, $B51, Units!$G:$G, T$4, Units!$I:$I, $C51)
)
</f>
        <v>0</v>
      </c>
      <c r="U51" s="87">
        <f>IF($C51="All",COUNTIFS(Units!$E:$E, $B51, Units!$G:$G, U$4),COUNTIFS(Units!$E:$E, $B51, Units!$G:$G, U$4, Units!$I:$I, $C51)
)
</f>
        <v>0</v>
      </c>
      <c r="V51" s="87">
        <f>IF($C51="All",COUNTIFS(Units!$E:$E, $B51, Units!$G:$G, V$4),COUNTIFS(Units!$E:$E, $B51, Units!$G:$G, V$4, Units!$I:$I, $C51)
)
</f>
        <v>0</v>
      </c>
      <c r="W51" s="87">
        <f>IF($C51="All",COUNTIFS(Units!$E:$E, $B51, Units!$G:$G, W$4),COUNTIFS(Units!$E:$E, $B51, Units!$G:$G, W$4, Units!$I:$I, $C51)
)
</f>
        <v>0</v>
      </c>
      <c r="X51" s="87">
        <f>IF($C51="All",COUNTIFS(Units!$E:$E, $B51, Units!$G:$G, X$4),COUNTIFS(Units!$E:$E, $B51, Units!$G:$G, X$4, Units!$I:$I, $C51)
)
</f>
        <v>0</v>
      </c>
      <c r="Y51" s="87">
        <f>IF($C51="All",COUNTIFS(Units!$E:$E, $B51, Units!$G:$G, Y$4),COUNTIFS(Units!$E:$E, $B51, Units!$G:$G, Y$4, Units!$I:$I, $C51)
)
</f>
        <v>0</v>
      </c>
      <c r="Z51" s="87">
        <f>IF($C51="All",COUNTIFS(Units!$E:$E, $B51, Units!$G:$G, Z$4),COUNTIFS(Units!$E:$E, $B51, Units!$G:$G, Z$4, Units!$I:$I, $C51)
)
</f>
        <v>0</v>
      </c>
      <c r="AA51" s="87">
        <f>IF($C51="All",COUNTIFS(Units!$E:$E, $B51, Units!$G:$G, AA$4),COUNTIFS(Units!$E:$E, $B51, Units!$G:$G, AA$4, Units!$I:$I, $C51)
)
</f>
        <v>0</v>
      </c>
      <c r="AB51" s="87">
        <f>IF($C51="All",COUNTIFS(Units!$E:$E, $B51, Units!$G:$G, AB$4),COUNTIFS(Units!$E:$E, $B51, Units!$G:$G, AB$4, Units!$I:$I, $C51)
)
</f>
        <v>0</v>
      </c>
      <c r="AC51" s="87">
        <f>IF($C51="All",COUNTIFS(Units!$E:$E, $B51, Units!$G:$G, AC$4),COUNTIFS(Units!$E:$E, $B51, Units!$G:$G, AC$4, Units!$I:$I, $C51)
)
</f>
        <v>0</v>
      </c>
      <c r="AD51" s="85">
        <f t="shared" si="2"/>
        <v>0</v>
      </c>
      <c r="AE51" s="85">
        <f t="shared" si="3"/>
        <v>0</v>
      </c>
      <c r="AF51" s="87">
        <f t="shared" si="4"/>
        <v>0</v>
      </c>
      <c r="AG51" s="91">
        <f t="shared" si="5"/>
        <v>0</v>
      </c>
      <c r="AJ51" s="94"/>
      <c r="AO51" s="94"/>
      <c r="AP51" s="85">
        <f>IF($C51="All",COUNTIFS(Units!$E:$E, $B51, Units!$M:$M, "&lt;&gt;1"),COUNTIFS(Units!$E:$E, $B51, Units!$M:$M, "&lt;&gt;1", Units!$I:$I, $C51)
)
</f>
        <v>0</v>
      </c>
      <c r="AQ51" s="94">
        <f>IF($C51="All",COUNTIFS(Units!$E:$E, $B51, Units!$S:$S, "*Maneouverable*"),COUNTIFS(Units!$E:$E, $B51, Units!$S:$S, "*Maneouverable*", Units!$I:$I, $C51)
)
</f>
        <v>0</v>
      </c>
      <c r="AR51" s="96" t="str">
        <f>IF($C51="All", 
    AVERAGEIFS(Units!$Q:$Q, Units!$E:$E, $B51, Units!$AY:$AY, false), 
    AVERAGEIFS(Units!$Q:$Q, Units!$E:$E, $B51, Units!$I:$I, $C51, Units!$AY:$AY, false)
)
</f>
        <v>#DIV/0!</v>
      </c>
      <c r="AS51" s="85">
        <f>IF($C51="All",COUNTIFS(Units!$E:$E, $B51, Units!$Q:$Q, "&lt;&gt;1"),COUNTIFS(Units!$E:$E, $B51, Units!$Q:$Q, "&lt;&gt;1", Units!$I:$I, $C51)
)</f>
        <v>0</v>
      </c>
      <c r="AT51" s="85">
        <f>AS51 - IF($C51="All",COUNTIFS(Units!$E:$E, $B51, Units!$Q:$Q, 2),COUNTIFS(Units!$E:$E, $B51, Units!$Q:$Q, 2, Units!$I:$I, $C51)
)</f>
        <v>0</v>
      </c>
      <c r="AU51" s="96" t="str">
        <f>IF($C51="All", 
    AVERAGEIFS(Units!$AQ:$AQ, Units!$E:$E, $B51, Units!$AY:$AY, false), 
    AVERAGEIFS(Units!$AQ:$AQ, Units!$E:$E, $B51, Units!$I:$I, $C51, Units!$AY:$AY, false)
)
</f>
        <v>#DIV/0!</v>
      </c>
      <c r="AV51" s="96" t="str">
        <f>IF($C51="All", 
    AVERAGEIFS(Units!$AR:$AR, Units!$E:$E, $B51, Units!$AY:$AY, false), 
    AVERAGEIFS(Units!$AR:$AR, Units!$E:$E, $B51, Units!$I:$I, $C51, Units!$AY:$AY, false)
)</f>
        <v>#DIV/0!</v>
      </c>
      <c r="AW51" s="96" t="str">
        <f>IF($C51="All", 
    AVERAGEIFS(Units!$AW:$AW, Units!$E:$E, $B51, Units!$AY:$AY, false), 
    AVERAGEIFS(Units!$AW:$AW, Units!$E:$E, $B51, Units!$I:$I, $C51, Units!$AY:$AY, false)
)
</f>
        <v>#DIV/0!</v>
      </c>
    </row>
    <row r="52" ht="22.5" hidden="1" customHeight="1">
      <c r="C52" s="94"/>
      <c r="D52" s="85">
        <f>IF($C52="All",COUNTIFS(Units!$E:$E, $B52),COUNTIFS(Units!$E:$E, $B52, Units!$I:$I, $C52)
)
</f>
        <v>0</v>
      </c>
      <c r="E52" s="85">
        <f>IF($C52="All",COUNTIFS(Units!$E:$E, $B52, Units!$G:$G, E$4),COUNTIFS(Units!$E:$E, $B52, Units!$G:$G, E$4, Units!$I:$I, $C52)
)
</f>
        <v>0</v>
      </c>
      <c r="F52" s="85">
        <f>IF($C52="All",COUNTIFS(Units!$E:$E, $B52, Units!$G:$G, F$4),COUNTIFS(Units!$E:$E, $B52, Units!$G:$G, F$4, Units!$I:$I, $C52)
)
</f>
        <v>0</v>
      </c>
      <c r="G52" s="85">
        <f>IF($C52="All",COUNTIFS(Units!$E:$E, $B52, Units!$G:$G, G$4),COUNTIFS(Units!$E:$E, $B52, Units!$G:$G, G$4, Units!$I:$I, $C52)
)
</f>
        <v>0</v>
      </c>
      <c r="H52" s="85">
        <f>IF($C52="All",COUNTIFS(Units!$E:$E, $B52, Units!$G:$G, H$4),COUNTIFS(Units!$E:$E, $B52, Units!$G:$G, H$4, Units!$I:$I, $C52)
)
</f>
        <v>0</v>
      </c>
      <c r="I52" s="85">
        <f>IF($C52="All",COUNTIFS(Units!$E:$E, $B52, Units!$G:$G, I$4),COUNTIFS(Units!$E:$E, $B52, Units!$G:$G, I$4, Units!$I:$I, $C52)
)
</f>
        <v>0</v>
      </c>
      <c r="J52" s="85">
        <f>IF($C52="All",COUNTIFS(Units!$E:$E, $B52, Units!$G:$G, J$4),COUNTIFS(Units!$E:$E, $B52, Units!$G:$G, J$4, Units!$I:$I, $C52)
)
</f>
        <v>0</v>
      </c>
      <c r="K52" s="85">
        <f>IF($C52="All",COUNTIFS(Units!$E:$E, $B52, Units!$G:$G, K$4),COUNTIFS(Units!$E:$E, $B52, Units!$G:$G, K$4, Units!$I:$I, $C52)
)
</f>
        <v>0</v>
      </c>
      <c r="L52" s="85">
        <f>IF($C52="All",COUNTIFS(Units!$E:$E, $B52, Units!$G:$G, L$4),COUNTIFS(Units!$E:$E, $B52, Units!$G:$G, L$4, Units!$I:$I, $C52)
)
</f>
        <v>0</v>
      </c>
      <c r="N52" s="85">
        <f>IF($C52="All",COUNTIFS(Units!$E:$E, $B52, Units!$G:$G, N$4),COUNTIFS(Units!$E:$E, $B52, Units!$G:$G, N$4, Units!$I:$I, $C52)
)
</f>
        <v>0</v>
      </c>
      <c r="O52" s="85">
        <f>IF($C52="All",COUNTIFS(Units!$E:$E, $B52, Units!$G:$G, O$4),COUNTIFS(Units!$E:$E, $B52, Units!$G:$G, O$4, Units!$I:$I, $C52)
)
</f>
        <v>0</v>
      </c>
      <c r="P52" s="85">
        <f>IF($C52="All",COUNTIFS(Units!$E:$E, $B52, Units!$G:$G, P$4),COUNTIFS(Units!$E:$E, $B52, Units!$G:$G, P$4, Units!$I:$I, $C52)
)
</f>
        <v>0</v>
      </c>
      <c r="Q52" s="85">
        <f>IF($C52="All",COUNTIFS(Units!$E:$E, $B52, Units!$G:$G, Q$4),COUNTIFS(Units!$E:$E, $B52, Units!$G:$G, Q$4, Units!$I:$I, $C52)
)
</f>
        <v>0</v>
      </c>
      <c r="R52" s="85">
        <f>IF($C52="All",COUNTIFS(Units!$E:$E, $B52, Units!$G:$G, R$4),COUNTIFS(Units!$E:$E, $B52, Units!$G:$G, R$4, Units!$I:$I, $C52)
)
</f>
        <v>0</v>
      </c>
      <c r="S52" s="85">
        <f>IF($C52="All",COUNTIFS(Units!$E:$E, $B52, Units!$G:$G, S$4),COUNTIFS(Units!$E:$E, $B52, Units!$G:$G, S$4, Units!$I:$I, $C52)
)
</f>
        <v>0</v>
      </c>
      <c r="T52" s="87">
        <f>IF($C52="All",COUNTIFS(Units!$E:$E, $B52, Units!$G:$G, T$4),COUNTIFS(Units!$E:$E, $B52, Units!$G:$G, T$4, Units!$I:$I, $C52)
)
</f>
        <v>0</v>
      </c>
      <c r="U52" s="87">
        <f>IF($C52="All",COUNTIFS(Units!$E:$E, $B52, Units!$G:$G, U$4),COUNTIFS(Units!$E:$E, $B52, Units!$G:$G, U$4, Units!$I:$I, $C52)
)
</f>
        <v>0</v>
      </c>
      <c r="V52" s="87">
        <f>IF($C52="All",COUNTIFS(Units!$E:$E, $B52, Units!$G:$G, V$4),COUNTIFS(Units!$E:$E, $B52, Units!$G:$G, V$4, Units!$I:$I, $C52)
)
</f>
        <v>0</v>
      </c>
      <c r="W52" s="87">
        <f>IF($C52="All",COUNTIFS(Units!$E:$E, $B52, Units!$G:$G, W$4),COUNTIFS(Units!$E:$E, $B52, Units!$G:$G, W$4, Units!$I:$I, $C52)
)
</f>
        <v>0</v>
      </c>
      <c r="X52" s="87">
        <f>IF($C52="All",COUNTIFS(Units!$E:$E, $B52, Units!$G:$G, X$4),COUNTIFS(Units!$E:$E, $B52, Units!$G:$G, X$4, Units!$I:$I, $C52)
)
</f>
        <v>0</v>
      </c>
      <c r="Y52" s="87">
        <f>IF($C52="All",COUNTIFS(Units!$E:$E, $B52, Units!$G:$G, Y$4),COUNTIFS(Units!$E:$E, $B52, Units!$G:$G, Y$4, Units!$I:$I, $C52)
)
</f>
        <v>0</v>
      </c>
      <c r="Z52" s="87">
        <f>IF($C52="All",COUNTIFS(Units!$E:$E, $B52, Units!$G:$G, Z$4),COUNTIFS(Units!$E:$E, $B52, Units!$G:$G, Z$4, Units!$I:$I, $C52)
)
</f>
        <v>0</v>
      </c>
      <c r="AA52" s="87">
        <f>IF($C52="All",COUNTIFS(Units!$E:$E, $B52, Units!$G:$G, AA$4),COUNTIFS(Units!$E:$E, $B52, Units!$G:$G, AA$4, Units!$I:$I, $C52)
)
</f>
        <v>0</v>
      </c>
      <c r="AB52" s="87">
        <f>IF($C52="All",COUNTIFS(Units!$E:$E, $B52, Units!$G:$G, AB$4),COUNTIFS(Units!$E:$E, $B52, Units!$G:$G, AB$4, Units!$I:$I, $C52)
)
</f>
        <v>0</v>
      </c>
      <c r="AC52" s="87">
        <f>IF($C52="All",COUNTIFS(Units!$E:$E, $B52, Units!$G:$G, AC$4),COUNTIFS(Units!$E:$E, $B52, Units!$G:$G, AC$4, Units!$I:$I, $C52)
)
</f>
        <v>0</v>
      </c>
      <c r="AD52" s="85">
        <f t="shared" si="2"/>
        <v>0</v>
      </c>
      <c r="AE52" s="85">
        <f t="shared" si="3"/>
        <v>0</v>
      </c>
      <c r="AF52" s="87">
        <f t="shared" si="4"/>
        <v>0</v>
      </c>
      <c r="AG52" s="91">
        <f t="shared" si="5"/>
        <v>0</v>
      </c>
      <c r="AJ52" s="94"/>
      <c r="AO52" s="94"/>
      <c r="AP52" s="85">
        <f>IF($C52="All",COUNTIFS(Units!$E:$E, $B52, Units!$M:$M, "&lt;&gt;1"),COUNTIFS(Units!$E:$E, $B52, Units!$M:$M, "&lt;&gt;1", Units!$I:$I, $C52)
)
</f>
        <v>0</v>
      </c>
      <c r="AQ52" s="94">
        <f>IF($C52="All",COUNTIFS(Units!$E:$E, $B52, Units!$S:$S, "*Maneouverable*"),COUNTIFS(Units!$E:$E, $B52, Units!$S:$S, "*Maneouverable*", Units!$I:$I, $C52)
)
</f>
        <v>0</v>
      </c>
      <c r="AR52" s="96" t="str">
        <f>IF($C52="All", 
    AVERAGEIFS(Units!$Q:$Q, Units!$E:$E, $B52, Units!$AY:$AY, false), 
    AVERAGEIFS(Units!$Q:$Q, Units!$E:$E, $B52, Units!$I:$I, $C52, Units!$AY:$AY, false)
)
</f>
        <v>#DIV/0!</v>
      </c>
      <c r="AS52" s="85">
        <f>IF($C52="All",COUNTIFS(Units!$E:$E, $B52, Units!$Q:$Q, "&lt;&gt;1"),COUNTIFS(Units!$E:$E, $B52, Units!$Q:$Q, "&lt;&gt;1", Units!$I:$I, $C52)
)</f>
        <v>0</v>
      </c>
      <c r="AT52" s="85">
        <f>AS52 - IF($C52="All",COUNTIFS(Units!$E:$E, $B52, Units!$Q:$Q, 2),COUNTIFS(Units!$E:$E, $B52, Units!$Q:$Q, 2, Units!$I:$I, $C52)
)</f>
        <v>0</v>
      </c>
      <c r="AU52" s="96" t="str">
        <f>IF($C52="All", 
    AVERAGEIFS(Units!$AQ:$AQ, Units!$E:$E, $B52, Units!$AY:$AY, false), 
    AVERAGEIFS(Units!$AQ:$AQ, Units!$E:$E, $B52, Units!$I:$I, $C52, Units!$AY:$AY, false)
)
</f>
        <v>#DIV/0!</v>
      </c>
      <c r="AV52" s="96" t="str">
        <f>IF($C52="All", 
    AVERAGEIFS(Units!$AR:$AR, Units!$E:$E, $B52, Units!$AY:$AY, false), 
    AVERAGEIFS(Units!$AR:$AR, Units!$E:$E, $B52, Units!$I:$I, $C52, Units!$AY:$AY, false)
)</f>
        <v>#DIV/0!</v>
      </c>
      <c r="AW52" s="96" t="str">
        <f>IF($C52="All", 
    AVERAGEIFS(Units!$AW:$AW, Units!$E:$E, $B52, Units!$AY:$AY, false), 
    AVERAGEIFS(Units!$AW:$AW, Units!$E:$E, $B52, Units!$I:$I, $C52, Units!$AY:$AY, false)
)
</f>
        <v>#DIV/0!</v>
      </c>
    </row>
    <row r="53" ht="22.5" hidden="1" customHeight="1">
      <c r="C53" s="94"/>
      <c r="D53" s="85">
        <f>IF($C53="All",COUNTIFS(Units!$E:$E, $B53),COUNTIFS(Units!$E:$E, $B53, Units!$I:$I, $C53)
)
</f>
        <v>0</v>
      </c>
      <c r="E53" s="85">
        <f>IF($C53="All",COUNTIFS(Units!$E:$E, $B53, Units!$G:$G, E$4),COUNTIFS(Units!$E:$E, $B53, Units!$G:$G, E$4, Units!$I:$I, $C53)
)
</f>
        <v>0</v>
      </c>
      <c r="F53" s="85">
        <f>IF($C53="All",COUNTIFS(Units!$E:$E, $B53, Units!$G:$G, F$4),COUNTIFS(Units!$E:$E, $B53, Units!$G:$G, F$4, Units!$I:$I, $C53)
)
</f>
        <v>0</v>
      </c>
      <c r="G53" s="85">
        <f>IF($C53="All",COUNTIFS(Units!$E:$E, $B53, Units!$G:$G, G$4),COUNTIFS(Units!$E:$E, $B53, Units!$G:$G, G$4, Units!$I:$I, $C53)
)
</f>
        <v>0</v>
      </c>
      <c r="H53" s="85">
        <f>IF($C53="All",COUNTIFS(Units!$E:$E, $B53, Units!$G:$G, H$4),COUNTIFS(Units!$E:$E, $B53, Units!$G:$G, H$4, Units!$I:$I, $C53)
)
</f>
        <v>0</v>
      </c>
      <c r="I53" s="85">
        <f>IF($C53="All",COUNTIFS(Units!$E:$E, $B53, Units!$G:$G, I$4),COUNTIFS(Units!$E:$E, $B53, Units!$G:$G, I$4, Units!$I:$I, $C53)
)
</f>
        <v>0</v>
      </c>
      <c r="J53" s="85">
        <f>IF($C53="All",COUNTIFS(Units!$E:$E, $B53, Units!$G:$G, J$4),COUNTIFS(Units!$E:$E, $B53, Units!$G:$G, J$4, Units!$I:$I, $C53)
)
</f>
        <v>0</v>
      </c>
      <c r="K53" s="85">
        <f>IF($C53="All",COUNTIFS(Units!$E:$E, $B53, Units!$G:$G, K$4),COUNTIFS(Units!$E:$E, $B53, Units!$G:$G, K$4, Units!$I:$I, $C53)
)
</f>
        <v>0</v>
      </c>
      <c r="L53" s="85">
        <f>IF($C53="All",COUNTIFS(Units!$E:$E, $B53, Units!$G:$G, L$4),COUNTIFS(Units!$E:$E, $B53, Units!$G:$G, L$4, Units!$I:$I, $C53)
)
</f>
        <v>0</v>
      </c>
      <c r="N53" s="85">
        <f>IF($C53="All",COUNTIFS(Units!$E:$E, $B53, Units!$G:$G, N$4),COUNTIFS(Units!$E:$E, $B53, Units!$G:$G, N$4, Units!$I:$I, $C53)
)
</f>
        <v>0</v>
      </c>
      <c r="O53" s="85">
        <f>IF($C53="All",COUNTIFS(Units!$E:$E, $B53, Units!$G:$G, O$4),COUNTIFS(Units!$E:$E, $B53, Units!$G:$G, O$4, Units!$I:$I, $C53)
)
</f>
        <v>0</v>
      </c>
      <c r="P53" s="85">
        <f>IF($C53="All",COUNTIFS(Units!$E:$E, $B53, Units!$G:$G, P$4),COUNTIFS(Units!$E:$E, $B53, Units!$G:$G, P$4, Units!$I:$I, $C53)
)
</f>
        <v>0</v>
      </c>
      <c r="Q53" s="85">
        <f>IF($C53="All",COUNTIFS(Units!$E:$E, $B53, Units!$G:$G, Q$4),COUNTIFS(Units!$E:$E, $B53, Units!$G:$G, Q$4, Units!$I:$I, $C53)
)
</f>
        <v>0</v>
      </c>
      <c r="R53" s="85">
        <f>IF($C53="All",COUNTIFS(Units!$E:$E, $B53, Units!$G:$G, R$4),COUNTIFS(Units!$E:$E, $B53, Units!$G:$G, R$4, Units!$I:$I, $C53)
)
</f>
        <v>0</v>
      </c>
      <c r="S53" s="85">
        <f>IF($C53="All",COUNTIFS(Units!$E:$E, $B53, Units!$G:$G, S$4),COUNTIFS(Units!$E:$E, $B53, Units!$G:$G, S$4, Units!$I:$I, $C53)
)
</f>
        <v>0</v>
      </c>
      <c r="T53" s="87">
        <f>IF($C53="All",COUNTIFS(Units!$E:$E, $B53, Units!$G:$G, T$4),COUNTIFS(Units!$E:$E, $B53, Units!$G:$G, T$4, Units!$I:$I, $C53)
)
</f>
        <v>0</v>
      </c>
      <c r="U53" s="87">
        <f>IF($C53="All",COUNTIFS(Units!$E:$E, $B53, Units!$G:$G, U$4),COUNTIFS(Units!$E:$E, $B53, Units!$G:$G, U$4, Units!$I:$I, $C53)
)
</f>
        <v>0</v>
      </c>
      <c r="V53" s="87">
        <f>IF($C53="All",COUNTIFS(Units!$E:$E, $B53, Units!$G:$G, V$4),COUNTIFS(Units!$E:$E, $B53, Units!$G:$G, V$4, Units!$I:$I, $C53)
)
</f>
        <v>0</v>
      </c>
      <c r="W53" s="87">
        <f>IF($C53="All",COUNTIFS(Units!$E:$E, $B53, Units!$G:$G, W$4),COUNTIFS(Units!$E:$E, $B53, Units!$G:$G, W$4, Units!$I:$I, $C53)
)
</f>
        <v>0</v>
      </c>
      <c r="X53" s="87">
        <f>IF($C53="All",COUNTIFS(Units!$E:$E, $B53, Units!$G:$G, X$4),COUNTIFS(Units!$E:$E, $B53, Units!$G:$G, X$4, Units!$I:$I, $C53)
)
</f>
        <v>0</v>
      </c>
      <c r="Y53" s="87">
        <f>IF($C53="All",COUNTIFS(Units!$E:$E, $B53, Units!$G:$G, Y$4),COUNTIFS(Units!$E:$E, $B53, Units!$G:$G, Y$4, Units!$I:$I, $C53)
)
</f>
        <v>0</v>
      </c>
      <c r="Z53" s="87">
        <f>IF($C53="All",COUNTIFS(Units!$E:$E, $B53, Units!$G:$G, Z$4),COUNTIFS(Units!$E:$E, $B53, Units!$G:$G, Z$4, Units!$I:$I, $C53)
)
</f>
        <v>0</v>
      </c>
      <c r="AA53" s="87">
        <f>IF($C53="All",COUNTIFS(Units!$E:$E, $B53, Units!$G:$G, AA$4),COUNTIFS(Units!$E:$E, $B53, Units!$G:$G, AA$4, Units!$I:$I, $C53)
)
</f>
        <v>0</v>
      </c>
      <c r="AB53" s="87">
        <f>IF($C53="All",COUNTIFS(Units!$E:$E, $B53, Units!$G:$G, AB$4),COUNTIFS(Units!$E:$E, $B53, Units!$G:$G, AB$4, Units!$I:$I, $C53)
)
</f>
        <v>0</v>
      </c>
      <c r="AC53" s="87">
        <f>IF($C53="All",COUNTIFS(Units!$E:$E, $B53, Units!$G:$G, AC$4),COUNTIFS(Units!$E:$E, $B53, Units!$G:$G, AC$4, Units!$I:$I, $C53)
)
</f>
        <v>0</v>
      </c>
      <c r="AD53" s="85">
        <f t="shared" si="2"/>
        <v>0</v>
      </c>
      <c r="AE53" s="85">
        <f t="shared" si="3"/>
        <v>0</v>
      </c>
      <c r="AF53" s="87">
        <f t="shared" si="4"/>
        <v>0</v>
      </c>
      <c r="AG53" s="91">
        <f t="shared" si="5"/>
        <v>0</v>
      </c>
      <c r="AJ53" s="94"/>
      <c r="AO53" s="94"/>
      <c r="AP53" s="85">
        <f>IF($C53="All",COUNTIFS(Units!$E:$E, $B53, Units!$M:$M, "&lt;&gt;1"),COUNTIFS(Units!$E:$E, $B53, Units!$M:$M, "&lt;&gt;1", Units!$I:$I, $C53)
)
</f>
        <v>0</v>
      </c>
      <c r="AQ53" s="94">
        <f>IF($C53="All",COUNTIFS(Units!$E:$E, $B53, Units!$S:$S, "*Maneouverable*"),COUNTIFS(Units!$E:$E, $B53, Units!$S:$S, "*Maneouverable*", Units!$I:$I, $C53)
)
</f>
        <v>0</v>
      </c>
      <c r="AR53" s="96" t="str">
        <f>IF($C53="All", 
    AVERAGEIFS(Units!$Q:$Q, Units!$E:$E, $B53, Units!$AY:$AY, false), 
    AVERAGEIFS(Units!$Q:$Q, Units!$E:$E, $B53, Units!$I:$I, $C53, Units!$AY:$AY, false)
)
</f>
        <v>#DIV/0!</v>
      </c>
      <c r="AS53" s="85">
        <f>IF($C53="All",COUNTIFS(Units!$E:$E, $B53, Units!$Q:$Q, "&lt;&gt;1"),COUNTIFS(Units!$E:$E, $B53, Units!$Q:$Q, "&lt;&gt;1", Units!$I:$I, $C53)
)</f>
        <v>0</v>
      </c>
      <c r="AT53" s="85">
        <f>AS53 - IF($C53="All",COUNTIFS(Units!$E:$E, $B53, Units!$Q:$Q, 2),COUNTIFS(Units!$E:$E, $B53, Units!$Q:$Q, 2, Units!$I:$I, $C53)
)</f>
        <v>0</v>
      </c>
      <c r="AU53" s="96" t="str">
        <f>IF($C53="All", 
    AVERAGEIFS(Units!$AQ:$AQ, Units!$E:$E, $B53, Units!$AY:$AY, false), 
    AVERAGEIFS(Units!$AQ:$AQ, Units!$E:$E, $B53, Units!$I:$I, $C53, Units!$AY:$AY, false)
)
</f>
        <v>#DIV/0!</v>
      </c>
      <c r="AV53" s="96" t="str">
        <f>IF($C53="All", 
    AVERAGEIFS(Units!$AR:$AR, Units!$E:$E, $B53, Units!$AY:$AY, false), 
    AVERAGEIFS(Units!$AR:$AR, Units!$E:$E, $B53, Units!$I:$I, $C53, Units!$AY:$AY, false)
)</f>
        <v>#DIV/0!</v>
      </c>
      <c r="AW53" s="96" t="str">
        <f>IF($C53="All", 
    AVERAGEIFS(Units!$AW:$AW, Units!$E:$E, $B53, Units!$AY:$AY, false), 
    AVERAGEIFS(Units!$AW:$AW, Units!$E:$E, $B53, Units!$I:$I, $C53, Units!$AY:$AY, false)
)
</f>
        <v>#DIV/0!</v>
      </c>
    </row>
    <row r="54" ht="22.5" hidden="1" customHeight="1">
      <c r="C54" s="94"/>
      <c r="D54" s="85">
        <f>IF($C54="All",COUNTIFS(Units!$E:$E, $B54),COUNTIFS(Units!$E:$E, $B54, Units!$I:$I, $C54)
)
</f>
        <v>0</v>
      </c>
      <c r="E54" s="85">
        <f>IF($C54="All",COUNTIFS(Units!$E:$E, $B54, Units!$G:$G, E$4),COUNTIFS(Units!$E:$E, $B54, Units!$G:$G, E$4, Units!$I:$I, $C54)
)
</f>
        <v>0</v>
      </c>
      <c r="F54" s="85">
        <f>IF($C54="All",COUNTIFS(Units!$E:$E, $B54, Units!$G:$G, F$4),COUNTIFS(Units!$E:$E, $B54, Units!$G:$G, F$4, Units!$I:$I, $C54)
)
</f>
        <v>0</v>
      </c>
      <c r="G54" s="85">
        <f>IF($C54="All",COUNTIFS(Units!$E:$E, $B54, Units!$G:$G, G$4),COUNTIFS(Units!$E:$E, $B54, Units!$G:$G, G$4, Units!$I:$I, $C54)
)
</f>
        <v>0</v>
      </c>
      <c r="H54" s="85">
        <f>IF($C54="All",COUNTIFS(Units!$E:$E, $B54, Units!$G:$G, H$4),COUNTIFS(Units!$E:$E, $B54, Units!$G:$G, H$4, Units!$I:$I, $C54)
)
</f>
        <v>0</v>
      </c>
      <c r="I54" s="85">
        <f>IF($C54="All",COUNTIFS(Units!$E:$E, $B54, Units!$G:$G, I$4),COUNTIFS(Units!$E:$E, $B54, Units!$G:$G, I$4, Units!$I:$I, $C54)
)
</f>
        <v>0</v>
      </c>
      <c r="J54" s="85">
        <f>IF($C54="All",COUNTIFS(Units!$E:$E, $B54, Units!$G:$G, J$4),COUNTIFS(Units!$E:$E, $B54, Units!$G:$G, J$4, Units!$I:$I, $C54)
)
</f>
        <v>0</v>
      </c>
      <c r="K54" s="85">
        <f>IF($C54="All",COUNTIFS(Units!$E:$E, $B54, Units!$G:$G, K$4),COUNTIFS(Units!$E:$E, $B54, Units!$G:$G, K$4, Units!$I:$I, $C54)
)
</f>
        <v>0</v>
      </c>
      <c r="L54" s="85">
        <f>IF($C54="All",COUNTIFS(Units!$E:$E, $B54, Units!$G:$G, L$4),COUNTIFS(Units!$E:$E, $B54, Units!$G:$G, L$4, Units!$I:$I, $C54)
)
</f>
        <v>0</v>
      </c>
      <c r="N54" s="85">
        <f>IF($C54="All",COUNTIFS(Units!$E:$E, $B54, Units!$G:$G, N$4),COUNTIFS(Units!$E:$E, $B54, Units!$G:$G, N$4, Units!$I:$I, $C54)
)
</f>
        <v>0</v>
      </c>
      <c r="O54" s="85">
        <f>IF($C54="All",COUNTIFS(Units!$E:$E, $B54, Units!$G:$G, O$4),COUNTIFS(Units!$E:$E, $B54, Units!$G:$G, O$4, Units!$I:$I, $C54)
)
</f>
        <v>0</v>
      </c>
      <c r="P54" s="85">
        <f>IF($C54="All",COUNTIFS(Units!$E:$E, $B54, Units!$G:$G, P$4),COUNTIFS(Units!$E:$E, $B54, Units!$G:$G, P$4, Units!$I:$I, $C54)
)
</f>
        <v>0</v>
      </c>
      <c r="Q54" s="85">
        <f>IF($C54="All",COUNTIFS(Units!$E:$E, $B54, Units!$G:$G, Q$4),COUNTIFS(Units!$E:$E, $B54, Units!$G:$G, Q$4, Units!$I:$I, $C54)
)
</f>
        <v>0</v>
      </c>
      <c r="R54" s="85">
        <f>IF($C54="All",COUNTIFS(Units!$E:$E, $B54, Units!$G:$G, R$4),COUNTIFS(Units!$E:$E, $B54, Units!$G:$G, R$4, Units!$I:$I, $C54)
)
</f>
        <v>0</v>
      </c>
      <c r="S54" s="85">
        <f>IF($C54="All",COUNTIFS(Units!$E:$E, $B54, Units!$G:$G, S$4),COUNTIFS(Units!$E:$E, $B54, Units!$G:$G, S$4, Units!$I:$I, $C54)
)
</f>
        <v>0</v>
      </c>
      <c r="T54" s="87">
        <f>IF($C54="All",COUNTIFS(Units!$E:$E, $B54, Units!$G:$G, T$4),COUNTIFS(Units!$E:$E, $B54, Units!$G:$G, T$4, Units!$I:$I, $C54)
)
</f>
        <v>0</v>
      </c>
      <c r="U54" s="87">
        <f>IF($C54="All",COUNTIFS(Units!$E:$E, $B54, Units!$G:$G, U$4),COUNTIFS(Units!$E:$E, $B54, Units!$G:$G, U$4, Units!$I:$I, $C54)
)
</f>
        <v>0</v>
      </c>
      <c r="V54" s="87">
        <f>IF($C54="All",COUNTIFS(Units!$E:$E, $B54, Units!$G:$G, V$4),COUNTIFS(Units!$E:$E, $B54, Units!$G:$G, V$4, Units!$I:$I, $C54)
)
</f>
        <v>0</v>
      </c>
      <c r="W54" s="87">
        <f>IF($C54="All",COUNTIFS(Units!$E:$E, $B54, Units!$G:$G, W$4),COUNTIFS(Units!$E:$E, $B54, Units!$G:$G, W$4, Units!$I:$I, $C54)
)
</f>
        <v>0</v>
      </c>
      <c r="X54" s="87">
        <f>IF($C54="All",COUNTIFS(Units!$E:$E, $B54, Units!$G:$G, X$4),COUNTIFS(Units!$E:$E, $B54, Units!$G:$G, X$4, Units!$I:$I, $C54)
)
</f>
        <v>0</v>
      </c>
      <c r="Y54" s="87">
        <f>IF($C54="All",COUNTIFS(Units!$E:$E, $B54, Units!$G:$G, Y$4),COUNTIFS(Units!$E:$E, $B54, Units!$G:$G, Y$4, Units!$I:$I, $C54)
)
</f>
        <v>0</v>
      </c>
      <c r="Z54" s="87">
        <f>IF($C54="All",COUNTIFS(Units!$E:$E, $B54, Units!$G:$G, Z$4),COUNTIFS(Units!$E:$E, $B54, Units!$G:$G, Z$4, Units!$I:$I, $C54)
)
</f>
        <v>0</v>
      </c>
      <c r="AA54" s="87">
        <f>IF($C54="All",COUNTIFS(Units!$E:$E, $B54, Units!$G:$G, AA$4),COUNTIFS(Units!$E:$E, $B54, Units!$G:$G, AA$4, Units!$I:$I, $C54)
)
</f>
        <v>0</v>
      </c>
      <c r="AB54" s="87">
        <f>IF($C54="All",COUNTIFS(Units!$E:$E, $B54, Units!$G:$G, AB$4),COUNTIFS(Units!$E:$E, $B54, Units!$G:$G, AB$4, Units!$I:$I, $C54)
)
</f>
        <v>0</v>
      </c>
      <c r="AC54" s="87">
        <f>IF($C54="All",COUNTIFS(Units!$E:$E, $B54, Units!$G:$G, AC$4),COUNTIFS(Units!$E:$E, $B54, Units!$G:$G, AC$4, Units!$I:$I, $C54)
)
</f>
        <v>0</v>
      </c>
      <c r="AD54" s="85">
        <f t="shared" si="2"/>
        <v>0</v>
      </c>
      <c r="AE54" s="85">
        <f t="shared" si="3"/>
        <v>0</v>
      </c>
      <c r="AF54" s="87">
        <f t="shared" si="4"/>
        <v>0</v>
      </c>
      <c r="AG54" s="91">
        <f t="shared" si="5"/>
        <v>0</v>
      </c>
      <c r="AJ54" s="94"/>
      <c r="AO54" s="94"/>
      <c r="AP54" s="85">
        <f>IF($C54="All",COUNTIFS(Units!$E:$E, $B54, Units!$M:$M, "&lt;&gt;1"),COUNTIFS(Units!$E:$E, $B54, Units!$M:$M, "&lt;&gt;1", Units!$I:$I, $C54)
)
</f>
        <v>0</v>
      </c>
      <c r="AQ54" s="94">
        <f>IF($C54="All",COUNTIFS(Units!$E:$E, $B54, Units!$S:$S, "*Maneouverable*"),COUNTIFS(Units!$E:$E, $B54, Units!$S:$S, "*Maneouverable*", Units!$I:$I, $C54)
)
</f>
        <v>0</v>
      </c>
      <c r="AR54" s="96" t="str">
        <f>IF($C54="All", 
    AVERAGEIFS(Units!$Q:$Q, Units!$E:$E, $B54, Units!$AY:$AY, false), 
    AVERAGEIFS(Units!$Q:$Q, Units!$E:$E, $B54, Units!$I:$I, $C54, Units!$AY:$AY, false)
)
</f>
        <v>#DIV/0!</v>
      </c>
      <c r="AS54" s="85">
        <f>IF($C54="All",COUNTIFS(Units!$E:$E, $B54, Units!$Q:$Q, "&lt;&gt;1"),COUNTIFS(Units!$E:$E, $B54, Units!$Q:$Q, "&lt;&gt;1", Units!$I:$I, $C54)
)</f>
        <v>0</v>
      </c>
      <c r="AT54" s="85">
        <f>AS54 - IF($C54="All",COUNTIFS(Units!$E:$E, $B54, Units!$Q:$Q, 2),COUNTIFS(Units!$E:$E, $B54, Units!$Q:$Q, 2, Units!$I:$I, $C54)
)</f>
        <v>0</v>
      </c>
      <c r="AU54" s="96" t="str">
        <f>IF($C54="All", 
    AVERAGEIFS(Units!$AQ:$AQ, Units!$E:$E, $B54, Units!$AY:$AY, false), 
    AVERAGEIFS(Units!$AQ:$AQ, Units!$E:$E, $B54, Units!$I:$I, $C54, Units!$AY:$AY, false)
)
</f>
        <v>#DIV/0!</v>
      </c>
      <c r="AV54" s="96" t="str">
        <f>IF($C54="All", 
    AVERAGEIFS(Units!$AR:$AR, Units!$E:$E, $B54, Units!$AY:$AY, false), 
    AVERAGEIFS(Units!$AR:$AR, Units!$E:$E, $B54, Units!$I:$I, $C54, Units!$AY:$AY, false)
)</f>
        <v>#DIV/0!</v>
      </c>
      <c r="AW54" s="96" t="str">
        <f>IF($C54="All", 
    AVERAGEIFS(Units!$AW:$AW, Units!$E:$E, $B54, Units!$AY:$AY, false), 
    AVERAGEIFS(Units!$AW:$AW, Units!$E:$E, $B54, Units!$I:$I, $C54, Units!$AY:$AY, false)
)
</f>
        <v>#DIV/0!</v>
      </c>
    </row>
    <row r="55" ht="22.5" hidden="1" customHeight="1">
      <c r="C55" s="94"/>
      <c r="D55" s="85">
        <f>IF($C55="All",COUNTIFS(Units!$E:$E, $B55),COUNTIFS(Units!$E:$E, $B55, Units!$I:$I, $C55)
)
</f>
        <v>0</v>
      </c>
      <c r="E55" s="85">
        <f>IF($C55="All",COUNTIFS(Units!$E:$E, $B55, Units!$G:$G, E$4),COUNTIFS(Units!$E:$E, $B55, Units!$G:$G, E$4, Units!$I:$I, $C55)
)
</f>
        <v>0</v>
      </c>
      <c r="F55" s="85">
        <f>IF($C55="All",COUNTIFS(Units!$E:$E, $B55, Units!$G:$G, F$4),COUNTIFS(Units!$E:$E, $B55, Units!$G:$G, F$4, Units!$I:$I, $C55)
)
</f>
        <v>0</v>
      </c>
      <c r="G55" s="85">
        <f>IF($C55="All",COUNTIFS(Units!$E:$E, $B55, Units!$G:$G, G$4),COUNTIFS(Units!$E:$E, $B55, Units!$G:$G, G$4, Units!$I:$I, $C55)
)
</f>
        <v>0</v>
      </c>
      <c r="H55" s="85">
        <f>IF($C55="All",COUNTIFS(Units!$E:$E, $B55, Units!$G:$G, H$4),COUNTIFS(Units!$E:$E, $B55, Units!$G:$G, H$4, Units!$I:$I, $C55)
)
</f>
        <v>0</v>
      </c>
      <c r="I55" s="85">
        <f>IF($C55="All",COUNTIFS(Units!$E:$E, $B55, Units!$G:$G, I$4),COUNTIFS(Units!$E:$E, $B55, Units!$G:$G, I$4, Units!$I:$I, $C55)
)
</f>
        <v>0</v>
      </c>
      <c r="J55" s="85">
        <f>IF($C55="All",COUNTIFS(Units!$E:$E, $B55, Units!$G:$G, J$4),COUNTIFS(Units!$E:$E, $B55, Units!$G:$G, J$4, Units!$I:$I, $C55)
)
</f>
        <v>0</v>
      </c>
      <c r="K55" s="85">
        <f>IF($C55="All",COUNTIFS(Units!$E:$E, $B55, Units!$G:$G, K$4),COUNTIFS(Units!$E:$E, $B55, Units!$G:$G, K$4, Units!$I:$I, $C55)
)
</f>
        <v>0</v>
      </c>
      <c r="L55" s="85">
        <f>IF($C55="All",COUNTIFS(Units!$E:$E, $B55, Units!$G:$G, L$4),COUNTIFS(Units!$E:$E, $B55, Units!$G:$G, L$4, Units!$I:$I, $C55)
)
</f>
        <v>0</v>
      </c>
      <c r="N55" s="85">
        <f>IF($C55="All",COUNTIFS(Units!$E:$E, $B55, Units!$G:$G, N$4),COUNTIFS(Units!$E:$E, $B55, Units!$G:$G, N$4, Units!$I:$I, $C55)
)
</f>
        <v>0</v>
      </c>
      <c r="O55" s="85">
        <f>IF($C55="All",COUNTIFS(Units!$E:$E, $B55, Units!$G:$G, O$4),COUNTIFS(Units!$E:$E, $B55, Units!$G:$G, O$4, Units!$I:$I, $C55)
)
</f>
        <v>0</v>
      </c>
      <c r="P55" s="85">
        <f>IF($C55="All",COUNTIFS(Units!$E:$E, $B55, Units!$G:$G, P$4),COUNTIFS(Units!$E:$E, $B55, Units!$G:$G, P$4, Units!$I:$I, $C55)
)
</f>
        <v>0</v>
      </c>
      <c r="Q55" s="85">
        <f>IF($C55="All",COUNTIFS(Units!$E:$E, $B55, Units!$G:$G, Q$4),COUNTIFS(Units!$E:$E, $B55, Units!$G:$G, Q$4, Units!$I:$I, $C55)
)
</f>
        <v>0</v>
      </c>
      <c r="R55" s="85">
        <f>IF($C55="All",COUNTIFS(Units!$E:$E, $B55, Units!$G:$G, R$4),COUNTIFS(Units!$E:$E, $B55, Units!$G:$G, R$4, Units!$I:$I, $C55)
)
</f>
        <v>0</v>
      </c>
      <c r="S55" s="85">
        <f>IF($C55="All",COUNTIFS(Units!$E:$E, $B55, Units!$G:$G, S$4),COUNTIFS(Units!$E:$E, $B55, Units!$G:$G, S$4, Units!$I:$I, $C55)
)
</f>
        <v>0</v>
      </c>
      <c r="T55" s="87">
        <f>IF($C55="All",COUNTIFS(Units!$E:$E, $B55, Units!$G:$G, T$4),COUNTIFS(Units!$E:$E, $B55, Units!$G:$G, T$4, Units!$I:$I, $C55)
)
</f>
        <v>0</v>
      </c>
      <c r="U55" s="87">
        <f>IF($C55="All",COUNTIFS(Units!$E:$E, $B55, Units!$G:$G, U$4),COUNTIFS(Units!$E:$E, $B55, Units!$G:$G, U$4, Units!$I:$I, $C55)
)
</f>
        <v>0</v>
      </c>
      <c r="V55" s="87">
        <f>IF($C55="All",COUNTIFS(Units!$E:$E, $B55, Units!$G:$G, V$4),COUNTIFS(Units!$E:$E, $B55, Units!$G:$G, V$4, Units!$I:$I, $C55)
)
</f>
        <v>0</v>
      </c>
      <c r="W55" s="87">
        <f>IF($C55="All",COUNTIFS(Units!$E:$E, $B55, Units!$G:$G, W$4),COUNTIFS(Units!$E:$E, $B55, Units!$G:$G, W$4, Units!$I:$I, $C55)
)
</f>
        <v>0</v>
      </c>
      <c r="X55" s="87">
        <f>IF($C55="All",COUNTIFS(Units!$E:$E, $B55, Units!$G:$G, X$4),COUNTIFS(Units!$E:$E, $B55, Units!$G:$G, X$4, Units!$I:$I, $C55)
)
</f>
        <v>0</v>
      </c>
      <c r="Y55" s="87">
        <f>IF($C55="All",COUNTIFS(Units!$E:$E, $B55, Units!$G:$G, Y$4),COUNTIFS(Units!$E:$E, $B55, Units!$G:$G, Y$4, Units!$I:$I, $C55)
)
</f>
        <v>0</v>
      </c>
      <c r="Z55" s="87">
        <f>IF($C55="All",COUNTIFS(Units!$E:$E, $B55, Units!$G:$G, Z$4),COUNTIFS(Units!$E:$E, $B55, Units!$G:$G, Z$4, Units!$I:$I, $C55)
)
</f>
        <v>0</v>
      </c>
      <c r="AA55" s="87">
        <f>IF($C55="All",COUNTIFS(Units!$E:$E, $B55, Units!$G:$G, AA$4),COUNTIFS(Units!$E:$E, $B55, Units!$G:$G, AA$4, Units!$I:$I, $C55)
)
</f>
        <v>0</v>
      </c>
      <c r="AB55" s="87">
        <f>IF($C55="All",COUNTIFS(Units!$E:$E, $B55, Units!$G:$G, AB$4),COUNTIFS(Units!$E:$E, $B55, Units!$G:$G, AB$4, Units!$I:$I, $C55)
)
</f>
        <v>0</v>
      </c>
      <c r="AC55" s="87">
        <f>IF($C55="All",COUNTIFS(Units!$E:$E, $B55, Units!$G:$G, AC$4),COUNTIFS(Units!$E:$E, $B55, Units!$G:$G, AC$4, Units!$I:$I, $C55)
)
</f>
        <v>0</v>
      </c>
      <c r="AD55" s="85">
        <f t="shared" si="2"/>
        <v>0</v>
      </c>
      <c r="AE55" s="85">
        <f t="shared" si="3"/>
        <v>0</v>
      </c>
      <c r="AF55" s="87">
        <f t="shared" si="4"/>
        <v>0</v>
      </c>
      <c r="AG55" s="91">
        <f t="shared" si="5"/>
        <v>0</v>
      </c>
      <c r="AJ55" s="94"/>
      <c r="AO55" s="94"/>
      <c r="AP55" s="85">
        <f>IF($C55="All",COUNTIFS(Units!$E:$E, $B55, Units!$M:$M, "&lt;&gt;1"),COUNTIFS(Units!$E:$E, $B55, Units!$M:$M, "&lt;&gt;1", Units!$I:$I, $C55)
)
</f>
        <v>0</v>
      </c>
      <c r="AQ55" s="94">
        <f>IF($C55="All",COUNTIFS(Units!$E:$E, $B55, Units!$S:$S, "*Maneouverable*"),COUNTIFS(Units!$E:$E, $B55, Units!$S:$S, "*Maneouverable*", Units!$I:$I, $C55)
)
</f>
        <v>0</v>
      </c>
      <c r="AR55" s="96" t="str">
        <f>IF($C55="All", 
    AVERAGEIFS(Units!$Q:$Q, Units!$E:$E, $B55, Units!$AY:$AY, false), 
    AVERAGEIFS(Units!$Q:$Q, Units!$E:$E, $B55, Units!$I:$I, $C55, Units!$AY:$AY, false)
)
</f>
        <v>#DIV/0!</v>
      </c>
      <c r="AS55" s="85">
        <f>IF($C55="All",COUNTIFS(Units!$E:$E, $B55, Units!$Q:$Q, "&lt;&gt;1"),COUNTIFS(Units!$E:$E, $B55, Units!$Q:$Q, "&lt;&gt;1", Units!$I:$I, $C55)
)</f>
        <v>0</v>
      </c>
      <c r="AT55" s="85">
        <f>AS55 - IF($C55="All",COUNTIFS(Units!$E:$E, $B55, Units!$Q:$Q, 2),COUNTIFS(Units!$E:$E, $B55, Units!$Q:$Q, 2, Units!$I:$I, $C55)
)</f>
        <v>0</v>
      </c>
      <c r="AU55" s="96" t="str">
        <f>IF($C55="All", 
    AVERAGEIFS(Units!$AQ:$AQ, Units!$E:$E, $B55, Units!$AY:$AY, false), 
    AVERAGEIFS(Units!$AQ:$AQ, Units!$E:$E, $B55, Units!$I:$I, $C55, Units!$AY:$AY, false)
)
</f>
        <v>#DIV/0!</v>
      </c>
      <c r="AV55" s="96" t="str">
        <f>IF($C55="All", 
    AVERAGEIFS(Units!$AR:$AR, Units!$E:$E, $B55, Units!$AY:$AY, false), 
    AVERAGEIFS(Units!$AR:$AR, Units!$E:$E, $B55, Units!$I:$I, $C55, Units!$AY:$AY, false)
)</f>
        <v>#DIV/0!</v>
      </c>
      <c r="AW55" s="96" t="str">
        <f>IF($C55="All", 
    AVERAGEIFS(Units!$AW:$AW, Units!$E:$E, $B55, Units!$AY:$AY, false), 
    AVERAGEIFS(Units!$AW:$AW, Units!$E:$E, $B55, Units!$I:$I, $C55, Units!$AY:$AY, false)
)
</f>
        <v>#DIV/0!</v>
      </c>
    </row>
    <row r="56" ht="22.5" hidden="1" customHeight="1">
      <c r="C56" s="94"/>
      <c r="D56" s="85">
        <f>IF($C56="All",COUNTIFS(Units!$E:$E, $B56),COUNTIFS(Units!$E:$E, $B56, Units!$I:$I, $C56)
)
</f>
        <v>0</v>
      </c>
      <c r="E56" s="85">
        <f>IF($C56="All",COUNTIFS(Units!$E:$E, $B56, Units!$G:$G, E$4),COUNTIFS(Units!$E:$E, $B56, Units!$G:$G, E$4, Units!$I:$I, $C56)
)
</f>
        <v>0</v>
      </c>
      <c r="F56" s="85">
        <f>IF($C56="All",COUNTIFS(Units!$E:$E, $B56, Units!$G:$G, F$4),COUNTIFS(Units!$E:$E, $B56, Units!$G:$G, F$4, Units!$I:$I, $C56)
)
</f>
        <v>0</v>
      </c>
      <c r="G56" s="85">
        <f>IF($C56="All",COUNTIFS(Units!$E:$E, $B56, Units!$G:$G, G$4),COUNTIFS(Units!$E:$E, $B56, Units!$G:$G, G$4, Units!$I:$I, $C56)
)
</f>
        <v>0</v>
      </c>
      <c r="H56" s="85">
        <f>IF($C56="All",COUNTIFS(Units!$E:$E, $B56, Units!$G:$G, H$4),COUNTIFS(Units!$E:$E, $B56, Units!$G:$G, H$4, Units!$I:$I, $C56)
)
</f>
        <v>0</v>
      </c>
      <c r="I56" s="85">
        <f>IF($C56="All",COUNTIFS(Units!$E:$E, $B56, Units!$G:$G, I$4),COUNTIFS(Units!$E:$E, $B56, Units!$G:$G, I$4, Units!$I:$I, $C56)
)
</f>
        <v>0</v>
      </c>
      <c r="J56" s="85">
        <f>IF($C56="All",COUNTIFS(Units!$E:$E, $B56, Units!$G:$G, J$4),COUNTIFS(Units!$E:$E, $B56, Units!$G:$G, J$4, Units!$I:$I, $C56)
)
</f>
        <v>0</v>
      </c>
      <c r="K56" s="85">
        <f>IF($C56="All",COUNTIFS(Units!$E:$E, $B56, Units!$G:$G, K$4),COUNTIFS(Units!$E:$E, $B56, Units!$G:$G, K$4, Units!$I:$I, $C56)
)
</f>
        <v>0</v>
      </c>
      <c r="L56" s="85">
        <f>IF($C56="All",COUNTIFS(Units!$E:$E, $B56, Units!$G:$G, L$4),COUNTIFS(Units!$E:$E, $B56, Units!$G:$G, L$4, Units!$I:$I, $C56)
)
</f>
        <v>0</v>
      </c>
      <c r="N56" s="85">
        <f>IF($C56="All",COUNTIFS(Units!$E:$E, $B56, Units!$G:$G, N$4),COUNTIFS(Units!$E:$E, $B56, Units!$G:$G, N$4, Units!$I:$I, $C56)
)
</f>
        <v>0</v>
      </c>
      <c r="O56" s="85">
        <f>IF($C56="All",COUNTIFS(Units!$E:$E, $B56, Units!$G:$G, O$4),COUNTIFS(Units!$E:$E, $B56, Units!$G:$G, O$4, Units!$I:$I, $C56)
)
</f>
        <v>0</v>
      </c>
      <c r="P56" s="85">
        <f>IF($C56="All",COUNTIFS(Units!$E:$E, $B56, Units!$G:$G, P$4),COUNTIFS(Units!$E:$E, $B56, Units!$G:$G, P$4, Units!$I:$I, $C56)
)
</f>
        <v>0</v>
      </c>
      <c r="Q56" s="85">
        <f>IF($C56="All",COUNTIFS(Units!$E:$E, $B56, Units!$G:$G, Q$4),COUNTIFS(Units!$E:$E, $B56, Units!$G:$G, Q$4, Units!$I:$I, $C56)
)
</f>
        <v>0</v>
      </c>
      <c r="R56" s="85">
        <f>IF($C56="All",COUNTIFS(Units!$E:$E, $B56, Units!$G:$G, R$4),COUNTIFS(Units!$E:$E, $B56, Units!$G:$G, R$4, Units!$I:$I, $C56)
)
</f>
        <v>0</v>
      </c>
      <c r="S56" s="85">
        <f>IF($C56="All",COUNTIFS(Units!$E:$E, $B56, Units!$G:$G, S$4),COUNTIFS(Units!$E:$E, $B56, Units!$G:$G, S$4, Units!$I:$I, $C56)
)
</f>
        <v>0</v>
      </c>
      <c r="T56" s="87">
        <f>IF($C56="All",COUNTIFS(Units!$E:$E, $B56, Units!$G:$G, T$4),COUNTIFS(Units!$E:$E, $B56, Units!$G:$G, T$4, Units!$I:$I, $C56)
)
</f>
        <v>0</v>
      </c>
      <c r="U56" s="87">
        <f>IF($C56="All",COUNTIFS(Units!$E:$E, $B56, Units!$G:$G, U$4),COUNTIFS(Units!$E:$E, $B56, Units!$G:$G, U$4, Units!$I:$I, $C56)
)
</f>
        <v>0</v>
      </c>
      <c r="V56" s="87">
        <f>IF($C56="All",COUNTIFS(Units!$E:$E, $B56, Units!$G:$G, V$4),COUNTIFS(Units!$E:$E, $B56, Units!$G:$G, V$4, Units!$I:$I, $C56)
)
</f>
        <v>0</v>
      </c>
      <c r="W56" s="87">
        <f>IF($C56="All",COUNTIFS(Units!$E:$E, $B56, Units!$G:$G, W$4),COUNTIFS(Units!$E:$E, $B56, Units!$G:$G, W$4, Units!$I:$I, $C56)
)
</f>
        <v>0</v>
      </c>
      <c r="X56" s="87">
        <f>IF($C56="All",COUNTIFS(Units!$E:$E, $B56, Units!$G:$G, X$4),COUNTIFS(Units!$E:$E, $B56, Units!$G:$G, X$4, Units!$I:$I, $C56)
)
</f>
        <v>0</v>
      </c>
      <c r="Y56" s="87">
        <f>IF($C56="All",COUNTIFS(Units!$E:$E, $B56, Units!$G:$G, Y$4),COUNTIFS(Units!$E:$E, $B56, Units!$G:$G, Y$4, Units!$I:$I, $C56)
)
</f>
        <v>0</v>
      </c>
      <c r="Z56" s="87">
        <f>IF($C56="All",COUNTIFS(Units!$E:$E, $B56, Units!$G:$G, Z$4),COUNTIFS(Units!$E:$E, $B56, Units!$G:$G, Z$4, Units!$I:$I, $C56)
)
</f>
        <v>0</v>
      </c>
      <c r="AA56" s="87">
        <f>IF($C56="All",COUNTIFS(Units!$E:$E, $B56, Units!$G:$G, AA$4),COUNTIFS(Units!$E:$E, $B56, Units!$G:$G, AA$4, Units!$I:$I, $C56)
)
</f>
        <v>0</v>
      </c>
      <c r="AB56" s="87">
        <f>IF($C56="All",COUNTIFS(Units!$E:$E, $B56, Units!$G:$G, AB$4),COUNTIFS(Units!$E:$E, $B56, Units!$G:$G, AB$4, Units!$I:$I, $C56)
)
</f>
        <v>0</v>
      </c>
      <c r="AC56" s="87">
        <f>IF($C56="All",COUNTIFS(Units!$E:$E, $B56, Units!$G:$G, AC$4),COUNTIFS(Units!$E:$E, $B56, Units!$G:$G, AC$4, Units!$I:$I, $C56)
)
</f>
        <v>0</v>
      </c>
      <c r="AD56" s="85">
        <f t="shared" si="2"/>
        <v>0</v>
      </c>
      <c r="AE56" s="85">
        <f t="shared" si="3"/>
        <v>0</v>
      </c>
      <c r="AF56" s="87">
        <f t="shared" si="4"/>
        <v>0</v>
      </c>
      <c r="AG56" s="91">
        <f t="shared" si="5"/>
        <v>0</v>
      </c>
      <c r="AJ56" s="94"/>
      <c r="AO56" s="94"/>
      <c r="AP56" s="85">
        <f>IF($C56="All",COUNTIFS(Units!$E:$E, $B56, Units!$M:$M, "&lt;&gt;1"),COUNTIFS(Units!$E:$E, $B56, Units!$M:$M, "&lt;&gt;1", Units!$I:$I, $C56)
)
</f>
        <v>0</v>
      </c>
      <c r="AQ56" s="94">
        <f>IF($C56="All",COUNTIFS(Units!$E:$E, $B56, Units!$S:$S, "*Maneouverable*"),COUNTIFS(Units!$E:$E, $B56, Units!$S:$S, "*Maneouverable*", Units!$I:$I, $C56)
)
</f>
        <v>0</v>
      </c>
      <c r="AR56" s="96" t="str">
        <f>IF($C56="All", 
    AVERAGEIFS(Units!$Q:$Q, Units!$E:$E, $B56, Units!$AY:$AY, false), 
    AVERAGEIFS(Units!$Q:$Q, Units!$E:$E, $B56, Units!$I:$I, $C56, Units!$AY:$AY, false)
)
</f>
        <v>#DIV/0!</v>
      </c>
      <c r="AS56" s="85">
        <f>IF($C56="All",COUNTIFS(Units!$E:$E, $B56, Units!$Q:$Q, "&lt;&gt;1"),COUNTIFS(Units!$E:$E, $B56, Units!$Q:$Q, "&lt;&gt;1", Units!$I:$I, $C56)
)</f>
        <v>0</v>
      </c>
      <c r="AT56" s="85">
        <f>AS56 - IF($C56="All",COUNTIFS(Units!$E:$E, $B56, Units!$Q:$Q, 2),COUNTIFS(Units!$E:$E, $B56, Units!$Q:$Q, 2, Units!$I:$I, $C56)
)</f>
        <v>0</v>
      </c>
      <c r="AU56" s="96" t="str">
        <f>IF($C56="All", 
    AVERAGEIFS(Units!$AQ:$AQ, Units!$E:$E, $B56, Units!$AY:$AY, false), 
    AVERAGEIFS(Units!$AQ:$AQ, Units!$E:$E, $B56, Units!$I:$I, $C56, Units!$AY:$AY, false)
)
</f>
        <v>#DIV/0!</v>
      </c>
      <c r="AV56" s="96" t="str">
        <f>IF($C56="All", 
    AVERAGEIFS(Units!$AR:$AR, Units!$E:$E, $B56, Units!$AY:$AY, false), 
    AVERAGEIFS(Units!$AR:$AR, Units!$E:$E, $B56, Units!$I:$I, $C56, Units!$AY:$AY, false)
)</f>
        <v>#DIV/0!</v>
      </c>
      <c r="AW56" s="96" t="str">
        <f>IF($C56="All", 
    AVERAGEIFS(Units!$AW:$AW, Units!$E:$E, $B56, Units!$AY:$AY, false), 
    AVERAGEIFS(Units!$AW:$AW, Units!$E:$E, $B56, Units!$I:$I, $C56, Units!$AY:$AY, false)
)
</f>
        <v>#DIV/0!</v>
      </c>
    </row>
    <row r="57" ht="22.5" hidden="1" customHeight="1">
      <c r="C57" s="94"/>
      <c r="D57" s="85">
        <f>IF($C57="All",COUNTIFS(Units!$E:$E, $B57),COUNTIFS(Units!$E:$E, $B57, Units!$I:$I, $C57)
)
</f>
        <v>0</v>
      </c>
      <c r="E57" s="85">
        <f>IF($C57="All",COUNTIFS(Units!$E:$E, $B57, Units!$G:$G, E$4),COUNTIFS(Units!$E:$E, $B57, Units!$G:$G, E$4, Units!$I:$I, $C57)
)
</f>
        <v>0</v>
      </c>
      <c r="F57" s="85">
        <f>IF($C57="All",COUNTIFS(Units!$E:$E, $B57, Units!$G:$G, F$4),COUNTIFS(Units!$E:$E, $B57, Units!$G:$G, F$4, Units!$I:$I, $C57)
)
</f>
        <v>0</v>
      </c>
      <c r="G57" s="85">
        <f>IF($C57="All",COUNTIFS(Units!$E:$E, $B57, Units!$G:$G, G$4),COUNTIFS(Units!$E:$E, $B57, Units!$G:$G, G$4, Units!$I:$I, $C57)
)
</f>
        <v>0</v>
      </c>
      <c r="H57" s="85">
        <f>IF($C57="All",COUNTIFS(Units!$E:$E, $B57, Units!$G:$G, H$4),COUNTIFS(Units!$E:$E, $B57, Units!$G:$G, H$4, Units!$I:$I, $C57)
)
</f>
        <v>0</v>
      </c>
      <c r="I57" s="85">
        <f>IF($C57="All",COUNTIFS(Units!$E:$E, $B57, Units!$G:$G, I$4),COUNTIFS(Units!$E:$E, $B57, Units!$G:$G, I$4, Units!$I:$I, $C57)
)
</f>
        <v>0</v>
      </c>
      <c r="J57" s="85">
        <f>IF($C57="All",COUNTIFS(Units!$E:$E, $B57, Units!$G:$G, J$4),COUNTIFS(Units!$E:$E, $B57, Units!$G:$G, J$4, Units!$I:$I, $C57)
)
</f>
        <v>0</v>
      </c>
      <c r="K57" s="85">
        <f>IF($C57="All",COUNTIFS(Units!$E:$E, $B57, Units!$G:$G, K$4),COUNTIFS(Units!$E:$E, $B57, Units!$G:$G, K$4, Units!$I:$I, $C57)
)
</f>
        <v>0</v>
      </c>
      <c r="L57" s="85">
        <f>IF($C57="All",COUNTIFS(Units!$E:$E, $B57, Units!$G:$G, L$4),COUNTIFS(Units!$E:$E, $B57, Units!$G:$G, L$4, Units!$I:$I, $C57)
)
</f>
        <v>0</v>
      </c>
      <c r="N57" s="85">
        <f>IF($C57="All",COUNTIFS(Units!$E:$E, $B57, Units!$G:$G, N$4),COUNTIFS(Units!$E:$E, $B57, Units!$G:$G, N$4, Units!$I:$I, $C57)
)
</f>
        <v>0</v>
      </c>
      <c r="O57" s="85">
        <f>IF($C57="All",COUNTIFS(Units!$E:$E, $B57, Units!$G:$G, O$4),COUNTIFS(Units!$E:$E, $B57, Units!$G:$G, O$4, Units!$I:$I, $C57)
)
</f>
        <v>0</v>
      </c>
      <c r="P57" s="85">
        <f>IF($C57="All",COUNTIFS(Units!$E:$E, $B57, Units!$G:$G, P$4),COUNTIFS(Units!$E:$E, $B57, Units!$G:$G, P$4, Units!$I:$I, $C57)
)
</f>
        <v>0</v>
      </c>
      <c r="Q57" s="85">
        <f>IF($C57="All",COUNTIFS(Units!$E:$E, $B57, Units!$G:$G, Q$4),COUNTIFS(Units!$E:$E, $B57, Units!$G:$G, Q$4, Units!$I:$I, $C57)
)
</f>
        <v>0</v>
      </c>
      <c r="R57" s="85">
        <f>IF($C57="All",COUNTIFS(Units!$E:$E, $B57, Units!$G:$G, R$4),COUNTIFS(Units!$E:$E, $B57, Units!$G:$G, R$4, Units!$I:$I, $C57)
)
</f>
        <v>0</v>
      </c>
      <c r="S57" s="85">
        <f>IF($C57="All",COUNTIFS(Units!$E:$E, $B57, Units!$G:$G, S$4),COUNTIFS(Units!$E:$E, $B57, Units!$G:$G, S$4, Units!$I:$I, $C57)
)
</f>
        <v>0</v>
      </c>
      <c r="T57" s="87">
        <f>IF($C57="All",COUNTIFS(Units!$E:$E, $B57, Units!$G:$G, T$4),COUNTIFS(Units!$E:$E, $B57, Units!$G:$G, T$4, Units!$I:$I, $C57)
)
</f>
        <v>0</v>
      </c>
      <c r="U57" s="87">
        <f>IF($C57="All",COUNTIFS(Units!$E:$E, $B57, Units!$G:$G, U$4),COUNTIFS(Units!$E:$E, $B57, Units!$G:$G, U$4, Units!$I:$I, $C57)
)
</f>
        <v>0</v>
      </c>
      <c r="V57" s="87">
        <f>IF($C57="All",COUNTIFS(Units!$E:$E, $B57, Units!$G:$G, V$4),COUNTIFS(Units!$E:$E, $B57, Units!$G:$G, V$4, Units!$I:$I, $C57)
)
</f>
        <v>0</v>
      </c>
      <c r="W57" s="87">
        <f>IF($C57="All",COUNTIFS(Units!$E:$E, $B57, Units!$G:$G, W$4),COUNTIFS(Units!$E:$E, $B57, Units!$G:$G, W$4, Units!$I:$I, $C57)
)
</f>
        <v>0</v>
      </c>
      <c r="X57" s="87">
        <f>IF($C57="All",COUNTIFS(Units!$E:$E, $B57, Units!$G:$G, X$4),COUNTIFS(Units!$E:$E, $B57, Units!$G:$G, X$4, Units!$I:$I, $C57)
)
</f>
        <v>0</v>
      </c>
      <c r="Y57" s="87">
        <f>IF($C57="All",COUNTIFS(Units!$E:$E, $B57, Units!$G:$G, Y$4),COUNTIFS(Units!$E:$E, $B57, Units!$G:$G, Y$4, Units!$I:$I, $C57)
)
</f>
        <v>0</v>
      </c>
      <c r="Z57" s="87">
        <f>IF($C57="All",COUNTIFS(Units!$E:$E, $B57, Units!$G:$G, Z$4),COUNTIFS(Units!$E:$E, $B57, Units!$G:$G, Z$4, Units!$I:$I, $C57)
)
</f>
        <v>0</v>
      </c>
      <c r="AA57" s="87">
        <f>IF($C57="All",COUNTIFS(Units!$E:$E, $B57, Units!$G:$G, AA$4),COUNTIFS(Units!$E:$E, $B57, Units!$G:$G, AA$4, Units!$I:$I, $C57)
)
</f>
        <v>0</v>
      </c>
      <c r="AB57" s="87">
        <f>IF($C57="All",COUNTIFS(Units!$E:$E, $B57, Units!$G:$G, AB$4),COUNTIFS(Units!$E:$E, $B57, Units!$G:$G, AB$4, Units!$I:$I, $C57)
)
</f>
        <v>0</v>
      </c>
      <c r="AC57" s="87">
        <f>IF($C57="All",COUNTIFS(Units!$E:$E, $B57, Units!$G:$G, AC$4),COUNTIFS(Units!$E:$E, $B57, Units!$G:$G, AC$4, Units!$I:$I, $C57)
)
</f>
        <v>0</v>
      </c>
      <c r="AD57" s="85">
        <f t="shared" si="2"/>
        <v>0</v>
      </c>
      <c r="AE57" s="85">
        <f t="shared" si="3"/>
        <v>0</v>
      </c>
      <c r="AF57" s="87">
        <f t="shared" si="4"/>
        <v>0</v>
      </c>
      <c r="AG57" s="91">
        <f t="shared" si="5"/>
        <v>0</v>
      </c>
      <c r="AJ57" s="94"/>
      <c r="AO57" s="94"/>
      <c r="AP57" s="85">
        <f>IF($C57="All",COUNTIFS(Units!$E:$E, $B57, Units!$M:$M, "&lt;&gt;1"),COUNTIFS(Units!$E:$E, $B57, Units!$M:$M, "&lt;&gt;1", Units!$I:$I, $C57)
)
</f>
        <v>0</v>
      </c>
      <c r="AQ57" s="94">
        <f>IF($C57="All",COUNTIFS(Units!$E:$E, $B57, Units!$S:$S, "*Maneouverable*"),COUNTIFS(Units!$E:$E, $B57, Units!$S:$S, "*Maneouverable*", Units!$I:$I, $C57)
)
</f>
        <v>0</v>
      </c>
      <c r="AR57" s="96" t="str">
        <f>IF($C57="All", 
    AVERAGEIFS(Units!$Q:$Q, Units!$E:$E, $B57, Units!$AY:$AY, false), 
    AVERAGEIFS(Units!$Q:$Q, Units!$E:$E, $B57, Units!$I:$I, $C57, Units!$AY:$AY, false)
)
</f>
        <v>#DIV/0!</v>
      </c>
      <c r="AS57" s="85">
        <f>IF($C57="All",COUNTIFS(Units!$E:$E, $B57, Units!$Q:$Q, "&lt;&gt;1"),COUNTIFS(Units!$E:$E, $B57, Units!$Q:$Q, "&lt;&gt;1", Units!$I:$I, $C57)
)</f>
        <v>0</v>
      </c>
      <c r="AT57" s="85">
        <f>AS57 - IF($C57="All",COUNTIFS(Units!$E:$E, $B57, Units!$Q:$Q, 2),COUNTIFS(Units!$E:$E, $B57, Units!$Q:$Q, 2, Units!$I:$I, $C57)
)</f>
        <v>0</v>
      </c>
      <c r="AU57" s="96" t="str">
        <f>IF($C57="All", 
    AVERAGEIFS(Units!$AQ:$AQ, Units!$E:$E, $B57, Units!$AY:$AY, false), 
    AVERAGEIFS(Units!$AQ:$AQ, Units!$E:$E, $B57, Units!$I:$I, $C57, Units!$AY:$AY, false)
)
</f>
        <v>#DIV/0!</v>
      </c>
      <c r="AV57" s="96" t="str">
        <f>IF($C57="All", 
    AVERAGEIFS(Units!$AR:$AR, Units!$E:$E, $B57, Units!$AY:$AY, false), 
    AVERAGEIFS(Units!$AR:$AR, Units!$E:$E, $B57, Units!$I:$I, $C57, Units!$AY:$AY, false)
)</f>
        <v>#DIV/0!</v>
      </c>
      <c r="AW57" s="96" t="str">
        <f>IF($C57="All", 
    AVERAGEIFS(Units!$AW:$AW, Units!$E:$E, $B57, Units!$AY:$AY, false), 
    AVERAGEIFS(Units!$AW:$AW, Units!$E:$E, $B57, Units!$I:$I, $C57, Units!$AY:$AY, false)
)
</f>
        <v>#DIV/0!</v>
      </c>
    </row>
    <row r="58" ht="22.5" hidden="1" customHeight="1">
      <c r="C58" s="94"/>
      <c r="D58" s="85">
        <f>IF($C58="All",COUNTIFS(Units!$E:$E, $B58),COUNTIFS(Units!$E:$E, $B58, Units!$I:$I, $C58)
)
</f>
        <v>0</v>
      </c>
      <c r="E58" s="85">
        <f>IF($C58="All",COUNTIFS(Units!$E:$E, $B58, Units!$G:$G, E$4),COUNTIFS(Units!$E:$E, $B58, Units!$G:$G, E$4, Units!$I:$I, $C58)
)
</f>
        <v>0</v>
      </c>
      <c r="F58" s="85">
        <f>IF($C58="All",COUNTIFS(Units!$E:$E, $B58, Units!$G:$G, F$4),COUNTIFS(Units!$E:$E, $B58, Units!$G:$G, F$4, Units!$I:$I, $C58)
)
</f>
        <v>0</v>
      </c>
      <c r="G58" s="85">
        <f>IF($C58="All",COUNTIFS(Units!$E:$E, $B58, Units!$G:$G, G$4),COUNTIFS(Units!$E:$E, $B58, Units!$G:$G, G$4, Units!$I:$I, $C58)
)
</f>
        <v>0</v>
      </c>
      <c r="H58" s="85">
        <f>IF($C58="All",COUNTIFS(Units!$E:$E, $B58, Units!$G:$G, H$4),COUNTIFS(Units!$E:$E, $B58, Units!$G:$G, H$4, Units!$I:$I, $C58)
)
</f>
        <v>0</v>
      </c>
      <c r="I58" s="85">
        <f>IF($C58="All",COUNTIFS(Units!$E:$E, $B58, Units!$G:$G, I$4),COUNTIFS(Units!$E:$E, $B58, Units!$G:$G, I$4, Units!$I:$I, $C58)
)
</f>
        <v>0</v>
      </c>
      <c r="J58" s="85">
        <f>IF($C58="All",COUNTIFS(Units!$E:$E, $B58, Units!$G:$G, J$4),COUNTIFS(Units!$E:$E, $B58, Units!$G:$G, J$4, Units!$I:$I, $C58)
)
</f>
        <v>0</v>
      </c>
      <c r="K58" s="85">
        <f>IF($C58="All",COUNTIFS(Units!$E:$E, $B58, Units!$G:$G, K$4),COUNTIFS(Units!$E:$E, $B58, Units!$G:$G, K$4, Units!$I:$I, $C58)
)
</f>
        <v>0</v>
      </c>
      <c r="L58" s="85">
        <f>IF($C58="All",COUNTIFS(Units!$E:$E, $B58, Units!$G:$G, L$4),COUNTIFS(Units!$E:$E, $B58, Units!$G:$G, L$4, Units!$I:$I, $C58)
)
</f>
        <v>0</v>
      </c>
      <c r="N58" s="85">
        <f>IF($C58="All",COUNTIFS(Units!$E:$E, $B58, Units!$G:$G, N$4),COUNTIFS(Units!$E:$E, $B58, Units!$G:$G, N$4, Units!$I:$I, $C58)
)
</f>
        <v>0</v>
      </c>
      <c r="O58" s="85">
        <f>IF($C58="All",COUNTIFS(Units!$E:$E, $B58, Units!$G:$G, O$4),COUNTIFS(Units!$E:$E, $B58, Units!$G:$G, O$4, Units!$I:$I, $C58)
)
</f>
        <v>0</v>
      </c>
      <c r="P58" s="85">
        <f>IF($C58="All",COUNTIFS(Units!$E:$E, $B58, Units!$G:$G, P$4),COUNTIFS(Units!$E:$E, $B58, Units!$G:$G, P$4, Units!$I:$I, $C58)
)
</f>
        <v>0</v>
      </c>
      <c r="Q58" s="85">
        <f>IF($C58="All",COUNTIFS(Units!$E:$E, $B58, Units!$G:$G, Q$4),COUNTIFS(Units!$E:$E, $B58, Units!$G:$G, Q$4, Units!$I:$I, $C58)
)
</f>
        <v>0</v>
      </c>
      <c r="R58" s="85">
        <f>IF($C58="All",COUNTIFS(Units!$E:$E, $B58, Units!$G:$G, R$4),COUNTIFS(Units!$E:$E, $B58, Units!$G:$G, R$4, Units!$I:$I, $C58)
)
</f>
        <v>0</v>
      </c>
      <c r="S58" s="85">
        <f>IF($C58="All",COUNTIFS(Units!$E:$E, $B58, Units!$G:$G, S$4),COUNTIFS(Units!$E:$E, $B58, Units!$G:$G, S$4, Units!$I:$I, $C58)
)
</f>
        <v>0</v>
      </c>
      <c r="T58" s="87">
        <f>IF($C58="All",COUNTIFS(Units!$E:$E, $B58, Units!$G:$G, T$4),COUNTIFS(Units!$E:$E, $B58, Units!$G:$G, T$4, Units!$I:$I, $C58)
)
</f>
        <v>0</v>
      </c>
      <c r="U58" s="87">
        <f>IF($C58="All",COUNTIFS(Units!$E:$E, $B58, Units!$G:$G, U$4),COUNTIFS(Units!$E:$E, $B58, Units!$G:$G, U$4, Units!$I:$I, $C58)
)
</f>
        <v>0</v>
      </c>
      <c r="V58" s="87">
        <f>IF($C58="All",COUNTIFS(Units!$E:$E, $B58, Units!$G:$G, V$4),COUNTIFS(Units!$E:$E, $B58, Units!$G:$G, V$4, Units!$I:$I, $C58)
)
</f>
        <v>0</v>
      </c>
      <c r="W58" s="87">
        <f>IF($C58="All",COUNTIFS(Units!$E:$E, $B58, Units!$G:$G, W$4),COUNTIFS(Units!$E:$E, $B58, Units!$G:$G, W$4, Units!$I:$I, $C58)
)
</f>
        <v>0</v>
      </c>
      <c r="X58" s="87">
        <f>IF($C58="All",COUNTIFS(Units!$E:$E, $B58, Units!$G:$G, X$4),COUNTIFS(Units!$E:$E, $B58, Units!$G:$G, X$4, Units!$I:$I, $C58)
)
</f>
        <v>0</v>
      </c>
      <c r="Y58" s="87">
        <f>IF($C58="All",COUNTIFS(Units!$E:$E, $B58, Units!$G:$G, Y$4),COUNTIFS(Units!$E:$E, $B58, Units!$G:$G, Y$4, Units!$I:$I, $C58)
)
</f>
        <v>0</v>
      </c>
      <c r="Z58" s="87">
        <f>IF($C58="All",COUNTIFS(Units!$E:$E, $B58, Units!$G:$G, Z$4),COUNTIFS(Units!$E:$E, $B58, Units!$G:$G, Z$4, Units!$I:$I, $C58)
)
</f>
        <v>0</v>
      </c>
      <c r="AA58" s="87">
        <f>IF($C58="All",COUNTIFS(Units!$E:$E, $B58, Units!$G:$G, AA$4),COUNTIFS(Units!$E:$E, $B58, Units!$G:$G, AA$4, Units!$I:$I, $C58)
)
</f>
        <v>0</v>
      </c>
      <c r="AB58" s="87">
        <f>IF($C58="All",COUNTIFS(Units!$E:$E, $B58, Units!$G:$G, AB$4),COUNTIFS(Units!$E:$E, $B58, Units!$G:$G, AB$4, Units!$I:$I, $C58)
)
</f>
        <v>0</v>
      </c>
      <c r="AC58" s="87">
        <f>IF($C58="All",COUNTIFS(Units!$E:$E, $B58, Units!$G:$G, AC$4),COUNTIFS(Units!$E:$E, $B58, Units!$G:$G, AC$4, Units!$I:$I, $C58)
)
</f>
        <v>0</v>
      </c>
      <c r="AD58" s="85">
        <f t="shared" si="2"/>
        <v>0</v>
      </c>
      <c r="AE58" s="85">
        <f t="shared" si="3"/>
        <v>0</v>
      </c>
      <c r="AF58" s="87">
        <f t="shared" si="4"/>
        <v>0</v>
      </c>
      <c r="AG58" s="91">
        <f t="shared" si="5"/>
        <v>0</v>
      </c>
      <c r="AJ58" s="94"/>
      <c r="AO58" s="94"/>
      <c r="AP58" s="85">
        <f>IF($C58="All",COUNTIFS(Units!$E:$E, $B58, Units!$M:$M, "&lt;&gt;1"),COUNTIFS(Units!$E:$E, $B58, Units!$M:$M, "&lt;&gt;1", Units!$I:$I, $C58)
)
</f>
        <v>0</v>
      </c>
      <c r="AQ58" s="94">
        <f>IF($C58="All",COUNTIFS(Units!$E:$E, $B58, Units!$S:$S, "*Maneouverable*"),COUNTIFS(Units!$E:$E, $B58, Units!$S:$S, "*Maneouverable*", Units!$I:$I, $C58)
)
</f>
        <v>0</v>
      </c>
      <c r="AR58" s="96" t="str">
        <f>IF($C58="All", 
    AVERAGEIFS(Units!$Q:$Q, Units!$E:$E, $B58, Units!$AY:$AY, false), 
    AVERAGEIFS(Units!$Q:$Q, Units!$E:$E, $B58, Units!$I:$I, $C58, Units!$AY:$AY, false)
)
</f>
        <v>#DIV/0!</v>
      </c>
      <c r="AS58" s="85">
        <f>IF($C58="All",COUNTIFS(Units!$E:$E, $B58, Units!$Q:$Q, "&lt;&gt;1"),COUNTIFS(Units!$E:$E, $B58, Units!$Q:$Q, "&lt;&gt;1", Units!$I:$I, $C58)
)</f>
        <v>0</v>
      </c>
      <c r="AT58" s="85">
        <f>AS58 - IF($C58="All",COUNTIFS(Units!$E:$E, $B58, Units!$Q:$Q, 2),COUNTIFS(Units!$E:$E, $B58, Units!$Q:$Q, 2, Units!$I:$I, $C58)
)</f>
        <v>0</v>
      </c>
      <c r="AU58" s="96" t="str">
        <f>IF($C58="All", 
    AVERAGEIFS(Units!$AQ:$AQ, Units!$E:$E, $B58, Units!$AY:$AY, false), 
    AVERAGEIFS(Units!$AQ:$AQ, Units!$E:$E, $B58, Units!$I:$I, $C58, Units!$AY:$AY, false)
)
</f>
        <v>#DIV/0!</v>
      </c>
      <c r="AV58" s="96" t="str">
        <f>IF($C58="All", 
    AVERAGEIFS(Units!$AR:$AR, Units!$E:$E, $B58, Units!$AY:$AY, false), 
    AVERAGEIFS(Units!$AR:$AR, Units!$E:$E, $B58, Units!$I:$I, $C58, Units!$AY:$AY, false)
)</f>
        <v>#DIV/0!</v>
      </c>
      <c r="AW58" s="96" t="str">
        <f>IF($C58="All", 
    AVERAGEIFS(Units!$AW:$AW, Units!$E:$E, $B58, Units!$AY:$AY, false), 
    AVERAGEIFS(Units!$AW:$AW, Units!$E:$E, $B58, Units!$I:$I, $C58, Units!$AY:$AY, false)
)
</f>
        <v>#DIV/0!</v>
      </c>
    </row>
    <row r="59" ht="22.5" hidden="1" customHeight="1">
      <c r="C59" s="94"/>
      <c r="D59" s="85">
        <f>IF($C59="All",COUNTIFS(Units!$E:$E, $B59),COUNTIFS(Units!$E:$E, $B59, Units!$I:$I, $C59)
)
</f>
        <v>0</v>
      </c>
      <c r="E59" s="85">
        <f>IF($C59="All",COUNTIFS(Units!$E:$E, $B59, Units!$G:$G, E$4),COUNTIFS(Units!$E:$E, $B59, Units!$G:$G, E$4, Units!$I:$I, $C59)
)
</f>
        <v>0</v>
      </c>
      <c r="F59" s="85">
        <f>IF($C59="All",COUNTIFS(Units!$E:$E, $B59, Units!$G:$G, F$4),COUNTIFS(Units!$E:$E, $B59, Units!$G:$G, F$4, Units!$I:$I, $C59)
)
</f>
        <v>0</v>
      </c>
      <c r="G59" s="85">
        <f>IF($C59="All",COUNTIFS(Units!$E:$E, $B59, Units!$G:$G, G$4),COUNTIFS(Units!$E:$E, $B59, Units!$G:$G, G$4, Units!$I:$I, $C59)
)
</f>
        <v>0</v>
      </c>
      <c r="H59" s="85">
        <f>IF($C59="All",COUNTIFS(Units!$E:$E, $B59, Units!$G:$G, H$4),COUNTIFS(Units!$E:$E, $B59, Units!$G:$G, H$4, Units!$I:$I, $C59)
)
</f>
        <v>0</v>
      </c>
      <c r="I59" s="85">
        <f>IF($C59="All",COUNTIFS(Units!$E:$E, $B59, Units!$G:$G, I$4),COUNTIFS(Units!$E:$E, $B59, Units!$G:$G, I$4, Units!$I:$I, $C59)
)
</f>
        <v>0</v>
      </c>
      <c r="J59" s="85">
        <f>IF($C59="All",COUNTIFS(Units!$E:$E, $B59, Units!$G:$G, J$4),COUNTIFS(Units!$E:$E, $B59, Units!$G:$G, J$4, Units!$I:$I, $C59)
)
</f>
        <v>0</v>
      </c>
      <c r="K59" s="85">
        <f>IF($C59="All",COUNTIFS(Units!$E:$E, $B59, Units!$G:$G, K$4),COUNTIFS(Units!$E:$E, $B59, Units!$G:$G, K$4, Units!$I:$I, $C59)
)
</f>
        <v>0</v>
      </c>
      <c r="L59" s="85">
        <f>IF($C59="All",COUNTIFS(Units!$E:$E, $B59, Units!$G:$G, L$4),COUNTIFS(Units!$E:$E, $B59, Units!$G:$G, L$4, Units!$I:$I, $C59)
)
</f>
        <v>0</v>
      </c>
      <c r="N59" s="85">
        <f>IF($C59="All",COUNTIFS(Units!$E:$E, $B59, Units!$G:$G, N$4),COUNTIFS(Units!$E:$E, $B59, Units!$G:$G, N$4, Units!$I:$I, $C59)
)
</f>
        <v>0</v>
      </c>
      <c r="O59" s="85">
        <f>IF($C59="All",COUNTIFS(Units!$E:$E, $B59, Units!$G:$G, O$4),COUNTIFS(Units!$E:$E, $B59, Units!$G:$G, O$4, Units!$I:$I, $C59)
)
</f>
        <v>0</v>
      </c>
      <c r="P59" s="85">
        <f>IF($C59="All",COUNTIFS(Units!$E:$E, $B59, Units!$G:$G, P$4),COUNTIFS(Units!$E:$E, $B59, Units!$G:$G, P$4, Units!$I:$I, $C59)
)
</f>
        <v>0</v>
      </c>
      <c r="Q59" s="85">
        <f>IF($C59="All",COUNTIFS(Units!$E:$E, $B59, Units!$G:$G, Q$4),COUNTIFS(Units!$E:$E, $B59, Units!$G:$G, Q$4, Units!$I:$I, $C59)
)
</f>
        <v>0</v>
      </c>
      <c r="R59" s="85">
        <f>IF($C59="All",COUNTIFS(Units!$E:$E, $B59, Units!$G:$G, R$4),COUNTIFS(Units!$E:$E, $B59, Units!$G:$G, R$4, Units!$I:$I, $C59)
)
</f>
        <v>0</v>
      </c>
      <c r="S59" s="85">
        <f>IF($C59="All",COUNTIFS(Units!$E:$E, $B59, Units!$G:$G, S$4),COUNTIFS(Units!$E:$E, $B59, Units!$G:$G, S$4, Units!$I:$I, $C59)
)
</f>
        <v>0</v>
      </c>
      <c r="T59" s="87">
        <f>IF($C59="All",COUNTIFS(Units!$E:$E, $B59, Units!$G:$G, T$4),COUNTIFS(Units!$E:$E, $B59, Units!$G:$G, T$4, Units!$I:$I, $C59)
)
</f>
        <v>0</v>
      </c>
      <c r="U59" s="87">
        <f>IF($C59="All",COUNTIFS(Units!$E:$E, $B59, Units!$G:$G, U$4),COUNTIFS(Units!$E:$E, $B59, Units!$G:$G, U$4, Units!$I:$I, $C59)
)
</f>
        <v>0</v>
      </c>
      <c r="V59" s="87">
        <f>IF($C59="All",COUNTIFS(Units!$E:$E, $B59, Units!$G:$G, V$4),COUNTIFS(Units!$E:$E, $B59, Units!$G:$G, V$4, Units!$I:$I, $C59)
)
</f>
        <v>0</v>
      </c>
      <c r="W59" s="87">
        <f>IF($C59="All",COUNTIFS(Units!$E:$E, $B59, Units!$G:$G, W$4),COUNTIFS(Units!$E:$E, $B59, Units!$G:$G, W$4, Units!$I:$I, $C59)
)
</f>
        <v>0</v>
      </c>
      <c r="X59" s="87">
        <f>IF($C59="All",COUNTIFS(Units!$E:$E, $B59, Units!$G:$G, X$4),COUNTIFS(Units!$E:$E, $B59, Units!$G:$G, X$4, Units!$I:$I, $C59)
)
</f>
        <v>0</v>
      </c>
      <c r="Y59" s="87">
        <f>IF($C59="All",COUNTIFS(Units!$E:$E, $B59, Units!$G:$G, Y$4),COUNTIFS(Units!$E:$E, $B59, Units!$G:$G, Y$4, Units!$I:$I, $C59)
)
</f>
        <v>0</v>
      </c>
      <c r="Z59" s="87">
        <f>IF($C59="All",COUNTIFS(Units!$E:$E, $B59, Units!$G:$G, Z$4),COUNTIFS(Units!$E:$E, $B59, Units!$G:$G, Z$4, Units!$I:$I, $C59)
)
</f>
        <v>0</v>
      </c>
      <c r="AA59" s="87">
        <f>IF($C59="All",COUNTIFS(Units!$E:$E, $B59, Units!$G:$G, AA$4),COUNTIFS(Units!$E:$E, $B59, Units!$G:$G, AA$4, Units!$I:$I, $C59)
)
</f>
        <v>0</v>
      </c>
      <c r="AB59" s="87">
        <f>IF($C59="All",COUNTIFS(Units!$E:$E, $B59, Units!$G:$G, AB$4),COUNTIFS(Units!$E:$E, $B59, Units!$G:$G, AB$4, Units!$I:$I, $C59)
)
</f>
        <v>0</v>
      </c>
      <c r="AC59" s="87">
        <f>IF($C59="All",COUNTIFS(Units!$E:$E, $B59, Units!$G:$G, AC$4),COUNTIFS(Units!$E:$E, $B59, Units!$G:$G, AC$4, Units!$I:$I, $C59)
)
</f>
        <v>0</v>
      </c>
      <c r="AD59" s="85">
        <f t="shared" si="2"/>
        <v>0</v>
      </c>
      <c r="AE59" s="85">
        <f t="shared" si="3"/>
        <v>0</v>
      </c>
      <c r="AF59" s="87">
        <f t="shared" si="4"/>
        <v>0</v>
      </c>
      <c r="AG59" s="91">
        <f t="shared" si="5"/>
        <v>0</v>
      </c>
      <c r="AJ59" s="94"/>
      <c r="AO59" s="94"/>
      <c r="AP59" s="85">
        <f>IF($C59="All",COUNTIFS(Units!$E:$E, $B59, Units!$M:$M, "&lt;&gt;1"),COUNTIFS(Units!$E:$E, $B59, Units!$M:$M, "&lt;&gt;1", Units!$I:$I, $C59)
)
</f>
        <v>0</v>
      </c>
      <c r="AQ59" s="94">
        <f>IF($C59="All",COUNTIFS(Units!$E:$E, $B59, Units!$S:$S, "*Maneouverable*"),COUNTIFS(Units!$E:$E, $B59, Units!$S:$S, "*Maneouverable*", Units!$I:$I, $C59)
)
</f>
        <v>0</v>
      </c>
      <c r="AR59" s="96" t="str">
        <f>IF($C59="All", 
    AVERAGEIFS(Units!$Q:$Q, Units!$E:$E, $B59, Units!$AY:$AY, false), 
    AVERAGEIFS(Units!$Q:$Q, Units!$E:$E, $B59, Units!$I:$I, $C59, Units!$AY:$AY, false)
)
</f>
        <v>#DIV/0!</v>
      </c>
      <c r="AS59" s="85">
        <f>IF($C59="All",COUNTIFS(Units!$E:$E, $B59, Units!$Q:$Q, "&lt;&gt;1"),COUNTIFS(Units!$E:$E, $B59, Units!$Q:$Q, "&lt;&gt;1", Units!$I:$I, $C59)
)</f>
        <v>0</v>
      </c>
      <c r="AT59" s="85">
        <f>AS59 - IF($C59="All",COUNTIFS(Units!$E:$E, $B59, Units!$Q:$Q, 2),COUNTIFS(Units!$E:$E, $B59, Units!$Q:$Q, 2, Units!$I:$I, $C59)
)</f>
        <v>0</v>
      </c>
      <c r="AU59" s="96" t="str">
        <f>IF($C59="All", 
    AVERAGEIFS(Units!$AQ:$AQ, Units!$E:$E, $B59, Units!$AY:$AY, false), 
    AVERAGEIFS(Units!$AQ:$AQ, Units!$E:$E, $B59, Units!$I:$I, $C59, Units!$AY:$AY, false)
)
</f>
        <v>#DIV/0!</v>
      </c>
      <c r="AV59" s="96" t="str">
        <f>IF($C59="All", 
    AVERAGEIFS(Units!$AR:$AR, Units!$E:$E, $B59, Units!$AY:$AY, false), 
    AVERAGEIFS(Units!$AR:$AR, Units!$E:$E, $B59, Units!$I:$I, $C59, Units!$AY:$AY, false)
)</f>
        <v>#DIV/0!</v>
      </c>
      <c r="AW59" s="96" t="str">
        <f>IF($C59="All", 
    AVERAGEIFS(Units!$AW:$AW, Units!$E:$E, $B59, Units!$AY:$AY, false), 
    AVERAGEIFS(Units!$AW:$AW, Units!$E:$E, $B59, Units!$I:$I, $C59, Units!$AY:$AY, false)
)
</f>
        <v>#DIV/0!</v>
      </c>
    </row>
    <row r="60" ht="22.5" hidden="1" customHeight="1">
      <c r="C60" s="94"/>
      <c r="D60" s="85">
        <f>IF($C60="All",COUNTIFS(Units!$E:$E, $B60),COUNTIFS(Units!$E:$E, $B60, Units!$I:$I, $C60)
)
</f>
        <v>0</v>
      </c>
      <c r="E60" s="85">
        <f>IF($C60="All",COUNTIFS(Units!$E:$E, $B60, Units!$G:$G, E$4),COUNTIFS(Units!$E:$E, $B60, Units!$G:$G, E$4, Units!$I:$I, $C60)
)
</f>
        <v>0</v>
      </c>
      <c r="F60" s="85">
        <f>IF($C60="All",COUNTIFS(Units!$E:$E, $B60, Units!$G:$G, F$4),COUNTIFS(Units!$E:$E, $B60, Units!$G:$G, F$4, Units!$I:$I, $C60)
)
</f>
        <v>0</v>
      </c>
      <c r="G60" s="85">
        <f>IF($C60="All",COUNTIFS(Units!$E:$E, $B60, Units!$G:$G, G$4),COUNTIFS(Units!$E:$E, $B60, Units!$G:$G, G$4, Units!$I:$I, $C60)
)
</f>
        <v>0</v>
      </c>
      <c r="H60" s="85">
        <f>IF($C60="All",COUNTIFS(Units!$E:$E, $B60, Units!$G:$G, H$4),COUNTIFS(Units!$E:$E, $B60, Units!$G:$G, H$4, Units!$I:$I, $C60)
)
</f>
        <v>0</v>
      </c>
      <c r="I60" s="85">
        <f>IF($C60="All",COUNTIFS(Units!$E:$E, $B60, Units!$G:$G, I$4),COUNTIFS(Units!$E:$E, $B60, Units!$G:$G, I$4, Units!$I:$I, $C60)
)
</f>
        <v>0</v>
      </c>
      <c r="J60" s="85">
        <f>IF($C60="All",COUNTIFS(Units!$E:$E, $B60, Units!$G:$G, J$4),COUNTIFS(Units!$E:$E, $B60, Units!$G:$G, J$4, Units!$I:$I, $C60)
)
</f>
        <v>0</v>
      </c>
      <c r="K60" s="85">
        <f>IF($C60="All",COUNTIFS(Units!$E:$E, $B60, Units!$G:$G, K$4),COUNTIFS(Units!$E:$E, $B60, Units!$G:$G, K$4, Units!$I:$I, $C60)
)
</f>
        <v>0</v>
      </c>
      <c r="L60" s="85">
        <f>IF($C60="All",COUNTIFS(Units!$E:$E, $B60, Units!$G:$G, L$4),COUNTIFS(Units!$E:$E, $B60, Units!$G:$G, L$4, Units!$I:$I, $C60)
)
</f>
        <v>0</v>
      </c>
      <c r="N60" s="85">
        <f>IF($C60="All",COUNTIFS(Units!$E:$E, $B60, Units!$G:$G, N$4),COUNTIFS(Units!$E:$E, $B60, Units!$G:$G, N$4, Units!$I:$I, $C60)
)
</f>
        <v>0</v>
      </c>
      <c r="O60" s="85">
        <f>IF($C60="All",COUNTIFS(Units!$E:$E, $B60, Units!$G:$G, O$4),COUNTIFS(Units!$E:$E, $B60, Units!$G:$G, O$4, Units!$I:$I, $C60)
)
</f>
        <v>0</v>
      </c>
      <c r="P60" s="85">
        <f>IF($C60="All",COUNTIFS(Units!$E:$E, $B60, Units!$G:$G, P$4),COUNTIFS(Units!$E:$E, $B60, Units!$G:$G, P$4, Units!$I:$I, $C60)
)
</f>
        <v>0</v>
      </c>
      <c r="Q60" s="85">
        <f>IF($C60="All",COUNTIFS(Units!$E:$E, $B60, Units!$G:$G, Q$4),COUNTIFS(Units!$E:$E, $B60, Units!$G:$G, Q$4, Units!$I:$I, $C60)
)
</f>
        <v>0</v>
      </c>
      <c r="R60" s="85">
        <f>IF($C60="All",COUNTIFS(Units!$E:$E, $B60, Units!$G:$G, R$4),COUNTIFS(Units!$E:$E, $B60, Units!$G:$G, R$4, Units!$I:$I, $C60)
)
</f>
        <v>0</v>
      </c>
      <c r="S60" s="85">
        <f>IF($C60="All",COUNTIFS(Units!$E:$E, $B60, Units!$G:$G, S$4),COUNTIFS(Units!$E:$E, $B60, Units!$G:$G, S$4, Units!$I:$I, $C60)
)
</f>
        <v>0</v>
      </c>
      <c r="T60" s="87">
        <f>IF($C60="All",COUNTIFS(Units!$E:$E, $B60, Units!$G:$G, T$4),COUNTIFS(Units!$E:$E, $B60, Units!$G:$G, T$4, Units!$I:$I, $C60)
)
</f>
        <v>0</v>
      </c>
      <c r="U60" s="87">
        <f>IF($C60="All",COUNTIFS(Units!$E:$E, $B60, Units!$G:$G, U$4),COUNTIFS(Units!$E:$E, $B60, Units!$G:$G, U$4, Units!$I:$I, $C60)
)
</f>
        <v>0</v>
      </c>
      <c r="V60" s="87">
        <f>IF($C60="All",COUNTIFS(Units!$E:$E, $B60, Units!$G:$G, V$4),COUNTIFS(Units!$E:$E, $B60, Units!$G:$G, V$4, Units!$I:$I, $C60)
)
</f>
        <v>0</v>
      </c>
      <c r="W60" s="87">
        <f>IF($C60="All",COUNTIFS(Units!$E:$E, $B60, Units!$G:$G, W$4),COUNTIFS(Units!$E:$E, $B60, Units!$G:$G, W$4, Units!$I:$I, $C60)
)
</f>
        <v>0</v>
      </c>
      <c r="X60" s="87">
        <f>IF($C60="All",COUNTIFS(Units!$E:$E, $B60, Units!$G:$G, X$4),COUNTIFS(Units!$E:$E, $B60, Units!$G:$G, X$4, Units!$I:$I, $C60)
)
</f>
        <v>0</v>
      </c>
      <c r="Y60" s="87">
        <f>IF($C60="All",COUNTIFS(Units!$E:$E, $B60, Units!$G:$G, Y$4),COUNTIFS(Units!$E:$E, $B60, Units!$G:$G, Y$4, Units!$I:$I, $C60)
)
</f>
        <v>0</v>
      </c>
      <c r="Z60" s="87">
        <f>IF($C60="All",COUNTIFS(Units!$E:$E, $B60, Units!$G:$G, Z$4),COUNTIFS(Units!$E:$E, $B60, Units!$G:$G, Z$4, Units!$I:$I, $C60)
)
</f>
        <v>0</v>
      </c>
      <c r="AA60" s="87">
        <f>IF($C60="All",COUNTIFS(Units!$E:$E, $B60, Units!$G:$G, AA$4),COUNTIFS(Units!$E:$E, $B60, Units!$G:$G, AA$4, Units!$I:$I, $C60)
)
</f>
        <v>0</v>
      </c>
      <c r="AB60" s="87">
        <f>IF($C60="All",COUNTIFS(Units!$E:$E, $B60, Units!$G:$G, AB$4),COUNTIFS(Units!$E:$E, $B60, Units!$G:$G, AB$4, Units!$I:$I, $C60)
)
</f>
        <v>0</v>
      </c>
      <c r="AC60" s="87">
        <f>IF($C60="All",COUNTIFS(Units!$E:$E, $B60, Units!$G:$G, AC$4),COUNTIFS(Units!$E:$E, $B60, Units!$G:$G, AC$4, Units!$I:$I, $C60)
)
</f>
        <v>0</v>
      </c>
      <c r="AD60" s="85">
        <f t="shared" si="2"/>
        <v>0</v>
      </c>
      <c r="AE60" s="85">
        <f t="shared" si="3"/>
        <v>0</v>
      </c>
      <c r="AF60" s="87">
        <f t="shared" si="4"/>
        <v>0</v>
      </c>
      <c r="AG60" s="91">
        <f t="shared" si="5"/>
        <v>0</v>
      </c>
      <c r="AJ60" s="94"/>
      <c r="AO60" s="94"/>
      <c r="AP60" s="85">
        <f>IF($C60="All",COUNTIFS(Units!$E:$E, $B60, Units!$M:$M, "&lt;&gt;1"),COUNTIFS(Units!$E:$E, $B60, Units!$M:$M, "&lt;&gt;1", Units!$I:$I, $C60)
)
</f>
        <v>0</v>
      </c>
      <c r="AQ60" s="94">
        <f>IF($C60="All",COUNTIFS(Units!$E:$E, $B60, Units!$S:$S, "*Maneouverable*"),COUNTIFS(Units!$E:$E, $B60, Units!$S:$S, "*Maneouverable*", Units!$I:$I, $C60)
)
</f>
        <v>0</v>
      </c>
      <c r="AR60" s="96" t="str">
        <f>IF($C60="All", 
    AVERAGEIFS(Units!$Q:$Q, Units!$E:$E, $B60, Units!$AY:$AY, false), 
    AVERAGEIFS(Units!$Q:$Q, Units!$E:$E, $B60, Units!$I:$I, $C60, Units!$AY:$AY, false)
)
</f>
        <v>#DIV/0!</v>
      </c>
      <c r="AS60" s="85">
        <f>IF($C60="All",COUNTIFS(Units!$E:$E, $B60, Units!$Q:$Q, "&lt;&gt;1"),COUNTIFS(Units!$E:$E, $B60, Units!$Q:$Q, "&lt;&gt;1", Units!$I:$I, $C60)
)</f>
        <v>0</v>
      </c>
      <c r="AT60" s="85">
        <f>AS60 - IF($C60="All",COUNTIFS(Units!$E:$E, $B60, Units!$Q:$Q, 2),COUNTIFS(Units!$E:$E, $B60, Units!$Q:$Q, 2, Units!$I:$I, $C60)
)</f>
        <v>0</v>
      </c>
      <c r="AU60" s="96" t="str">
        <f>IF($C60="All", 
    AVERAGEIFS(Units!$AQ:$AQ, Units!$E:$E, $B60, Units!$AY:$AY, false), 
    AVERAGEIFS(Units!$AQ:$AQ, Units!$E:$E, $B60, Units!$I:$I, $C60, Units!$AY:$AY, false)
)
</f>
        <v>#DIV/0!</v>
      </c>
      <c r="AV60" s="96" t="str">
        <f>IF($C60="All", 
    AVERAGEIFS(Units!$AR:$AR, Units!$E:$E, $B60, Units!$AY:$AY, false), 
    AVERAGEIFS(Units!$AR:$AR, Units!$E:$E, $B60, Units!$I:$I, $C60, Units!$AY:$AY, false)
)</f>
        <v>#DIV/0!</v>
      </c>
      <c r="AW60" s="96" t="str">
        <f>IF($C60="All", 
    AVERAGEIFS(Units!$AW:$AW, Units!$E:$E, $B60, Units!$AY:$AY, false), 
    AVERAGEIFS(Units!$AW:$AW, Units!$E:$E, $B60, Units!$I:$I, $C60, Units!$AY:$AY, false)
)
</f>
        <v>#DIV/0!</v>
      </c>
    </row>
    <row r="61" ht="22.5" hidden="1" customHeight="1">
      <c r="C61" s="94"/>
      <c r="D61" s="85">
        <f>IF($C61="All",COUNTIFS(Units!$E:$E, $B61),COUNTIFS(Units!$E:$E, $B61, Units!$I:$I, $C61)
)
</f>
        <v>0</v>
      </c>
      <c r="E61" s="85">
        <f>IF($C61="All",COUNTIFS(Units!$E:$E, $B61, Units!$G:$G, E$4),COUNTIFS(Units!$E:$E, $B61, Units!$G:$G, E$4, Units!$I:$I, $C61)
)
</f>
        <v>0</v>
      </c>
      <c r="F61" s="85">
        <f>IF($C61="All",COUNTIFS(Units!$E:$E, $B61, Units!$G:$G, F$4),COUNTIFS(Units!$E:$E, $B61, Units!$G:$G, F$4, Units!$I:$I, $C61)
)
</f>
        <v>0</v>
      </c>
      <c r="G61" s="85">
        <f>IF($C61="All",COUNTIFS(Units!$E:$E, $B61, Units!$G:$G, G$4),COUNTIFS(Units!$E:$E, $B61, Units!$G:$G, G$4, Units!$I:$I, $C61)
)
</f>
        <v>0</v>
      </c>
      <c r="H61" s="85">
        <f>IF($C61="All",COUNTIFS(Units!$E:$E, $B61, Units!$G:$G, H$4),COUNTIFS(Units!$E:$E, $B61, Units!$G:$G, H$4, Units!$I:$I, $C61)
)
</f>
        <v>0</v>
      </c>
      <c r="I61" s="85">
        <f>IF($C61="All",COUNTIFS(Units!$E:$E, $B61, Units!$G:$G, I$4),COUNTIFS(Units!$E:$E, $B61, Units!$G:$G, I$4, Units!$I:$I, $C61)
)
</f>
        <v>0</v>
      </c>
      <c r="J61" s="85">
        <f>IF($C61="All",COUNTIFS(Units!$E:$E, $B61, Units!$G:$G, J$4),COUNTIFS(Units!$E:$E, $B61, Units!$G:$G, J$4, Units!$I:$I, $C61)
)
</f>
        <v>0</v>
      </c>
      <c r="K61" s="85">
        <f>IF($C61="All",COUNTIFS(Units!$E:$E, $B61, Units!$G:$G, K$4),COUNTIFS(Units!$E:$E, $B61, Units!$G:$G, K$4, Units!$I:$I, $C61)
)
</f>
        <v>0</v>
      </c>
      <c r="L61" s="85">
        <f>IF($C61="All",COUNTIFS(Units!$E:$E, $B61, Units!$G:$G, L$4),COUNTIFS(Units!$E:$E, $B61, Units!$G:$G, L$4, Units!$I:$I, $C61)
)
</f>
        <v>0</v>
      </c>
      <c r="N61" s="85">
        <f>IF($C61="All",COUNTIFS(Units!$E:$E, $B61, Units!$G:$G, N$4),COUNTIFS(Units!$E:$E, $B61, Units!$G:$G, N$4, Units!$I:$I, $C61)
)
</f>
        <v>0</v>
      </c>
      <c r="O61" s="85">
        <f>IF($C61="All",COUNTIFS(Units!$E:$E, $B61, Units!$G:$G, O$4),COUNTIFS(Units!$E:$E, $B61, Units!$G:$G, O$4, Units!$I:$I, $C61)
)
</f>
        <v>0</v>
      </c>
      <c r="P61" s="85">
        <f>IF($C61="All",COUNTIFS(Units!$E:$E, $B61, Units!$G:$G, P$4),COUNTIFS(Units!$E:$E, $B61, Units!$G:$G, P$4, Units!$I:$I, $C61)
)
</f>
        <v>0</v>
      </c>
      <c r="Q61" s="85">
        <f>IF($C61="All",COUNTIFS(Units!$E:$E, $B61, Units!$G:$G, Q$4),COUNTIFS(Units!$E:$E, $B61, Units!$G:$G, Q$4, Units!$I:$I, $C61)
)
</f>
        <v>0</v>
      </c>
      <c r="R61" s="85">
        <f>IF($C61="All",COUNTIFS(Units!$E:$E, $B61, Units!$G:$G, R$4),COUNTIFS(Units!$E:$E, $B61, Units!$G:$G, R$4, Units!$I:$I, $C61)
)
</f>
        <v>0</v>
      </c>
      <c r="S61" s="85">
        <f>IF($C61="All",COUNTIFS(Units!$E:$E, $B61, Units!$G:$G, S$4),COUNTIFS(Units!$E:$E, $B61, Units!$G:$G, S$4, Units!$I:$I, $C61)
)
</f>
        <v>0</v>
      </c>
      <c r="T61" s="87">
        <f>IF($C61="All",COUNTIFS(Units!$E:$E, $B61, Units!$G:$G, T$4),COUNTIFS(Units!$E:$E, $B61, Units!$G:$G, T$4, Units!$I:$I, $C61)
)
</f>
        <v>0</v>
      </c>
      <c r="U61" s="87">
        <f>IF($C61="All",COUNTIFS(Units!$E:$E, $B61, Units!$G:$G, U$4),COUNTIFS(Units!$E:$E, $B61, Units!$G:$G, U$4, Units!$I:$I, $C61)
)
</f>
        <v>0</v>
      </c>
      <c r="V61" s="87">
        <f>IF($C61="All",COUNTIFS(Units!$E:$E, $B61, Units!$G:$G, V$4),COUNTIFS(Units!$E:$E, $B61, Units!$G:$G, V$4, Units!$I:$I, $C61)
)
</f>
        <v>0</v>
      </c>
      <c r="W61" s="87">
        <f>IF($C61="All",COUNTIFS(Units!$E:$E, $B61, Units!$G:$G, W$4),COUNTIFS(Units!$E:$E, $B61, Units!$G:$G, W$4, Units!$I:$I, $C61)
)
</f>
        <v>0</v>
      </c>
      <c r="X61" s="87">
        <f>IF($C61="All",COUNTIFS(Units!$E:$E, $B61, Units!$G:$G, X$4),COUNTIFS(Units!$E:$E, $B61, Units!$G:$G, X$4, Units!$I:$I, $C61)
)
</f>
        <v>0</v>
      </c>
      <c r="Y61" s="87">
        <f>IF($C61="All",COUNTIFS(Units!$E:$E, $B61, Units!$G:$G, Y$4),COUNTIFS(Units!$E:$E, $B61, Units!$G:$G, Y$4, Units!$I:$I, $C61)
)
</f>
        <v>0</v>
      </c>
      <c r="Z61" s="87">
        <f>IF($C61="All",COUNTIFS(Units!$E:$E, $B61, Units!$G:$G, Z$4),COUNTIFS(Units!$E:$E, $B61, Units!$G:$G, Z$4, Units!$I:$I, $C61)
)
</f>
        <v>0</v>
      </c>
      <c r="AA61" s="87">
        <f>IF($C61="All",COUNTIFS(Units!$E:$E, $B61, Units!$G:$G, AA$4),COUNTIFS(Units!$E:$E, $B61, Units!$G:$G, AA$4, Units!$I:$I, $C61)
)
</f>
        <v>0</v>
      </c>
      <c r="AB61" s="87">
        <f>IF($C61="All",COUNTIFS(Units!$E:$E, $B61, Units!$G:$G, AB$4),COUNTIFS(Units!$E:$E, $B61, Units!$G:$G, AB$4, Units!$I:$I, $C61)
)
</f>
        <v>0</v>
      </c>
      <c r="AC61" s="87">
        <f>IF($C61="All",COUNTIFS(Units!$E:$E, $B61, Units!$G:$G, AC$4),COUNTIFS(Units!$E:$E, $B61, Units!$G:$G, AC$4, Units!$I:$I, $C61)
)
</f>
        <v>0</v>
      </c>
      <c r="AD61" s="85">
        <f t="shared" si="2"/>
        <v>0</v>
      </c>
      <c r="AE61" s="85">
        <f t="shared" si="3"/>
        <v>0</v>
      </c>
      <c r="AF61" s="87">
        <f t="shared" si="4"/>
        <v>0</v>
      </c>
      <c r="AG61" s="91">
        <f t="shared" si="5"/>
        <v>0</v>
      </c>
      <c r="AJ61" s="94"/>
      <c r="AO61" s="94"/>
      <c r="AP61" s="85">
        <f>IF($C61="All",COUNTIFS(Units!$E:$E, $B61, Units!$M:$M, "&lt;&gt;1"),COUNTIFS(Units!$E:$E, $B61, Units!$M:$M, "&lt;&gt;1", Units!$I:$I, $C61)
)
</f>
        <v>0</v>
      </c>
      <c r="AQ61" s="94">
        <f>IF($C61="All",COUNTIFS(Units!$E:$E, $B61, Units!$S:$S, "*Maneouverable*"),COUNTIFS(Units!$E:$E, $B61, Units!$S:$S, "*Maneouverable*", Units!$I:$I, $C61)
)
</f>
        <v>0</v>
      </c>
      <c r="AR61" s="96" t="str">
        <f>IF($C61="All", 
    AVERAGEIFS(Units!$Q:$Q, Units!$E:$E, $B61, Units!$AY:$AY, false), 
    AVERAGEIFS(Units!$Q:$Q, Units!$E:$E, $B61, Units!$I:$I, $C61, Units!$AY:$AY, false)
)
</f>
        <v>#DIV/0!</v>
      </c>
      <c r="AS61" s="85">
        <f>IF($C61="All",COUNTIFS(Units!$E:$E, $B61, Units!$Q:$Q, "&lt;&gt;1"),COUNTIFS(Units!$E:$E, $B61, Units!$Q:$Q, "&lt;&gt;1", Units!$I:$I, $C61)
)</f>
        <v>0</v>
      </c>
      <c r="AT61" s="85">
        <f>AS61 - IF($C61="All",COUNTIFS(Units!$E:$E, $B61, Units!$Q:$Q, 2),COUNTIFS(Units!$E:$E, $B61, Units!$Q:$Q, 2, Units!$I:$I, $C61)
)</f>
        <v>0</v>
      </c>
      <c r="AU61" s="96" t="str">
        <f>IF($C61="All", 
    AVERAGEIFS(Units!$AQ:$AQ, Units!$E:$E, $B61, Units!$AY:$AY, false), 
    AVERAGEIFS(Units!$AQ:$AQ, Units!$E:$E, $B61, Units!$I:$I, $C61, Units!$AY:$AY, false)
)
</f>
        <v>#DIV/0!</v>
      </c>
      <c r="AV61" s="96" t="str">
        <f>IF($C61="All", 
    AVERAGEIFS(Units!$AR:$AR, Units!$E:$E, $B61, Units!$AY:$AY, false), 
    AVERAGEIFS(Units!$AR:$AR, Units!$E:$E, $B61, Units!$I:$I, $C61, Units!$AY:$AY, false)
)</f>
        <v>#DIV/0!</v>
      </c>
      <c r="AW61" s="96" t="str">
        <f>IF($C61="All", 
    AVERAGEIFS(Units!$AW:$AW, Units!$E:$E, $B61, Units!$AY:$AY, false), 
    AVERAGEIFS(Units!$AW:$AW, Units!$E:$E, $B61, Units!$I:$I, $C61, Units!$AY:$AY, false)
)
</f>
        <v>#DIV/0!</v>
      </c>
    </row>
    <row r="62" ht="22.5" hidden="1" customHeight="1">
      <c r="C62" s="94"/>
      <c r="D62" s="85">
        <f>IF($C62="All",COUNTIFS(Units!$E:$E, $B62),COUNTIFS(Units!$E:$E, $B62, Units!$I:$I, $C62)
)
</f>
        <v>0</v>
      </c>
      <c r="E62" s="85">
        <f>IF($C62="All",COUNTIFS(Units!$E:$E, $B62, Units!$G:$G, E$4),COUNTIFS(Units!$E:$E, $B62, Units!$G:$G, E$4, Units!$I:$I, $C62)
)
</f>
        <v>0</v>
      </c>
      <c r="F62" s="85">
        <f>IF($C62="All",COUNTIFS(Units!$E:$E, $B62, Units!$G:$G, F$4),COUNTIFS(Units!$E:$E, $B62, Units!$G:$G, F$4, Units!$I:$I, $C62)
)
</f>
        <v>0</v>
      </c>
      <c r="G62" s="85">
        <f>IF($C62="All",COUNTIFS(Units!$E:$E, $B62, Units!$G:$G, G$4),COUNTIFS(Units!$E:$E, $B62, Units!$G:$G, G$4, Units!$I:$I, $C62)
)
</f>
        <v>0</v>
      </c>
      <c r="H62" s="85">
        <f>IF($C62="All",COUNTIFS(Units!$E:$E, $B62, Units!$G:$G, H$4),COUNTIFS(Units!$E:$E, $B62, Units!$G:$G, H$4, Units!$I:$I, $C62)
)
</f>
        <v>0</v>
      </c>
      <c r="I62" s="85">
        <f>IF($C62="All",COUNTIFS(Units!$E:$E, $B62, Units!$G:$G, I$4),COUNTIFS(Units!$E:$E, $B62, Units!$G:$G, I$4, Units!$I:$I, $C62)
)
</f>
        <v>0</v>
      </c>
      <c r="J62" s="85">
        <f>IF($C62="All",COUNTIFS(Units!$E:$E, $B62, Units!$G:$G, J$4),COUNTIFS(Units!$E:$E, $B62, Units!$G:$G, J$4, Units!$I:$I, $C62)
)
</f>
        <v>0</v>
      </c>
      <c r="K62" s="85">
        <f>IF($C62="All",COUNTIFS(Units!$E:$E, $B62, Units!$G:$G, K$4),COUNTIFS(Units!$E:$E, $B62, Units!$G:$G, K$4, Units!$I:$I, $C62)
)
</f>
        <v>0</v>
      </c>
      <c r="L62" s="85">
        <f>IF($C62="All",COUNTIFS(Units!$E:$E, $B62, Units!$G:$G, L$4),COUNTIFS(Units!$E:$E, $B62, Units!$G:$G, L$4, Units!$I:$I, $C62)
)
</f>
        <v>0</v>
      </c>
      <c r="N62" s="85">
        <f>IF($C62="All",COUNTIFS(Units!$E:$E, $B62, Units!$G:$G, N$4),COUNTIFS(Units!$E:$E, $B62, Units!$G:$G, N$4, Units!$I:$I, $C62)
)
</f>
        <v>0</v>
      </c>
      <c r="O62" s="85">
        <f>IF($C62="All",COUNTIFS(Units!$E:$E, $B62, Units!$G:$G, O$4),COUNTIFS(Units!$E:$E, $B62, Units!$G:$G, O$4, Units!$I:$I, $C62)
)
</f>
        <v>0</v>
      </c>
      <c r="P62" s="85">
        <f>IF($C62="All",COUNTIFS(Units!$E:$E, $B62, Units!$G:$G, P$4),COUNTIFS(Units!$E:$E, $B62, Units!$G:$G, P$4, Units!$I:$I, $C62)
)
</f>
        <v>0</v>
      </c>
      <c r="Q62" s="85">
        <f>IF($C62="All",COUNTIFS(Units!$E:$E, $B62, Units!$G:$G, Q$4),COUNTIFS(Units!$E:$E, $B62, Units!$G:$G, Q$4, Units!$I:$I, $C62)
)
</f>
        <v>0</v>
      </c>
      <c r="R62" s="85">
        <f>IF($C62="All",COUNTIFS(Units!$E:$E, $B62, Units!$G:$G, R$4),COUNTIFS(Units!$E:$E, $B62, Units!$G:$G, R$4, Units!$I:$I, $C62)
)
</f>
        <v>0</v>
      </c>
      <c r="S62" s="85">
        <f>IF($C62="All",COUNTIFS(Units!$E:$E, $B62, Units!$G:$G, S$4),COUNTIFS(Units!$E:$E, $B62, Units!$G:$G, S$4, Units!$I:$I, $C62)
)
</f>
        <v>0</v>
      </c>
      <c r="T62" s="87">
        <f>IF($C62="All",COUNTIFS(Units!$E:$E, $B62, Units!$G:$G, T$4),COUNTIFS(Units!$E:$E, $B62, Units!$G:$G, T$4, Units!$I:$I, $C62)
)
</f>
        <v>0</v>
      </c>
      <c r="U62" s="87">
        <f>IF($C62="All",COUNTIFS(Units!$E:$E, $B62, Units!$G:$G, U$4),COUNTIFS(Units!$E:$E, $B62, Units!$G:$G, U$4, Units!$I:$I, $C62)
)
</f>
        <v>0</v>
      </c>
      <c r="V62" s="87">
        <f>IF($C62="All",COUNTIFS(Units!$E:$E, $B62, Units!$G:$G, V$4),COUNTIFS(Units!$E:$E, $B62, Units!$G:$G, V$4, Units!$I:$I, $C62)
)
</f>
        <v>0</v>
      </c>
      <c r="W62" s="87">
        <f>IF($C62="All",COUNTIFS(Units!$E:$E, $B62, Units!$G:$G, W$4),COUNTIFS(Units!$E:$E, $B62, Units!$G:$G, W$4, Units!$I:$I, $C62)
)
</f>
        <v>0</v>
      </c>
      <c r="X62" s="87">
        <f>IF($C62="All",COUNTIFS(Units!$E:$E, $B62, Units!$G:$G, X$4),COUNTIFS(Units!$E:$E, $B62, Units!$G:$G, X$4, Units!$I:$I, $C62)
)
</f>
        <v>0</v>
      </c>
      <c r="Y62" s="87">
        <f>IF($C62="All",COUNTIFS(Units!$E:$E, $B62, Units!$G:$G, Y$4),COUNTIFS(Units!$E:$E, $B62, Units!$G:$G, Y$4, Units!$I:$I, $C62)
)
</f>
        <v>0</v>
      </c>
      <c r="Z62" s="87">
        <f>IF($C62="All",COUNTIFS(Units!$E:$E, $B62, Units!$G:$G, Z$4),COUNTIFS(Units!$E:$E, $B62, Units!$G:$G, Z$4, Units!$I:$I, $C62)
)
</f>
        <v>0</v>
      </c>
      <c r="AA62" s="87">
        <f>IF($C62="All",COUNTIFS(Units!$E:$E, $B62, Units!$G:$G, AA$4),COUNTIFS(Units!$E:$E, $B62, Units!$G:$G, AA$4, Units!$I:$I, $C62)
)
</f>
        <v>0</v>
      </c>
      <c r="AB62" s="87">
        <f>IF($C62="All",COUNTIFS(Units!$E:$E, $B62, Units!$G:$G, AB$4),COUNTIFS(Units!$E:$E, $B62, Units!$G:$G, AB$4, Units!$I:$I, $C62)
)
</f>
        <v>0</v>
      </c>
      <c r="AC62" s="87">
        <f>IF($C62="All",COUNTIFS(Units!$E:$E, $B62, Units!$G:$G, AC$4),COUNTIFS(Units!$E:$E, $B62, Units!$G:$G, AC$4, Units!$I:$I, $C62)
)
</f>
        <v>0</v>
      </c>
      <c r="AD62" s="85">
        <f t="shared" si="2"/>
        <v>0</v>
      </c>
      <c r="AE62" s="85">
        <f t="shared" si="3"/>
        <v>0</v>
      </c>
      <c r="AF62" s="87">
        <f t="shared" si="4"/>
        <v>0</v>
      </c>
      <c r="AG62" s="91">
        <f t="shared" si="5"/>
        <v>0</v>
      </c>
      <c r="AJ62" s="94"/>
      <c r="AO62" s="94"/>
      <c r="AP62" s="85">
        <f>IF($C62="All",COUNTIFS(Units!$E:$E, $B62, Units!$M:$M, "&lt;&gt;1"),COUNTIFS(Units!$E:$E, $B62, Units!$M:$M, "&lt;&gt;1", Units!$I:$I, $C62)
)
</f>
        <v>0</v>
      </c>
      <c r="AQ62" s="94">
        <f>IF($C62="All",COUNTIFS(Units!$E:$E, $B62, Units!$S:$S, "*Maneouverable*"),COUNTIFS(Units!$E:$E, $B62, Units!$S:$S, "*Maneouverable*", Units!$I:$I, $C62)
)
</f>
        <v>0</v>
      </c>
      <c r="AR62" s="96" t="str">
        <f>IF($C62="All", 
    AVERAGEIFS(Units!$Q:$Q, Units!$E:$E, $B62, Units!$AY:$AY, false), 
    AVERAGEIFS(Units!$Q:$Q, Units!$E:$E, $B62, Units!$I:$I, $C62, Units!$AY:$AY, false)
)
</f>
        <v>#DIV/0!</v>
      </c>
      <c r="AS62" s="85">
        <f>IF($C62="All",COUNTIFS(Units!$E:$E, $B62, Units!$Q:$Q, "&lt;&gt;1"),COUNTIFS(Units!$E:$E, $B62, Units!$Q:$Q, "&lt;&gt;1", Units!$I:$I, $C62)
)</f>
        <v>0</v>
      </c>
      <c r="AT62" s="85">
        <f>AS62 - IF($C62="All",COUNTIFS(Units!$E:$E, $B62, Units!$Q:$Q, 2),COUNTIFS(Units!$E:$E, $B62, Units!$Q:$Q, 2, Units!$I:$I, $C62)
)</f>
        <v>0</v>
      </c>
      <c r="AU62" s="96" t="str">
        <f>IF($C62="All", 
    AVERAGEIFS(Units!$AQ:$AQ, Units!$E:$E, $B62, Units!$AY:$AY, false), 
    AVERAGEIFS(Units!$AQ:$AQ, Units!$E:$E, $B62, Units!$I:$I, $C62, Units!$AY:$AY, false)
)
</f>
        <v>#DIV/0!</v>
      </c>
      <c r="AV62" s="96" t="str">
        <f>IF($C62="All", 
    AVERAGEIFS(Units!$AR:$AR, Units!$E:$E, $B62, Units!$AY:$AY, false), 
    AVERAGEIFS(Units!$AR:$AR, Units!$E:$E, $B62, Units!$I:$I, $C62, Units!$AY:$AY, false)
)</f>
        <v>#DIV/0!</v>
      </c>
      <c r="AW62" s="96" t="str">
        <f>IF($C62="All", 
    AVERAGEIFS(Units!$AW:$AW, Units!$E:$E, $B62, Units!$AY:$AY, false), 
    AVERAGEIFS(Units!$AW:$AW, Units!$E:$E, $B62, Units!$I:$I, $C62, Units!$AY:$AY, false)
)
</f>
        <v>#DIV/0!</v>
      </c>
    </row>
    <row r="63" ht="22.5" hidden="1" customHeight="1">
      <c r="C63" s="94"/>
      <c r="D63" s="85">
        <f>IF($C63="All",COUNTIFS(Units!$E:$E, $B63),COUNTIFS(Units!$E:$E, $B63, Units!$I:$I, $C63)
)
</f>
        <v>0</v>
      </c>
      <c r="E63" s="85">
        <f>IF($C63="All",COUNTIFS(Units!$E:$E, $B63, Units!$G:$G, E$4),COUNTIFS(Units!$E:$E, $B63, Units!$G:$G, E$4, Units!$I:$I, $C63)
)
</f>
        <v>0</v>
      </c>
      <c r="F63" s="85">
        <f>IF($C63="All",COUNTIFS(Units!$E:$E, $B63, Units!$G:$G, F$4),COUNTIFS(Units!$E:$E, $B63, Units!$G:$G, F$4, Units!$I:$I, $C63)
)
</f>
        <v>0</v>
      </c>
      <c r="G63" s="85">
        <f>IF($C63="All",COUNTIFS(Units!$E:$E, $B63, Units!$G:$G, G$4),COUNTIFS(Units!$E:$E, $B63, Units!$G:$G, G$4, Units!$I:$I, $C63)
)
</f>
        <v>0</v>
      </c>
      <c r="H63" s="85">
        <f>IF($C63="All",COUNTIFS(Units!$E:$E, $B63, Units!$G:$G, H$4),COUNTIFS(Units!$E:$E, $B63, Units!$G:$G, H$4, Units!$I:$I, $C63)
)
</f>
        <v>0</v>
      </c>
      <c r="I63" s="85">
        <f>IF($C63="All",COUNTIFS(Units!$E:$E, $B63, Units!$G:$G, I$4),COUNTIFS(Units!$E:$E, $B63, Units!$G:$G, I$4, Units!$I:$I, $C63)
)
</f>
        <v>0</v>
      </c>
      <c r="J63" s="85">
        <f>IF($C63="All",COUNTIFS(Units!$E:$E, $B63, Units!$G:$G, J$4),COUNTIFS(Units!$E:$E, $B63, Units!$G:$G, J$4, Units!$I:$I, $C63)
)
</f>
        <v>0</v>
      </c>
      <c r="K63" s="85">
        <f>IF($C63="All",COUNTIFS(Units!$E:$E, $B63, Units!$G:$G, K$4),COUNTIFS(Units!$E:$E, $B63, Units!$G:$G, K$4, Units!$I:$I, $C63)
)
</f>
        <v>0</v>
      </c>
      <c r="L63" s="85">
        <f>IF($C63="All",COUNTIFS(Units!$E:$E, $B63, Units!$G:$G, L$4),COUNTIFS(Units!$E:$E, $B63, Units!$G:$G, L$4, Units!$I:$I, $C63)
)
</f>
        <v>0</v>
      </c>
      <c r="N63" s="85">
        <f>IF($C63="All",COUNTIFS(Units!$E:$E, $B63, Units!$G:$G, N$4),COUNTIFS(Units!$E:$E, $B63, Units!$G:$G, N$4, Units!$I:$I, $C63)
)
</f>
        <v>0</v>
      </c>
      <c r="O63" s="85">
        <f>IF($C63="All",COUNTIFS(Units!$E:$E, $B63, Units!$G:$G, O$4),COUNTIFS(Units!$E:$E, $B63, Units!$G:$G, O$4, Units!$I:$I, $C63)
)
</f>
        <v>0</v>
      </c>
      <c r="P63" s="85">
        <f>IF($C63="All",COUNTIFS(Units!$E:$E, $B63, Units!$G:$G, P$4),COUNTIFS(Units!$E:$E, $B63, Units!$G:$G, P$4, Units!$I:$I, $C63)
)
</f>
        <v>0</v>
      </c>
      <c r="Q63" s="85">
        <f>IF($C63="All",COUNTIFS(Units!$E:$E, $B63, Units!$G:$G, Q$4),COUNTIFS(Units!$E:$E, $B63, Units!$G:$G, Q$4, Units!$I:$I, $C63)
)
</f>
        <v>0</v>
      </c>
      <c r="R63" s="85">
        <f>IF($C63="All",COUNTIFS(Units!$E:$E, $B63, Units!$G:$G, R$4),COUNTIFS(Units!$E:$E, $B63, Units!$G:$G, R$4, Units!$I:$I, $C63)
)
</f>
        <v>0</v>
      </c>
      <c r="S63" s="85">
        <f>IF($C63="All",COUNTIFS(Units!$E:$E, $B63, Units!$G:$G, S$4),COUNTIFS(Units!$E:$E, $B63, Units!$G:$G, S$4, Units!$I:$I, $C63)
)
</f>
        <v>0</v>
      </c>
      <c r="T63" s="87">
        <f>IF($C63="All",COUNTIFS(Units!$E:$E, $B63, Units!$G:$G, T$4),COUNTIFS(Units!$E:$E, $B63, Units!$G:$G, T$4, Units!$I:$I, $C63)
)
</f>
        <v>0</v>
      </c>
      <c r="U63" s="87">
        <f>IF($C63="All",COUNTIFS(Units!$E:$E, $B63, Units!$G:$G, U$4),COUNTIFS(Units!$E:$E, $B63, Units!$G:$G, U$4, Units!$I:$I, $C63)
)
</f>
        <v>0</v>
      </c>
      <c r="V63" s="87">
        <f>IF($C63="All",COUNTIFS(Units!$E:$E, $B63, Units!$G:$G, V$4),COUNTIFS(Units!$E:$E, $B63, Units!$G:$G, V$4, Units!$I:$I, $C63)
)
</f>
        <v>0</v>
      </c>
      <c r="W63" s="87">
        <f>IF($C63="All",COUNTIFS(Units!$E:$E, $B63, Units!$G:$G, W$4),COUNTIFS(Units!$E:$E, $B63, Units!$G:$G, W$4, Units!$I:$I, $C63)
)
</f>
        <v>0</v>
      </c>
      <c r="X63" s="87">
        <f>IF($C63="All",COUNTIFS(Units!$E:$E, $B63, Units!$G:$G, X$4),COUNTIFS(Units!$E:$E, $B63, Units!$G:$G, X$4, Units!$I:$I, $C63)
)
</f>
        <v>0</v>
      </c>
      <c r="Y63" s="87">
        <f>IF($C63="All",COUNTIFS(Units!$E:$E, $B63, Units!$G:$G, Y$4),COUNTIFS(Units!$E:$E, $B63, Units!$G:$G, Y$4, Units!$I:$I, $C63)
)
</f>
        <v>0</v>
      </c>
      <c r="Z63" s="87">
        <f>IF($C63="All",COUNTIFS(Units!$E:$E, $B63, Units!$G:$G, Z$4),COUNTIFS(Units!$E:$E, $B63, Units!$G:$G, Z$4, Units!$I:$I, $C63)
)
</f>
        <v>0</v>
      </c>
      <c r="AA63" s="87">
        <f>IF($C63="All",COUNTIFS(Units!$E:$E, $B63, Units!$G:$G, AA$4),COUNTIFS(Units!$E:$E, $B63, Units!$G:$G, AA$4, Units!$I:$I, $C63)
)
</f>
        <v>0</v>
      </c>
      <c r="AB63" s="87">
        <f>IF($C63="All",COUNTIFS(Units!$E:$E, $B63, Units!$G:$G, AB$4),COUNTIFS(Units!$E:$E, $B63, Units!$G:$G, AB$4, Units!$I:$I, $C63)
)
</f>
        <v>0</v>
      </c>
      <c r="AC63" s="87">
        <f>IF($C63="All",COUNTIFS(Units!$E:$E, $B63, Units!$G:$G, AC$4),COUNTIFS(Units!$E:$E, $B63, Units!$G:$G, AC$4, Units!$I:$I, $C63)
)
</f>
        <v>0</v>
      </c>
      <c r="AD63" s="85">
        <f t="shared" si="2"/>
        <v>0</v>
      </c>
      <c r="AE63" s="85">
        <f t="shared" si="3"/>
        <v>0</v>
      </c>
      <c r="AF63" s="87">
        <f t="shared" si="4"/>
        <v>0</v>
      </c>
      <c r="AG63" s="91">
        <f t="shared" si="5"/>
        <v>0</v>
      </c>
      <c r="AJ63" s="94"/>
      <c r="AO63" s="94"/>
      <c r="AP63" s="85">
        <f>IF($C63="All",COUNTIFS(Units!$E:$E, $B63, Units!$M:$M, "&lt;&gt;1"),COUNTIFS(Units!$E:$E, $B63, Units!$M:$M, "&lt;&gt;1", Units!$I:$I, $C63)
)
</f>
        <v>0</v>
      </c>
      <c r="AQ63" s="94">
        <f>IF($C63="All",COUNTIFS(Units!$E:$E, $B63, Units!$S:$S, "*Maneouverable*"),COUNTIFS(Units!$E:$E, $B63, Units!$S:$S, "*Maneouverable*", Units!$I:$I, $C63)
)
</f>
        <v>0</v>
      </c>
      <c r="AR63" s="96" t="str">
        <f>IF($C63="All", 
    AVERAGEIFS(Units!$Q:$Q, Units!$E:$E, $B63, Units!$AY:$AY, false), 
    AVERAGEIFS(Units!$Q:$Q, Units!$E:$E, $B63, Units!$I:$I, $C63, Units!$AY:$AY, false)
)
</f>
        <v>#DIV/0!</v>
      </c>
      <c r="AS63" s="85">
        <f>IF($C63="All",COUNTIFS(Units!$E:$E, $B63, Units!$Q:$Q, "&lt;&gt;1"),COUNTIFS(Units!$E:$E, $B63, Units!$Q:$Q, "&lt;&gt;1", Units!$I:$I, $C63)
)</f>
        <v>0</v>
      </c>
      <c r="AT63" s="85">
        <f>AS63 - IF($C63="All",COUNTIFS(Units!$E:$E, $B63, Units!$Q:$Q, 2),COUNTIFS(Units!$E:$E, $B63, Units!$Q:$Q, 2, Units!$I:$I, $C63)
)</f>
        <v>0</v>
      </c>
      <c r="AU63" s="96" t="str">
        <f>IF($C63="All", 
    AVERAGEIFS(Units!$AQ:$AQ, Units!$E:$E, $B63, Units!$AY:$AY, false), 
    AVERAGEIFS(Units!$AQ:$AQ, Units!$E:$E, $B63, Units!$I:$I, $C63, Units!$AY:$AY, false)
)
</f>
        <v>#DIV/0!</v>
      </c>
      <c r="AV63" s="96" t="str">
        <f>IF($C63="All", 
    AVERAGEIFS(Units!$AR:$AR, Units!$E:$E, $B63, Units!$AY:$AY, false), 
    AVERAGEIFS(Units!$AR:$AR, Units!$E:$E, $B63, Units!$I:$I, $C63, Units!$AY:$AY, false)
)</f>
        <v>#DIV/0!</v>
      </c>
      <c r="AW63" s="96" t="str">
        <f>IF($C63="All", 
    AVERAGEIFS(Units!$AW:$AW, Units!$E:$E, $B63, Units!$AY:$AY, false), 
    AVERAGEIFS(Units!$AW:$AW, Units!$E:$E, $B63, Units!$I:$I, $C63, Units!$AY:$AY, false)
)
</f>
        <v>#DIV/0!</v>
      </c>
    </row>
    <row r="64" ht="22.5" hidden="1" customHeight="1">
      <c r="C64" s="94"/>
      <c r="D64" s="85">
        <f>IF($C64="All",COUNTIFS(Units!$E:$E, $B64),COUNTIFS(Units!$E:$E, $B64, Units!$I:$I, $C64)
)
</f>
        <v>0</v>
      </c>
      <c r="E64" s="85">
        <f>IF($C64="All",COUNTIFS(Units!$E:$E, $B64, Units!$G:$G, E$4),COUNTIFS(Units!$E:$E, $B64, Units!$G:$G, E$4, Units!$I:$I, $C64)
)
</f>
        <v>0</v>
      </c>
      <c r="F64" s="85">
        <f>IF($C64="All",COUNTIFS(Units!$E:$E, $B64, Units!$G:$G, F$4),COUNTIFS(Units!$E:$E, $B64, Units!$G:$G, F$4, Units!$I:$I, $C64)
)
</f>
        <v>0</v>
      </c>
      <c r="G64" s="85">
        <f>IF($C64="All",COUNTIFS(Units!$E:$E, $B64, Units!$G:$G, G$4),COUNTIFS(Units!$E:$E, $B64, Units!$G:$G, G$4, Units!$I:$I, $C64)
)
</f>
        <v>0</v>
      </c>
      <c r="H64" s="85">
        <f>IF($C64="All",COUNTIFS(Units!$E:$E, $B64, Units!$G:$G, H$4),COUNTIFS(Units!$E:$E, $B64, Units!$G:$G, H$4, Units!$I:$I, $C64)
)
</f>
        <v>0</v>
      </c>
      <c r="I64" s="85">
        <f>IF($C64="All",COUNTIFS(Units!$E:$E, $B64, Units!$G:$G, I$4),COUNTIFS(Units!$E:$E, $B64, Units!$G:$G, I$4, Units!$I:$I, $C64)
)
</f>
        <v>0</v>
      </c>
      <c r="J64" s="85">
        <f>IF($C64="All",COUNTIFS(Units!$E:$E, $B64, Units!$G:$G, J$4),COUNTIFS(Units!$E:$E, $B64, Units!$G:$G, J$4, Units!$I:$I, $C64)
)
</f>
        <v>0</v>
      </c>
      <c r="K64" s="85">
        <f>IF($C64="All",COUNTIFS(Units!$E:$E, $B64, Units!$G:$G, K$4),COUNTIFS(Units!$E:$E, $B64, Units!$G:$G, K$4, Units!$I:$I, $C64)
)
</f>
        <v>0</v>
      </c>
      <c r="L64" s="85">
        <f>IF($C64="All",COUNTIFS(Units!$E:$E, $B64, Units!$G:$G, L$4),COUNTIFS(Units!$E:$E, $B64, Units!$G:$G, L$4, Units!$I:$I, $C64)
)
</f>
        <v>0</v>
      </c>
      <c r="N64" s="85">
        <f>IF($C64="All",COUNTIFS(Units!$E:$E, $B64, Units!$G:$G, N$4),COUNTIFS(Units!$E:$E, $B64, Units!$G:$G, N$4, Units!$I:$I, $C64)
)
</f>
        <v>0</v>
      </c>
      <c r="O64" s="85">
        <f>IF($C64="All",COUNTIFS(Units!$E:$E, $B64, Units!$G:$G, O$4),COUNTIFS(Units!$E:$E, $B64, Units!$G:$G, O$4, Units!$I:$I, $C64)
)
</f>
        <v>0</v>
      </c>
      <c r="P64" s="85">
        <f>IF($C64="All",COUNTIFS(Units!$E:$E, $B64, Units!$G:$G, P$4),COUNTIFS(Units!$E:$E, $B64, Units!$G:$G, P$4, Units!$I:$I, $C64)
)
</f>
        <v>0</v>
      </c>
      <c r="Q64" s="85">
        <f>IF($C64="All",COUNTIFS(Units!$E:$E, $B64, Units!$G:$G, Q$4),COUNTIFS(Units!$E:$E, $B64, Units!$G:$G, Q$4, Units!$I:$I, $C64)
)
</f>
        <v>0</v>
      </c>
      <c r="R64" s="85">
        <f>IF($C64="All",COUNTIFS(Units!$E:$E, $B64, Units!$G:$G, R$4),COUNTIFS(Units!$E:$E, $B64, Units!$G:$G, R$4, Units!$I:$I, $C64)
)
</f>
        <v>0</v>
      </c>
      <c r="S64" s="85">
        <f>IF($C64="All",COUNTIFS(Units!$E:$E, $B64, Units!$G:$G, S$4),COUNTIFS(Units!$E:$E, $B64, Units!$G:$G, S$4, Units!$I:$I, $C64)
)
</f>
        <v>0</v>
      </c>
      <c r="T64" s="87">
        <f>IF($C64="All",COUNTIFS(Units!$E:$E, $B64, Units!$G:$G, T$4),COUNTIFS(Units!$E:$E, $B64, Units!$G:$G, T$4, Units!$I:$I, $C64)
)
</f>
        <v>0</v>
      </c>
      <c r="U64" s="87">
        <f>IF($C64="All",COUNTIFS(Units!$E:$E, $B64, Units!$G:$G, U$4),COUNTIFS(Units!$E:$E, $B64, Units!$G:$G, U$4, Units!$I:$I, $C64)
)
</f>
        <v>0</v>
      </c>
      <c r="V64" s="87">
        <f>IF($C64="All",COUNTIFS(Units!$E:$E, $B64, Units!$G:$G, V$4),COUNTIFS(Units!$E:$E, $B64, Units!$G:$G, V$4, Units!$I:$I, $C64)
)
</f>
        <v>0</v>
      </c>
      <c r="W64" s="87">
        <f>IF($C64="All",COUNTIFS(Units!$E:$E, $B64, Units!$G:$G, W$4),COUNTIFS(Units!$E:$E, $B64, Units!$G:$G, W$4, Units!$I:$I, $C64)
)
</f>
        <v>0</v>
      </c>
      <c r="X64" s="87">
        <f>IF($C64="All",COUNTIFS(Units!$E:$E, $B64, Units!$G:$G, X$4),COUNTIFS(Units!$E:$E, $B64, Units!$G:$G, X$4, Units!$I:$I, $C64)
)
</f>
        <v>0</v>
      </c>
      <c r="Y64" s="87">
        <f>IF($C64="All",COUNTIFS(Units!$E:$E, $B64, Units!$G:$G, Y$4),COUNTIFS(Units!$E:$E, $B64, Units!$G:$G, Y$4, Units!$I:$I, $C64)
)
</f>
        <v>0</v>
      </c>
      <c r="Z64" s="87">
        <f>IF($C64="All",COUNTIFS(Units!$E:$E, $B64, Units!$G:$G, Z$4),COUNTIFS(Units!$E:$E, $B64, Units!$G:$G, Z$4, Units!$I:$I, $C64)
)
</f>
        <v>0</v>
      </c>
      <c r="AA64" s="87">
        <f>IF($C64="All",COUNTIFS(Units!$E:$E, $B64, Units!$G:$G, AA$4),COUNTIFS(Units!$E:$E, $B64, Units!$G:$G, AA$4, Units!$I:$I, $C64)
)
</f>
        <v>0</v>
      </c>
      <c r="AB64" s="87">
        <f>IF($C64="All",COUNTIFS(Units!$E:$E, $B64, Units!$G:$G, AB$4),COUNTIFS(Units!$E:$E, $B64, Units!$G:$G, AB$4, Units!$I:$I, $C64)
)
</f>
        <v>0</v>
      </c>
      <c r="AC64" s="87">
        <f>IF($C64="All",COUNTIFS(Units!$E:$E, $B64, Units!$G:$G, AC$4),COUNTIFS(Units!$E:$E, $B64, Units!$G:$G, AC$4, Units!$I:$I, $C64)
)
</f>
        <v>0</v>
      </c>
      <c r="AD64" s="85">
        <f t="shared" si="2"/>
        <v>0</v>
      </c>
      <c r="AE64" s="85">
        <f t="shared" si="3"/>
        <v>0</v>
      </c>
      <c r="AF64" s="87">
        <f t="shared" si="4"/>
        <v>0</v>
      </c>
      <c r="AG64" s="91">
        <f t="shared" si="5"/>
        <v>0</v>
      </c>
      <c r="AJ64" s="94"/>
      <c r="AO64" s="94"/>
      <c r="AP64" s="85">
        <f>IF($C64="All",COUNTIFS(Units!$E:$E, $B64, Units!$M:$M, "&lt;&gt;1"),COUNTIFS(Units!$E:$E, $B64, Units!$M:$M, "&lt;&gt;1", Units!$I:$I, $C64)
)
</f>
        <v>0</v>
      </c>
      <c r="AQ64" s="94">
        <f>IF($C64="All",COUNTIFS(Units!$E:$E, $B64, Units!$S:$S, "*Maneouverable*"),COUNTIFS(Units!$E:$E, $B64, Units!$S:$S, "*Maneouverable*", Units!$I:$I, $C64)
)
</f>
        <v>0</v>
      </c>
      <c r="AR64" s="96" t="str">
        <f>IF($C64="All", 
    AVERAGEIFS(Units!$Q:$Q, Units!$E:$E, $B64, Units!$AY:$AY, false), 
    AVERAGEIFS(Units!$Q:$Q, Units!$E:$E, $B64, Units!$I:$I, $C64, Units!$AY:$AY, false)
)
</f>
        <v>#DIV/0!</v>
      </c>
      <c r="AS64" s="85">
        <f>IF($C64="All",COUNTIFS(Units!$E:$E, $B64, Units!$Q:$Q, "&lt;&gt;1"),COUNTIFS(Units!$E:$E, $B64, Units!$Q:$Q, "&lt;&gt;1", Units!$I:$I, $C64)
)</f>
        <v>0</v>
      </c>
      <c r="AT64" s="85">
        <f>AS64 - IF($C64="All",COUNTIFS(Units!$E:$E, $B64, Units!$Q:$Q, 2),COUNTIFS(Units!$E:$E, $B64, Units!$Q:$Q, 2, Units!$I:$I, $C64)
)</f>
        <v>0</v>
      </c>
      <c r="AU64" s="96" t="str">
        <f>IF($C64="All", 
    AVERAGEIFS(Units!$AQ:$AQ, Units!$E:$E, $B64, Units!$AY:$AY, false), 
    AVERAGEIFS(Units!$AQ:$AQ, Units!$E:$E, $B64, Units!$I:$I, $C64, Units!$AY:$AY, false)
)
</f>
        <v>#DIV/0!</v>
      </c>
      <c r="AV64" s="96" t="str">
        <f>IF($C64="All", 
    AVERAGEIFS(Units!$AR:$AR, Units!$E:$E, $B64, Units!$AY:$AY, false), 
    AVERAGEIFS(Units!$AR:$AR, Units!$E:$E, $B64, Units!$I:$I, $C64, Units!$AY:$AY, false)
)</f>
        <v>#DIV/0!</v>
      </c>
      <c r="AW64" s="96" t="str">
        <f>IF($C64="All", 
    AVERAGEIFS(Units!$AW:$AW, Units!$E:$E, $B64, Units!$AY:$AY, false), 
    AVERAGEIFS(Units!$AW:$AW, Units!$E:$E, $B64, Units!$I:$I, $C64, Units!$AY:$AY, false)
)
</f>
        <v>#DIV/0!</v>
      </c>
    </row>
    <row r="65" ht="22.5" hidden="1" customHeight="1">
      <c r="C65" s="94"/>
      <c r="D65" s="85">
        <f>IF($C65="All",COUNTIFS(Units!$E:$E, $B65),COUNTIFS(Units!$E:$E, $B65, Units!$I:$I, $C65)
)
</f>
        <v>0</v>
      </c>
      <c r="E65" s="85">
        <f>IF($C65="All",COUNTIFS(Units!$E:$E, $B65, Units!$G:$G, E$4),COUNTIFS(Units!$E:$E, $B65, Units!$G:$G, E$4, Units!$I:$I, $C65)
)
</f>
        <v>0</v>
      </c>
      <c r="F65" s="85">
        <f>IF($C65="All",COUNTIFS(Units!$E:$E, $B65, Units!$G:$G, F$4),COUNTIFS(Units!$E:$E, $B65, Units!$G:$G, F$4, Units!$I:$I, $C65)
)
</f>
        <v>0</v>
      </c>
      <c r="G65" s="85">
        <f>IF($C65="All",COUNTIFS(Units!$E:$E, $B65, Units!$G:$G, G$4),COUNTIFS(Units!$E:$E, $B65, Units!$G:$G, G$4, Units!$I:$I, $C65)
)
</f>
        <v>0</v>
      </c>
      <c r="H65" s="85">
        <f>IF($C65="All",COUNTIFS(Units!$E:$E, $B65, Units!$G:$G, H$4),COUNTIFS(Units!$E:$E, $B65, Units!$G:$G, H$4, Units!$I:$I, $C65)
)
</f>
        <v>0</v>
      </c>
      <c r="I65" s="85">
        <f>IF($C65="All",COUNTIFS(Units!$E:$E, $B65, Units!$G:$G, I$4),COUNTIFS(Units!$E:$E, $B65, Units!$G:$G, I$4, Units!$I:$I, $C65)
)
</f>
        <v>0</v>
      </c>
      <c r="J65" s="85">
        <f>IF($C65="All",COUNTIFS(Units!$E:$E, $B65, Units!$G:$G, J$4),COUNTIFS(Units!$E:$E, $B65, Units!$G:$G, J$4, Units!$I:$I, $C65)
)
</f>
        <v>0</v>
      </c>
      <c r="K65" s="85">
        <f>IF($C65="All",COUNTIFS(Units!$E:$E, $B65, Units!$G:$G, K$4),COUNTIFS(Units!$E:$E, $B65, Units!$G:$G, K$4, Units!$I:$I, $C65)
)
</f>
        <v>0</v>
      </c>
      <c r="L65" s="85">
        <f>IF($C65="All",COUNTIFS(Units!$E:$E, $B65, Units!$G:$G, L$4),COUNTIFS(Units!$E:$E, $B65, Units!$G:$G, L$4, Units!$I:$I, $C65)
)
</f>
        <v>0</v>
      </c>
      <c r="N65" s="85">
        <f>IF($C65="All",COUNTIFS(Units!$E:$E, $B65, Units!$G:$G, N$4),COUNTIFS(Units!$E:$E, $B65, Units!$G:$G, N$4, Units!$I:$I, $C65)
)
</f>
        <v>0</v>
      </c>
      <c r="O65" s="85">
        <f>IF($C65="All",COUNTIFS(Units!$E:$E, $B65, Units!$G:$G, O$4),COUNTIFS(Units!$E:$E, $B65, Units!$G:$G, O$4, Units!$I:$I, $C65)
)
</f>
        <v>0</v>
      </c>
      <c r="P65" s="85">
        <f>IF($C65="All",COUNTIFS(Units!$E:$E, $B65, Units!$G:$G, P$4),COUNTIFS(Units!$E:$E, $B65, Units!$G:$G, P$4, Units!$I:$I, $C65)
)
</f>
        <v>0</v>
      </c>
      <c r="Q65" s="85">
        <f>IF($C65="All",COUNTIFS(Units!$E:$E, $B65, Units!$G:$G, Q$4),COUNTIFS(Units!$E:$E, $B65, Units!$G:$G, Q$4, Units!$I:$I, $C65)
)
</f>
        <v>0</v>
      </c>
      <c r="R65" s="85">
        <f>IF($C65="All",COUNTIFS(Units!$E:$E, $B65, Units!$G:$G, R$4),COUNTIFS(Units!$E:$E, $B65, Units!$G:$G, R$4, Units!$I:$I, $C65)
)
</f>
        <v>0</v>
      </c>
      <c r="S65" s="85">
        <f>IF($C65="All",COUNTIFS(Units!$E:$E, $B65, Units!$G:$G, S$4),COUNTIFS(Units!$E:$E, $B65, Units!$G:$G, S$4, Units!$I:$I, $C65)
)
</f>
        <v>0</v>
      </c>
      <c r="T65" s="87">
        <f>IF($C65="All",COUNTIFS(Units!$E:$E, $B65, Units!$G:$G, T$4),COUNTIFS(Units!$E:$E, $B65, Units!$G:$G, T$4, Units!$I:$I, $C65)
)
</f>
        <v>0</v>
      </c>
      <c r="U65" s="87">
        <f>IF($C65="All",COUNTIFS(Units!$E:$E, $B65, Units!$G:$G, U$4),COUNTIFS(Units!$E:$E, $B65, Units!$G:$G, U$4, Units!$I:$I, $C65)
)
</f>
        <v>0</v>
      </c>
      <c r="V65" s="87">
        <f>IF($C65="All",COUNTIFS(Units!$E:$E, $B65, Units!$G:$G, V$4),COUNTIFS(Units!$E:$E, $B65, Units!$G:$G, V$4, Units!$I:$I, $C65)
)
</f>
        <v>0</v>
      </c>
      <c r="W65" s="87">
        <f>IF($C65="All",COUNTIFS(Units!$E:$E, $B65, Units!$G:$G, W$4),COUNTIFS(Units!$E:$E, $B65, Units!$G:$G, W$4, Units!$I:$I, $C65)
)
</f>
        <v>0</v>
      </c>
      <c r="X65" s="87">
        <f>IF($C65="All",COUNTIFS(Units!$E:$E, $B65, Units!$G:$G, X$4),COUNTIFS(Units!$E:$E, $B65, Units!$G:$G, X$4, Units!$I:$I, $C65)
)
</f>
        <v>0</v>
      </c>
      <c r="Y65" s="87">
        <f>IF($C65="All",COUNTIFS(Units!$E:$E, $B65, Units!$G:$G, Y$4),COUNTIFS(Units!$E:$E, $B65, Units!$G:$G, Y$4, Units!$I:$I, $C65)
)
</f>
        <v>0</v>
      </c>
      <c r="Z65" s="87">
        <f>IF($C65="All",COUNTIFS(Units!$E:$E, $B65, Units!$G:$G, Z$4),COUNTIFS(Units!$E:$E, $B65, Units!$G:$G, Z$4, Units!$I:$I, $C65)
)
</f>
        <v>0</v>
      </c>
      <c r="AA65" s="87">
        <f>IF($C65="All",COUNTIFS(Units!$E:$E, $B65, Units!$G:$G, AA$4),COUNTIFS(Units!$E:$E, $B65, Units!$G:$G, AA$4, Units!$I:$I, $C65)
)
</f>
        <v>0</v>
      </c>
      <c r="AB65" s="87">
        <f>IF($C65="All",COUNTIFS(Units!$E:$E, $B65, Units!$G:$G, AB$4),COUNTIFS(Units!$E:$E, $B65, Units!$G:$G, AB$4, Units!$I:$I, $C65)
)
</f>
        <v>0</v>
      </c>
      <c r="AC65" s="87">
        <f>IF($C65="All",COUNTIFS(Units!$E:$E, $B65, Units!$G:$G, AC$4),COUNTIFS(Units!$E:$E, $B65, Units!$G:$G, AC$4, Units!$I:$I, $C65)
)
</f>
        <v>0</v>
      </c>
      <c r="AD65" s="85">
        <f t="shared" si="2"/>
        <v>0</v>
      </c>
      <c r="AE65" s="85">
        <f t="shared" si="3"/>
        <v>0</v>
      </c>
      <c r="AF65" s="87">
        <f t="shared" si="4"/>
        <v>0</v>
      </c>
      <c r="AG65" s="91">
        <f t="shared" si="5"/>
        <v>0</v>
      </c>
      <c r="AJ65" s="94"/>
      <c r="AO65" s="94"/>
      <c r="AP65" s="85">
        <f>IF($C65="All",COUNTIFS(Units!$E:$E, $B65, Units!$M:$M, "&lt;&gt;1"),COUNTIFS(Units!$E:$E, $B65, Units!$M:$M, "&lt;&gt;1", Units!$I:$I, $C65)
)
</f>
        <v>0</v>
      </c>
      <c r="AQ65" s="94">
        <f>IF($C65="All",COUNTIFS(Units!$E:$E, $B65, Units!$S:$S, "*Maneouverable*"),COUNTIFS(Units!$E:$E, $B65, Units!$S:$S, "*Maneouverable*", Units!$I:$I, $C65)
)
</f>
        <v>0</v>
      </c>
      <c r="AR65" s="96" t="str">
        <f>IF($C65="All", 
    AVERAGEIFS(Units!$Q:$Q, Units!$E:$E, $B65, Units!$AY:$AY, false), 
    AVERAGEIFS(Units!$Q:$Q, Units!$E:$E, $B65, Units!$I:$I, $C65, Units!$AY:$AY, false)
)
</f>
        <v>#DIV/0!</v>
      </c>
      <c r="AS65" s="85">
        <f>IF($C65="All",COUNTIFS(Units!$E:$E, $B65, Units!$Q:$Q, "&lt;&gt;1"),COUNTIFS(Units!$E:$E, $B65, Units!$Q:$Q, "&lt;&gt;1", Units!$I:$I, $C65)
)</f>
        <v>0</v>
      </c>
      <c r="AT65" s="85">
        <f>AS65 - IF($C65="All",COUNTIFS(Units!$E:$E, $B65, Units!$Q:$Q, 2),COUNTIFS(Units!$E:$E, $B65, Units!$Q:$Q, 2, Units!$I:$I, $C65)
)</f>
        <v>0</v>
      </c>
      <c r="AU65" s="96" t="str">
        <f>IF($C65="All", 
    AVERAGEIFS(Units!$AQ:$AQ, Units!$E:$E, $B65, Units!$AY:$AY, false), 
    AVERAGEIFS(Units!$AQ:$AQ, Units!$E:$E, $B65, Units!$I:$I, $C65, Units!$AY:$AY, false)
)
</f>
        <v>#DIV/0!</v>
      </c>
      <c r="AV65" s="96" t="str">
        <f>IF($C65="All", 
    AVERAGEIFS(Units!$AR:$AR, Units!$E:$E, $B65, Units!$AY:$AY, false), 
    AVERAGEIFS(Units!$AR:$AR, Units!$E:$E, $B65, Units!$I:$I, $C65, Units!$AY:$AY, false)
)</f>
        <v>#DIV/0!</v>
      </c>
      <c r="AW65" s="96" t="str">
        <f>IF($C65="All", 
    AVERAGEIFS(Units!$AW:$AW, Units!$E:$E, $B65, Units!$AY:$AY, false), 
    AVERAGEIFS(Units!$AW:$AW, Units!$E:$E, $B65, Units!$I:$I, $C65, Units!$AY:$AY, false)
)
</f>
        <v>#DIV/0!</v>
      </c>
    </row>
    <row r="66" ht="22.5" hidden="1" customHeight="1">
      <c r="C66" s="94"/>
      <c r="D66" s="85">
        <f>IF($C66="All",COUNTIFS(Units!$E:$E, $B66),COUNTIFS(Units!$E:$E, $B66, Units!$I:$I, $C66)
)
</f>
        <v>0</v>
      </c>
      <c r="E66" s="85">
        <f>IF($C66="All",COUNTIFS(Units!$E:$E, $B66, Units!$G:$G, E$4),COUNTIFS(Units!$E:$E, $B66, Units!$G:$G, E$4, Units!$I:$I, $C66)
)
</f>
        <v>0</v>
      </c>
      <c r="F66" s="85">
        <f>IF($C66="All",COUNTIFS(Units!$E:$E, $B66, Units!$G:$G, F$4),COUNTIFS(Units!$E:$E, $B66, Units!$G:$G, F$4, Units!$I:$I, $C66)
)
</f>
        <v>0</v>
      </c>
      <c r="G66" s="85">
        <f>IF($C66="All",COUNTIFS(Units!$E:$E, $B66, Units!$G:$G, G$4),COUNTIFS(Units!$E:$E, $B66, Units!$G:$G, G$4, Units!$I:$I, $C66)
)
</f>
        <v>0</v>
      </c>
      <c r="H66" s="85">
        <f>IF($C66="All",COUNTIFS(Units!$E:$E, $B66, Units!$G:$G, H$4),COUNTIFS(Units!$E:$E, $B66, Units!$G:$G, H$4, Units!$I:$I, $C66)
)
</f>
        <v>0</v>
      </c>
      <c r="I66" s="85">
        <f>IF($C66="All",COUNTIFS(Units!$E:$E, $B66, Units!$G:$G, I$4),COUNTIFS(Units!$E:$E, $B66, Units!$G:$G, I$4, Units!$I:$I, $C66)
)
</f>
        <v>0</v>
      </c>
      <c r="J66" s="85">
        <f>IF($C66="All",COUNTIFS(Units!$E:$E, $B66, Units!$G:$G, J$4),COUNTIFS(Units!$E:$E, $B66, Units!$G:$G, J$4, Units!$I:$I, $C66)
)
</f>
        <v>0</v>
      </c>
      <c r="K66" s="85">
        <f>IF($C66="All",COUNTIFS(Units!$E:$E, $B66, Units!$G:$G, K$4),COUNTIFS(Units!$E:$E, $B66, Units!$G:$G, K$4, Units!$I:$I, $C66)
)
</f>
        <v>0</v>
      </c>
      <c r="L66" s="85">
        <f>IF($C66="All",COUNTIFS(Units!$E:$E, $B66, Units!$G:$G, L$4),COUNTIFS(Units!$E:$E, $B66, Units!$G:$G, L$4, Units!$I:$I, $C66)
)
</f>
        <v>0</v>
      </c>
      <c r="N66" s="85">
        <f>IF($C66="All",COUNTIFS(Units!$E:$E, $B66, Units!$G:$G, N$4),COUNTIFS(Units!$E:$E, $B66, Units!$G:$G, N$4, Units!$I:$I, $C66)
)
</f>
        <v>0</v>
      </c>
      <c r="O66" s="85">
        <f>IF($C66="All",COUNTIFS(Units!$E:$E, $B66, Units!$G:$G, O$4),COUNTIFS(Units!$E:$E, $B66, Units!$G:$G, O$4, Units!$I:$I, $C66)
)
</f>
        <v>0</v>
      </c>
      <c r="P66" s="85">
        <f>IF($C66="All",COUNTIFS(Units!$E:$E, $B66, Units!$G:$G, P$4),COUNTIFS(Units!$E:$E, $B66, Units!$G:$G, P$4, Units!$I:$I, $C66)
)
</f>
        <v>0</v>
      </c>
      <c r="Q66" s="85">
        <f>IF($C66="All",COUNTIFS(Units!$E:$E, $B66, Units!$G:$G, Q$4),COUNTIFS(Units!$E:$E, $B66, Units!$G:$G, Q$4, Units!$I:$I, $C66)
)
</f>
        <v>0</v>
      </c>
      <c r="R66" s="85">
        <f>IF($C66="All",COUNTIFS(Units!$E:$E, $B66, Units!$G:$G, R$4),COUNTIFS(Units!$E:$E, $B66, Units!$G:$G, R$4, Units!$I:$I, $C66)
)
</f>
        <v>0</v>
      </c>
      <c r="S66" s="85">
        <f>IF($C66="All",COUNTIFS(Units!$E:$E, $B66, Units!$G:$G, S$4),COUNTIFS(Units!$E:$E, $B66, Units!$G:$G, S$4, Units!$I:$I, $C66)
)
</f>
        <v>0</v>
      </c>
      <c r="T66" s="87">
        <f>IF($C66="All",COUNTIFS(Units!$E:$E, $B66, Units!$G:$G, T$4),COUNTIFS(Units!$E:$E, $B66, Units!$G:$G, T$4, Units!$I:$I, $C66)
)
</f>
        <v>0</v>
      </c>
      <c r="U66" s="87">
        <f>IF($C66="All",COUNTIFS(Units!$E:$E, $B66, Units!$G:$G, U$4),COUNTIFS(Units!$E:$E, $B66, Units!$G:$G, U$4, Units!$I:$I, $C66)
)
</f>
        <v>0</v>
      </c>
      <c r="V66" s="87">
        <f>IF($C66="All",COUNTIFS(Units!$E:$E, $B66, Units!$G:$G, V$4),COUNTIFS(Units!$E:$E, $B66, Units!$G:$G, V$4, Units!$I:$I, $C66)
)
</f>
        <v>0</v>
      </c>
      <c r="W66" s="87">
        <f>IF($C66="All",COUNTIFS(Units!$E:$E, $B66, Units!$G:$G, W$4),COUNTIFS(Units!$E:$E, $B66, Units!$G:$G, W$4, Units!$I:$I, $C66)
)
</f>
        <v>0</v>
      </c>
      <c r="X66" s="87">
        <f>IF($C66="All",COUNTIFS(Units!$E:$E, $B66, Units!$G:$G, X$4),COUNTIFS(Units!$E:$E, $B66, Units!$G:$G, X$4, Units!$I:$I, $C66)
)
</f>
        <v>0</v>
      </c>
      <c r="Y66" s="87">
        <f>IF($C66="All",COUNTIFS(Units!$E:$E, $B66, Units!$G:$G, Y$4),COUNTIFS(Units!$E:$E, $B66, Units!$G:$G, Y$4, Units!$I:$I, $C66)
)
</f>
        <v>0</v>
      </c>
      <c r="Z66" s="87">
        <f>IF($C66="All",COUNTIFS(Units!$E:$E, $B66, Units!$G:$G, Z$4),COUNTIFS(Units!$E:$E, $B66, Units!$G:$G, Z$4, Units!$I:$I, $C66)
)
</f>
        <v>0</v>
      </c>
      <c r="AA66" s="87">
        <f>IF($C66="All",COUNTIFS(Units!$E:$E, $B66, Units!$G:$G, AA$4),COUNTIFS(Units!$E:$E, $B66, Units!$G:$G, AA$4, Units!$I:$I, $C66)
)
</f>
        <v>0</v>
      </c>
      <c r="AB66" s="87">
        <f>IF($C66="All",COUNTIFS(Units!$E:$E, $B66, Units!$G:$G, AB$4),COUNTIFS(Units!$E:$E, $B66, Units!$G:$G, AB$4, Units!$I:$I, $C66)
)
</f>
        <v>0</v>
      </c>
      <c r="AC66" s="87">
        <f>IF($C66="All",COUNTIFS(Units!$E:$E, $B66, Units!$G:$G, AC$4),COUNTIFS(Units!$E:$E, $B66, Units!$G:$G, AC$4, Units!$I:$I, $C66)
)
</f>
        <v>0</v>
      </c>
      <c r="AD66" s="85">
        <f t="shared" si="2"/>
        <v>0</v>
      </c>
      <c r="AE66" s="85">
        <f t="shared" si="3"/>
        <v>0</v>
      </c>
      <c r="AF66" s="87">
        <f t="shared" si="4"/>
        <v>0</v>
      </c>
      <c r="AG66" s="91">
        <f t="shared" si="5"/>
        <v>0</v>
      </c>
      <c r="AJ66" s="94"/>
      <c r="AO66" s="94"/>
      <c r="AP66" s="85">
        <f>IF($C66="All",COUNTIFS(Units!$E:$E, $B66, Units!$M:$M, "&lt;&gt;1"),COUNTIFS(Units!$E:$E, $B66, Units!$M:$M, "&lt;&gt;1", Units!$I:$I, $C66)
)
</f>
        <v>0</v>
      </c>
      <c r="AQ66" s="94">
        <f>IF($C66="All",COUNTIFS(Units!$E:$E, $B66, Units!$S:$S, "*Maneouverable*"),COUNTIFS(Units!$E:$E, $B66, Units!$S:$S, "*Maneouverable*", Units!$I:$I, $C66)
)
</f>
        <v>0</v>
      </c>
      <c r="AR66" s="96" t="str">
        <f>IF($C66="All", 
    AVERAGEIFS(Units!$Q:$Q, Units!$E:$E, $B66, Units!$AY:$AY, false), 
    AVERAGEIFS(Units!$Q:$Q, Units!$E:$E, $B66, Units!$I:$I, $C66, Units!$AY:$AY, false)
)
</f>
        <v>#DIV/0!</v>
      </c>
      <c r="AS66" s="85">
        <f>IF($C66="All",COUNTIFS(Units!$E:$E, $B66, Units!$Q:$Q, "&lt;&gt;1"),COUNTIFS(Units!$E:$E, $B66, Units!$Q:$Q, "&lt;&gt;1", Units!$I:$I, $C66)
)</f>
        <v>0</v>
      </c>
      <c r="AT66" s="85">
        <f>AS66 - IF($C66="All",COUNTIFS(Units!$E:$E, $B66, Units!$Q:$Q, 2),COUNTIFS(Units!$E:$E, $B66, Units!$Q:$Q, 2, Units!$I:$I, $C66)
)</f>
        <v>0</v>
      </c>
      <c r="AU66" s="96" t="str">
        <f>IF($C66="All", 
    AVERAGEIFS(Units!$AQ:$AQ, Units!$E:$E, $B66, Units!$AY:$AY, false), 
    AVERAGEIFS(Units!$AQ:$AQ, Units!$E:$E, $B66, Units!$I:$I, $C66, Units!$AY:$AY, false)
)
</f>
        <v>#DIV/0!</v>
      </c>
      <c r="AV66" s="96" t="str">
        <f>IF($C66="All", 
    AVERAGEIFS(Units!$AR:$AR, Units!$E:$E, $B66, Units!$AY:$AY, false), 
    AVERAGEIFS(Units!$AR:$AR, Units!$E:$E, $B66, Units!$I:$I, $C66, Units!$AY:$AY, false)
)</f>
        <v>#DIV/0!</v>
      </c>
      <c r="AW66" s="96" t="str">
        <f>IF($C66="All", 
    AVERAGEIFS(Units!$AW:$AW, Units!$E:$E, $B66, Units!$AY:$AY, false), 
    AVERAGEIFS(Units!$AW:$AW, Units!$E:$E, $B66, Units!$I:$I, $C66, Units!$AY:$AY, false)
)
</f>
        <v>#DIV/0!</v>
      </c>
    </row>
    <row r="67" ht="22.5" hidden="1" customHeight="1">
      <c r="C67" s="94"/>
      <c r="D67" s="85">
        <f>IF($C67="All",COUNTIFS(Units!$E:$E, $B67),COUNTIFS(Units!$E:$E, $B67, Units!$I:$I, $C67)
)
</f>
        <v>0</v>
      </c>
      <c r="E67" s="85">
        <f>IF($C67="All",COUNTIFS(Units!$E:$E, $B67, Units!$G:$G, E$4),COUNTIFS(Units!$E:$E, $B67, Units!$G:$G, E$4, Units!$I:$I, $C67)
)
</f>
        <v>0</v>
      </c>
      <c r="F67" s="85">
        <f>IF($C67="All",COUNTIFS(Units!$E:$E, $B67, Units!$G:$G, F$4),COUNTIFS(Units!$E:$E, $B67, Units!$G:$G, F$4, Units!$I:$I, $C67)
)
</f>
        <v>0</v>
      </c>
      <c r="G67" s="85">
        <f>IF($C67="All",COUNTIFS(Units!$E:$E, $B67, Units!$G:$G, G$4),COUNTIFS(Units!$E:$E, $B67, Units!$G:$G, G$4, Units!$I:$I, $C67)
)
</f>
        <v>0</v>
      </c>
      <c r="H67" s="85">
        <f>IF($C67="All",COUNTIFS(Units!$E:$E, $B67, Units!$G:$G, H$4),COUNTIFS(Units!$E:$E, $B67, Units!$G:$G, H$4, Units!$I:$I, $C67)
)
</f>
        <v>0</v>
      </c>
      <c r="I67" s="85">
        <f>IF($C67="All",COUNTIFS(Units!$E:$E, $B67, Units!$G:$G, I$4),COUNTIFS(Units!$E:$E, $B67, Units!$G:$G, I$4, Units!$I:$I, $C67)
)
</f>
        <v>0</v>
      </c>
      <c r="J67" s="85">
        <f>IF($C67="All",COUNTIFS(Units!$E:$E, $B67, Units!$G:$G, J$4),COUNTIFS(Units!$E:$E, $B67, Units!$G:$G, J$4, Units!$I:$I, $C67)
)
</f>
        <v>0</v>
      </c>
      <c r="K67" s="85">
        <f>IF($C67="All",COUNTIFS(Units!$E:$E, $B67, Units!$G:$G, K$4),COUNTIFS(Units!$E:$E, $B67, Units!$G:$G, K$4, Units!$I:$I, $C67)
)
</f>
        <v>0</v>
      </c>
      <c r="L67" s="85">
        <f>IF($C67="All",COUNTIFS(Units!$E:$E, $B67, Units!$G:$G, L$4),COUNTIFS(Units!$E:$E, $B67, Units!$G:$G, L$4, Units!$I:$I, $C67)
)
</f>
        <v>0</v>
      </c>
      <c r="N67" s="85">
        <f>IF($C67="All",COUNTIFS(Units!$E:$E, $B67, Units!$G:$G, N$4),COUNTIFS(Units!$E:$E, $B67, Units!$G:$G, N$4, Units!$I:$I, $C67)
)
</f>
        <v>0</v>
      </c>
      <c r="O67" s="85">
        <f>IF($C67="All",COUNTIFS(Units!$E:$E, $B67, Units!$G:$G, O$4),COUNTIFS(Units!$E:$E, $B67, Units!$G:$G, O$4, Units!$I:$I, $C67)
)
</f>
        <v>0</v>
      </c>
      <c r="P67" s="85">
        <f>IF($C67="All",COUNTIFS(Units!$E:$E, $B67, Units!$G:$G, P$4),COUNTIFS(Units!$E:$E, $B67, Units!$G:$G, P$4, Units!$I:$I, $C67)
)
</f>
        <v>0</v>
      </c>
      <c r="Q67" s="85">
        <f>IF($C67="All",COUNTIFS(Units!$E:$E, $B67, Units!$G:$G, Q$4),COUNTIFS(Units!$E:$E, $B67, Units!$G:$G, Q$4, Units!$I:$I, $C67)
)
</f>
        <v>0</v>
      </c>
      <c r="R67" s="85">
        <f>IF($C67="All",COUNTIFS(Units!$E:$E, $B67, Units!$G:$G, R$4),COUNTIFS(Units!$E:$E, $B67, Units!$G:$G, R$4, Units!$I:$I, $C67)
)
</f>
        <v>0</v>
      </c>
      <c r="S67" s="85">
        <f>IF($C67="All",COUNTIFS(Units!$E:$E, $B67, Units!$G:$G, S$4),COUNTIFS(Units!$E:$E, $B67, Units!$G:$G, S$4, Units!$I:$I, $C67)
)
</f>
        <v>0</v>
      </c>
      <c r="T67" s="87">
        <f>IF($C67="All",COUNTIFS(Units!$E:$E, $B67, Units!$G:$G, T$4),COUNTIFS(Units!$E:$E, $B67, Units!$G:$G, T$4, Units!$I:$I, $C67)
)
</f>
        <v>0</v>
      </c>
      <c r="U67" s="87">
        <f>IF($C67="All",COUNTIFS(Units!$E:$E, $B67, Units!$G:$G, U$4),COUNTIFS(Units!$E:$E, $B67, Units!$G:$G, U$4, Units!$I:$I, $C67)
)
</f>
        <v>0</v>
      </c>
      <c r="V67" s="87">
        <f>IF($C67="All",COUNTIFS(Units!$E:$E, $B67, Units!$G:$G, V$4),COUNTIFS(Units!$E:$E, $B67, Units!$G:$G, V$4, Units!$I:$I, $C67)
)
</f>
        <v>0</v>
      </c>
      <c r="W67" s="87">
        <f>IF($C67="All",COUNTIFS(Units!$E:$E, $B67, Units!$G:$G, W$4),COUNTIFS(Units!$E:$E, $B67, Units!$G:$G, W$4, Units!$I:$I, $C67)
)
</f>
        <v>0</v>
      </c>
      <c r="X67" s="87">
        <f>IF($C67="All",COUNTIFS(Units!$E:$E, $B67, Units!$G:$G, X$4),COUNTIFS(Units!$E:$E, $B67, Units!$G:$G, X$4, Units!$I:$I, $C67)
)
</f>
        <v>0</v>
      </c>
      <c r="Y67" s="87">
        <f>IF($C67="All",COUNTIFS(Units!$E:$E, $B67, Units!$G:$G, Y$4),COUNTIFS(Units!$E:$E, $B67, Units!$G:$G, Y$4, Units!$I:$I, $C67)
)
</f>
        <v>0</v>
      </c>
      <c r="Z67" s="87">
        <f>IF($C67="All",COUNTIFS(Units!$E:$E, $B67, Units!$G:$G, Z$4),COUNTIFS(Units!$E:$E, $B67, Units!$G:$G, Z$4, Units!$I:$I, $C67)
)
</f>
        <v>0</v>
      </c>
      <c r="AA67" s="87">
        <f>IF($C67="All",COUNTIFS(Units!$E:$E, $B67, Units!$G:$G, AA$4),COUNTIFS(Units!$E:$E, $B67, Units!$G:$G, AA$4, Units!$I:$I, $C67)
)
</f>
        <v>0</v>
      </c>
      <c r="AB67" s="87">
        <f>IF($C67="All",COUNTIFS(Units!$E:$E, $B67, Units!$G:$G, AB$4),COUNTIFS(Units!$E:$E, $B67, Units!$G:$G, AB$4, Units!$I:$I, $C67)
)
</f>
        <v>0</v>
      </c>
      <c r="AC67" s="87">
        <f>IF($C67="All",COUNTIFS(Units!$E:$E, $B67, Units!$G:$G, AC$4),COUNTIFS(Units!$E:$E, $B67, Units!$G:$G, AC$4, Units!$I:$I, $C67)
)
</f>
        <v>0</v>
      </c>
      <c r="AD67" s="85">
        <f t="shared" si="2"/>
        <v>0</v>
      </c>
      <c r="AE67" s="85">
        <f t="shared" si="3"/>
        <v>0</v>
      </c>
      <c r="AF67" s="87">
        <f t="shared" si="4"/>
        <v>0</v>
      </c>
      <c r="AG67" s="91">
        <f t="shared" si="5"/>
        <v>0</v>
      </c>
      <c r="AJ67" s="94"/>
      <c r="AO67" s="94"/>
      <c r="AP67" s="85">
        <f>IF($C67="All",COUNTIFS(Units!$E:$E, $B67, Units!$M:$M, "&lt;&gt;1"),COUNTIFS(Units!$E:$E, $B67, Units!$M:$M, "&lt;&gt;1", Units!$I:$I, $C67)
)
</f>
        <v>0</v>
      </c>
      <c r="AQ67" s="94">
        <f>IF($C67="All",COUNTIFS(Units!$E:$E, $B67, Units!$S:$S, "*Maneouverable*"),COUNTIFS(Units!$E:$E, $B67, Units!$S:$S, "*Maneouverable*", Units!$I:$I, $C67)
)
</f>
        <v>0</v>
      </c>
      <c r="AR67" s="96" t="str">
        <f>IF($C67="All", 
    AVERAGEIFS(Units!$Q:$Q, Units!$E:$E, $B67, Units!$AY:$AY, false), 
    AVERAGEIFS(Units!$Q:$Q, Units!$E:$E, $B67, Units!$I:$I, $C67, Units!$AY:$AY, false)
)
</f>
        <v>#DIV/0!</v>
      </c>
      <c r="AS67" s="85">
        <f>IF($C67="All",COUNTIFS(Units!$E:$E, $B67, Units!$Q:$Q, "&lt;&gt;1"),COUNTIFS(Units!$E:$E, $B67, Units!$Q:$Q, "&lt;&gt;1", Units!$I:$I, $C67)
)</f>
        <v>0</v>
      </c>
      <c r="AT67" s="85">
        <f>AS67 - IF($C67="All",COUNTIFS(Units!$E:$E, $B67, Units!$Q:$Q, 2),COUNTIFS(Units!$E:$E, $B67, Units!$Q:$Q, 2, Units!$I:$I, $C67)
)</f>
        <v>0</v>
      </c>
      <c r="AU67" s="96" t="str">
        <f>IF($C67="All", 
    AVERAGEIFS(Units!$AQ:$AQ, Units!$E:$E, $B67, Units!$AY:$AY, false), 
    AVERAGEIFS(Units!$AQ:$AQ, Units!$E:$E, $B67, Units!$I:$I, $C67, Units!$AY:$AY, false)
)
</f>
        <v>#DIV/0!</v>
      </c>
      <c r="AV67" s="96" t="str">
        <f>IF($C67="All", 
    AVERAGEIFS(Units!$AR:$AR, Units!$E:$E, $B67, Units!$AY:$AY, false), 
    AVERAGEIFS(Units!$AR:$AR, Units!$E:$E, $B67, Units!$I:$I, $C67, Units!$AY:$AY, false)
)</f>
        <v>#DIV/0!</v>
      </c>
      <c r="AW67" s="96" t="str">
        <f>IF($C67="All", 
    AVERAGEIFS(Units!$AW:$AW, Units!$E:$E, $B67, Units!$AY:$AY, false), 
    AVERAGEIFS(Units!$AW:$AW, Units!$E:$E, $B67, Units!$I:$I, $C67, Units!$AY:$AY, false)
)
</f>
        <v>#DIV/0!</v>
      </c>
    </row>
    <row r="68" ht="22.5" hidden="1" customHeight="1">
      <c r="C68" s="94"/>
      <c r="D68" s="85">
        <f>IF($C68="All",COUNTIFS(Units!$E:$E, $B68),COUNTIFS(Units!$E:$E, $B68, Units!$I:$I, $C68)
)
</f>
        <v>0</v>
      </c>
      <c r="E68" s="85">
        <f>IF($C68="All",COUNTIFS(Units!$E:$E, $B68, Units!$G:$G, E$4),COUNTIFS(Units!$E:$E, $B68, Units!$G:$G, E$4, Units!$I:$I, $C68)
)
</f>
        <v>0</v>
      </c>
      <c r="F68" s="85">
        <f>IF($C68="All",COUNTIFS(Units!$E:$E, $B68, Units!$G:$G, F$4),COUNTIFS(Units!$E:$E, $B68, Units!$G:$G, F$4, Units!$I:$I, $C68)
)
</f>
        <v>0</v>
      </c>
      <c r="G68" s="85">
        <f>IF($C68="All",COUNTIFS(Units!$E:$E, $B68, Units!$G:$G, G$4),COUNTIFS(Units!$E:$E, $B68, Units!$G:$G, G$4, Units!$I:$I, $C68)
)
</f>
        <v>0</v>
      </c>
      <c r="H68" s="85">
        <f>IF($C68="All",COUNTIFS(Units!$E:$E, $B68, Units!$G:$G, H$4),COUNTIFS(Units!$E:$E, $B68, Units!$G:$G, H$4, Units!$I:$I, $C68)
)
</f>
        <v>0</v>
      </c>
      <c r="I68" s="85">
        <f>IF($C68="All",COUNTIFS(Units!$E:$E, $B68, Units!$G:$G, I$4),COUNTIFS(Units!$E:$E, $B68, Units!$G:$G, I$4, Units!$I:$I, $C68)
)
</f>
        <v>0</v>
      </c>
      <c r="J68" s="85">
        <f>IF($C68="All",COUNTIFS(Units!$E:$E, $B68, Units!$G:$G, J$4),COUNTIFS(Units!$E:$E, $B68, Units!$G:$G, J$4, Units!$I:$I, $C68)
)
</f>
        <v>0</v>
      </c>
      <c r="K68" s="85">
        <f>IF($C68="All",COUNTIFS(Units!$E:$E, $B68, Units!$G:$G, K$4),COUNTIFS(Units!$E:$E, $B68, Units!$G:$G, K$4, Units!$I:$I, $C68)
)
</f>
        <v>0</v>
      </c>
      <c r="L68" s="85">
        <f>IF($C68="All",COUNTIFS(Units!$E:$E, $B68, Units!$G:$G, L$4),COUNTIFS(Units!$E:$E, $B68, Units!$G:$G, L$4, Units!$I:$I, $C68)
)
</f>
        <v>0</v>
      </c>
      <c r="N68" s="85">
        <f>IF($C68="All",COUNTIFS(Units!$E:$E, $B68, Units!$G:$G, N$4),COUNTIFS(Units!$E:$E, $B68, Units!$G:$G, N$4, Units!$I:$I, $C68)
)
</f>
        <v>0</v>
      </c>
      <c r="O68" s="85">
        <f>IF($C68="All",COUNTIFS(Units!$E:$E, $B68, Units!$G:$G, O$4),COUNTIFS(Units!$E:$E, $B68, Units!$G:$G, O$4, Units!$I:$I, $C68)
)
</f>
        <v>0</v>
      </c>
      <c r="P68" s="85">
        <f>IF($C68="All",COUNTIFS(Units!$E:$E, $B68, Units!$G:$G, P$4),COUNTIFS(Units!$E:$E, $B68, Units!$G:$G, P$4, Units!$I:$I, $C68)
)
</f>
        <v>0</v>
      </c>
      <c r="Q68" s="85">
        <f>IF($C68="All",COUNTIFS(Units!$E:$E, $B68, Units!$G:$G, Q$4),COUNTIFS(Units!$E:$E, $B68, Units!$G:$G, Q$4, Units!$I:$I, $C68)
)
</f>
        <v>0</v>
      </c>
      <c r="R68" s="85">
        <f>IF($C68="All",COUNTIFS(Units!$E:$E, $B68, Units!$G:$G, R$4),COUNTIFS(Units!$E:$E, $B68, Units!$G:$G, R$4, Units!$I:$I, $C68)
)
</f>
        <v>0</v>
      </c>
      <c r="S68" s="85">
        <f>IF($C68="All",COUNTIFS(Units!$E:$E, $B68, Units!$G:$G, S$4),COUNTIFS(Units!$E:$E, $B68, Units!$G:$G, S$4, Units!$I:$I, $C68)
)
</f>
        <v>0</v>
      </c>
      <c r="T68" s="87">
        <f>IF($C68="All",COUNTIFS(Units!$E:$E, $B68, Units!$G:$G, T$4),COUNTIFS(Units!$E:$E, $B68, Units!$G:$G, T$4, Units!$I:$I, $C68)
)
</f>
        <v>0</v>
      </c>
      <c r="U68" s="87">
        <f>IF($C68="All",COUNTIFS(Units!$E:$E, $B68, Units!$G:$G, U$4),COUNTIFS(Units!$E:$E, $B68, Units!$G:$G, U$4, Units!$I:$I, $C68)
)
</f>
        <v>0</v>
      </c>
      <c r="V68" s="87">
        <f>IF($C68="All",COUNTIFS(Units!$E:$E, $B68, Units!$G:$G, V$4),COUNTIFS(Units!$E:$E, $B68, Units!$G:$G, V$4, Units!$I:$I, $C68)
)
</f>
        <v>0</v>
      </c>
      <c r="W68" s="87">
        <f>IF($C68="All",COUNTIFS(Units!$E:$E, $B68, Units!$G:$G, W$4),COUNTIFS(Units!$E:$E, $B68, Units!$G:$G, W$4, Units!$I:$I, $C68)
)
</f>
        <v>0</v>
      </c>
      <c r="X68" s="87">
        <f>IF($C68="All",COUNTIFS(Units!$E:$E, $B68, Units!$G:$G, X$4),COUNTIFS(Units!$E:$E, $B68, Units!$G:$G, X$4, Units!$I:$I, $C68)
)
</f>
        <v>0</v>
      </c>
      <c r="Y68" s="87">
        <f>IF($C68="All",COUNTIFS(Units!$E:$E, $B68, Units!$G:$G, Y$4),COUNTIFS(Units!$E:$E, $B68, Units!$G:$G, Y$4, Units!$I:$I, $C68)
)
</f>
        <v>0</v>
      </c>
      <c r="Z68" s="87">
        <f>IF($C68="All",COUNTIFS(Units!$E:$E, $B68, Units!$G:$G, Z$4),COUNTIFS(Units!$E:$E, $B68, Units!$G:$G, Z$4, Units!$I:$I, $C68)
)
</f>
        <v>0</v>
      </c>
      <c r="AA68" s="87">
        <f>IF($C68="All",COUNTIFS(Units!$E:$E, $B68, Units!$G:$G, AA$4),COUNTIFS(Units!$E:$E, $B68, Units!$G:$G, AA$4, Units!$I:$I, $C68)
)
</f>
        <v>0</v>
      </c>
      <c r="AB68" s="87">
        <f>IF($C68="All",COUNTIFS(Units!$E:$E, $B68, Units!$G:$G, AB$4),COUNTIFS(Units!$E:$E, $B68, Units!$G:$G, AB$4, Units!$I:$I, $C68)
)
</f>
        <v>0</v>
      </c>
      <c r="AC68" s="87">
        <f>IF($C68="All",COUNTIFS(Units!$E:$E, $B68, Units!$G:$G, AC$4),COUNTIFS(Units!$E:$E, $B68, Units!$G:$G, AC$4, Units!$I:$I, $C68)
)
</f>
        <v>0</v>
      </c>
      <c r="AD68" s="85">
        <f t="shared" si="2"/>
        <v>0</v>
      </c>
      <c r="AE68" s="85">
        <f t="shared" si="3"/>
        <v>0</v>
      </c>
      <c r="AF68" s="87">
        <f t="shared" si="4"/>
        <v>0</v>
      </c>
      <c r="AG68" s="91">
        <f t="shared" si="5"/>
        <v>0</v>
      </c>
      <c r="AJ68" s="94"/>
      <c r="AO68" s="94"/>
      <c r="AP68" s="85">
        <f>IF($C68="All",COUNTIFS(Units!$E:$E, $B68, Units!$M:$M, "&lt;&gt;1"),COUNTIFS(Units!$E:$E, $B68, Units!$M:$M, "&lt;&gt;1", Units!$I:$I, $C68)
)
</f>
        <v>0</v>
      </c>
      <c r="AQ68" s="94">
        <f>IF($C68="All",COUNTIFS(Units!$E:$E, $B68, Units!$S:$S, "*Maneouverable*"),COUNTIFS(Units!$E:$E, $B68, Units!$S:$S, "*Maneouverable*", Units!$I:$I, $C68)
)
</f>
        <v>0</v>
      </c>
      <c r="AR68" s="96" t="str">
        <f>IF($C68="All", 
    AVERAGEIFS(Units!$Q:$Q, Units!$E:$E, $B68, Units!$AY:$AY, false), 
    AVERAGEIFS(Units!$Q:$Q, Units!$E:$E, $B68, Units!$I:$I, $C68, Units!$AY:$AY, false)
)
</f>
        <v>#DIV/0!</v>
      </c>
      <c r="AS68" s="85">
        <f>IF($C68="All",COUNTIFS(Units!$E:$E, $B68, Units!$Q:$Q, "&lt;&gt;1"),COUNTIFS(Units!$E:$E, $B68, Units!$Q:$Q, "&lt;&gt;1", Units!$I:$I, $C68)
)</f>
        <v>0</v>
      </c>
      <c r="AT68" s="85">
        <f>AS68 - IF($C68="All",COUNTIFS(Units!$E:$E, $B68, Units!$Q:$Q, 2),COUNTIFS(Units!$E:$E, $B68, Units!$Q:$Q, 2, Units!$I:$I, $C68)
)</f>
        <v>0</v>
      </c>
      <c r="AU68" s="96" t="str">
        <f>IF($C68="All", 
    AVERAGEIFS(Units!$AQ:$AQ, Units!$E:$E, $B68, Units!$AY:$AY, false), 
    AVERAGEIFS(Units!$AQ:$AQ, Units!$E:$E, $B68, Units!$I:$I, $C68, Units!$AY:$AY, false)
)
</f>
        <v>#DIV/0!</v>
      </c>
      <c r="AV68" s="96" t="str">
        <f>IF($C68="All", 
    AVERAGEIFS(Units!$AR:$AR, Units!$E:$E, $B68, Units!$AY:$AY, false), 
    AVERAGEIFS(Units!$AR:$AR, Units!$E:$E, $B68, Units!$I:$I, $C68, Units!$AY:$AY, false)
)</f>
        <v>#DIV/0!</v>
      </c>
      <c r="AW68" s="96" t="str">
        <f>IF($C68="All", 
    AVERAGEIFS(Units!$AW:$AW, Units!$E:$E, $B68, Units!$AY:$AY, false), 
    AVERAGEIFS(Units!$AW:$AW, Units!$E:$E, $B68, Units!$I:$I, $C68, Units!$AY:$AY, false)
)
</f>
        <v>#DIV/0!</v>
      </c>
    </row>
    <row r="69">
      <c r="C69" s="214"/>
      <c r="E69" s="215"/>
      <c r="F69" s="215"/>
      <c r="G69" s="215"/>
      <c r="H69" s="215"/>
      <c r="I69" s="215"/>
      <c r="J69" s="215"/>
      <c r="K69" s="215"/>
      <c r="L69" s="215"/>
      <c r="M69" s="215"/>
      <c r="N69" s="215"/>
      <c r="O69" s="215"/>
      <c r="P69" s="215"/>
      <c r="Q69" s="215"/>
      <c r="R69" s="215"/>
      <c r="S69" s="215"/>
      <c r="T69" s="215"/>
      <c r="U69" s="215"/>
      <c r="V69" s="215"/>
      <c r="W69" s="215"/>
      <c r="X69" s="215"/>
      <c r="Y69" s="215"/>
      <c r="Z69" s="215"/>
      <c r="AA69" s="215"/>
      <c r="AB69" s="215"/>
      <c r="AC69" s="215"/>
      <c r="AD69" s="215"/>
      <c r="AE69" s="215"/>
      <c r="AF69" s="215"/>
      <c r="AG69" s="216"/>
      <c r="AJ69" s="214"/>
      <c r="AO69" s="214"/>
      <c r="AQ69" s="214"/>
      <c r="AU69" s="217"/>
      <c r="AV69" s="217"/>
      <c r="AW69" s="217"/>
    </row>
    <row r="70">
      <c r="C70" s="214"/>
      <c r="E70" s="215"/>
      <c r="F70" s="215"/>
      <c r="G70" s="215"/>
      <c r="H70" s="215"/>
      <c r="I70" s="215"/>
      <c r="J70" s="215"/>
      <c r="K70" s="215"/>
      <c r="L70" s="215"/>
      <c r="M70" s="215"/>
      <c r="N70" s="215"/>
      <c r="O70" s="215"/>
      <c r="P70" s="215"/>
      <c r="Q70" s="215"/>
      <c r="R70" s="215"/>
      <c r="S70" s="215"/>
      <c r="T70" s="215"/>
      <c r="U70" s="215"/>
      <c r="V70" s="215"/>
      <c r="W70" s="215"/>
      <c r="X70" s="215"/>
      <c r="Y70" s="215"/>
      <c r="Z70" s="215"/>
      <c r="AA70" s="215"/>
      <c r="AB70" s="215"/>
      <c r="AC70" s="215"/>
      <c r="AD70" s="215"/>
      <c r="AE70" s="215"/>
      <c r="AF70" s="215"/>
      <c r="AG70" s="216"/>
      <c r="AJ70" s="214"/>
      <c r="AO70" s="214"/>
      <c r="AQ70" s="214"/>
      <c r="AU70" s="217"/>
      <c r="AV70" s="217"/>
      <c r="AW70" s="217"/>
    </row>
    <row r="71">
      <c r="C71" s="214"/>
      <c r="E71" s="215"/>
      <c r="F71" s="215"/>
      <c r="G71" s="215"/>
      <c r="H71" s="215"/>
      <c r="I71" s="215"/>
      <c r="J71" s="215"/>
      <c r="K71" s="215"/>
      <c r="L71" s="215"/>
      <c r="M71" s="215"/>
      <c r="N71" s="215"/>
      <c r="O71" s="215"/>
      <c r="P71" s="215"/>
      <c r="Q71" s="215"/>
      <c r="R71" s="215"/>
      <c r="S71" s="215"/>
      <c r="T71" s="215"/>
      <c r="U71" s="215"/>
      <c r="V71" s="215"/>
      <c r="W71" s="215"/>
      <c r="X71" s="215"/>
      <c r="Y71" s="215"/>
      <c r="Z71" s="215"/>
      <c r="AA71" s="215"/>
      <c r="AB71" s="215"/>
      <c r="AC71" s="215"/>
      <c r="AD71" s="215"/>
      <c r="AE71" s="215"/>
      <c r="AF71" s="215"/>
      <c r="AG71" s="216"/>
      <c r="AJ71" s="214"/>
      <c r="AO71" s="214"/>
      <c r="AQ71" s="214"/>
      <c r="AU71" s="217"/>
      <c r="AV71" s="217"/>
      <c r="AW71" s="217"/>
    </row>
    <row r="72">
      <c r="C72" s="214"/>
      <c r="E72" s="215"/>
      <c r="F72" s="215"/>
      <c r="G72" s="215"/>
      <c r="H72" s="215"/>
      <c r="I72" s="215"/>
      <c r="J72" s="215"/>
      <c r="K72" s="215"/>
      <c r="L72" s="215"/>
      <c r="M72" s="215"/>
      <c r="N72" s="215"/>
      <c r="O72" s="215"/>
      <c r="P72" s="215"/>
      <c r="Q72" s="215"/>
      <c r="R72" s="215"/>
      <c r="S72" s="215"/>
      <c r="T72" s="215"/>
      <c r="U72" s="215"/>
      <c r="V72" s="215"/>
      <c r="W72" s="215"/>
      <c r="X72" s="215"/>
      <c r="Y72" s="215"/>
      <c r="Z72" s="215"/>
      <c r="AA72" s="215"/>
      <c r="AB72" s="215"/>
      <c r="AC72" s="215"/>
      <c r="AD72" s="215"/>
      <c r="AE72" s="215"/>
      <c r="AF72" s="215"/>
      <c r="AG72" s="216"/>
      <c r="AJ72" s="214"/>
      <c r="AO72" s="214"/>
      <c r="AQ72" s="214"/>
      <c r="AU72" s="217"/>
      <c r="AV72" s="217"/>
      <c r="AW72" s="217"/>
    </row>
    <row r="73">
      <c r="C73" s="214"/>
      <c r="E73" s="215"/>
      <c r="F73" s="215"/>
      <c r="G73" s="215"/>
      <c r="H73" s="215"/>
      <c r="I73" s="215"/>
      <c r="J73" s="215"/>
      <c r="K73" s="215"/>
      <c r="L73" s="215"/>
      <c r="M73" s="215"/>
      <c r="N73" s="215"/>
      <c r="O73" s="215"/>
      <c r="P73" s="215"/>
      <c r="Q73" s="215"/>
      <c r="R73" s="215"/>
      <c r="S73" s="215"/>
      <c r="T73" s="215"/>
      <c r="U73" s="215"/>
      <c r="V73" s="215"/>
      <c r="W73" s="215"/>
      <c r="X73" s="215"/>
      <c r="Y73" s="215"/>
      <c r="Z73" s="215"/>
      <c r="AA73" s="215"/>
      <c r="AB73" s="215"/>
      <c r="AC73" s="215"/>
      <c r="AD73" s="215"/>
      <c r="AE73" s="215"/>
      <c r="AF73" s="215"/>
      <c r="AG73" s="216"/>
      <c r="AJ73" s="214"/>
      <c r="AO73" s="214"/>
      <c r="AQ73" s="214"/>
      <c r="AU73" s="217"/>
      <c r="AV73" s="217"/>
      <c r="AW73" s="217"/>
    </row>
    <row r="74">
      <c r="C74" s="214"/>
      <c r="E74" s="215"/>
      <c r="F74" s="215"/>
      <c r="G74" s="215"/>
      <c r="H74" s="215"/>
      <c r="I74" s="215"/>
      <c r="J74" s="215"/>
      <c r="K74" s="215"/>
      <c r="L74" s="215"/>
      <c r="M74" s="215"/>
      <c r="N74" s="215"/>
      <c r="O74" s="215"/>
      <c r="P74" s="215"/>
      <c r="Q74" s="215"/>
      <c r="R74" s="215"/>
      <c r="S74" s="215"/>
      <c r="T74" s="215"/>
      <c r="U74" s="215"/>
      <c r="V74" s="215"/>
      <c r="W74" s="215"/>
      <c r="X74" s="215"/>
      <c r="Y74" s="215"/>
      <c r="Z74" s="215"/>
      <c r="AA74" s="215"/>
      <c r="AB74" s="215"/>
      <c r="AC74" s="215"/>
      <c r="AD74" s="215"/>
      <c r="AE74" s="215"/>
      <c r="AF74" s="215"/>
      <c r="AG74" s="216"/>
      <c r="AJ74" s="214"/>
      <c r="AO74" s="214"/>
      <c r="AQ74" s="214"/>
      <c r="AU74" s="217"/>
      <c r="AV74" s="217"/>
      <c r="AW74" s="217"/>
    </row>
    <row r="75">
      <c r="C75" s="214"/>
      <c r="E75" s="215"/>
      <c r="F75" s="215"/>
      <c r="G75" s="215"/>
      <c r="H75" s="215"/>
      <c r="I75" s="215"/>
      <c r="J75" s="215"/>
      <c r="K75" s="215"/>
      <c r="L75" s="215"/>
      <c r="M75" s="215"/>
      <c r="N75" s="215"/>
      <c r="O75" s="215"/>
      <c r="P75" s="215"/>
      <c r="Q75" s="215"/>
      <c r="R75" s="215"/>
      <c r="S75" s="215"/>
      <c r="T75" s="215"/>
      <c r="U75" s="215"/>
      <c r="V75" s="215"/>
      <c r="W75" s="215"/>
      <c r="X75" s="215"/>
      <c r="Y75" s="215"/>
      <c r="Z75" s="215"/>
      <c r="AA75" s="215"/>
      <c r="AB75" s="215"/>
      <c r="AC75" s="215"/>
      <c r="AD75" s="215"/>
      <c r="AE75" s="215"/>
      <c r="AF75" s="215"/>
      <c r="AG75" s="216"/>
      <c r="AJ75" s="214"/>
      <c r="AO75" s="214"/>
      <c r="AQ75" s="214"/>
      <c r="AU75" s="217"/>
      <c r="AV75" s="217"/>
      <c r="AW75" s="217"/>
    </row>
    <row r="76">
      <c r="C76" s="214"/>
      <c r="E76" s="215"/>
      <c r="F76" s="215"/>
      <c r="G76" s="215"/>
      <c r="H76" s="215"/>
      <c r="I76" s="215"/>
      <c r="J76" s="215"/>
      <c r="K76" s="215"/>
      <c r="L76" s="215"/>
      <c r="M76" s="215"/>
      <c r="N76" s="215"/>
      <c r="O76" s="215"/>
      <c r="P76" s="215"/>
      <c r="Q76" s="215"/>
      <c r="R76" s="215"/>
      <c r="S76" s="215"/>
      <c r="T76" s="215"/>
      <c r="U76" s="215"/>
      <c r="V76" s="215"/>
      <c r="W76" s="215"/>
      <c r="X76" s="215"/>
      <c r="Y76" s="215"/>
      <c r="Z76" s="215"/>
      <c r="AA76" s="215"/>
      <c r="AB76" s="215"/>
      <c r="AC76" s="215"/>
      <c r="AD76" s="215"/>
      <c r="AE76" s="215"/>
      <c r="AF76" s="215"/>
      <c r="AG76" s="216"/>
      <c r="AJ76" s="214"/>
      <c r="AO76" s="214"/>
      <c r="AQ76" s="214"/>
      <c r="AU76" s="217"/>
      <c r="AV76" s="217"/>
      <c r="AW76" s="217"/>
    </row>
    <row r="77">
      <c r="C77" s="214"/>
      <c r="E77" s="215"/>
      <c r="F77" s="215"/>
      <c r="G77" s="215"/>
      <c r="H77" s="215"/>
      <c r="I77" s="215"/>
      <c r="J77" s="215"/>
      <c r="K77" s="215"/>
      <c r="L77" s="215"/>
      <c r="M77" s="215"/>
      <c r="N77" s="215"/>
      <c r="O77" s="215"/>
      <c r="P77" s="215"/>
      <c r="Q77" s="215"/>
      <c r="R77" s="215"/>
      <c r="S77" s="215"/>
      <c r="T77" s="215"/>
      <c r="U77" s="215"/>
      <c r="V77" s="215"/>
      <c r="W77" s="215"/>
      <c r="X77" s="215"/>
      <c r="Y77" s="215"/>
      <c r="Z77" s="215"/>
      <c r="AA77" s="215"/>
      <c r="AB77" s="215"/>
      <c r="AC77" s="215"/>
      <c r="AD77" s="215"/>
      <c r="AE77" s="215"/>
      <c r="AF77" s="215"/>
      <c r="AG77" s="216"/>
      <c r="AJ77" s="214"/>
      <c r="AO77" s="214"/>
      <c r="AQ77" s="214"/>
      <c r="AU77" s="217"/>
      <c r="AV77" s="217"/>
      <c r="AW77" s="217"/>
    </row>
    <row r="78">
      <c r="C78" s="214"/>
      <c r="E78" s="215"/>
      <c r="F78" s="215"/>
      <c r="G78" s="215"/>
      <c r="H78" s="215"/>
      <c r="I78" s="215"/>
      <c r="J78" s="215"/>
      <c r="K78" s="215"/>
      <c r="L78" s="215"/>
      <c r="M78" s="215"/>
      <c r="N78" s="215"/>
      <c r="O78" s="215"/>
      <c r="P78" s="215"/>
      <c r="Q78" s="215"/>
      <c r="R78" s="215"/>
      <c r="S78" s="215"/>
      <c r="T78" s="215"/>
      <c r="U78" s="215"/>
      <c r="V78" s="215"/>
      <c r="W78" s="215"/>
      <c r="X78" s="215"/>
      <c r="Y78" s="215"/>
      <c r="Z78" s="215"/>
      <c r="AA78" s="215"/>
      <c r="AB78" s="215"/>
      <c r="AC78" s="215"/>
      <c r="AD78" s="215"/>
      <c r="AE78" s="215"/>
      <c r="AF78" s="215"/>
      <c r="AG78" s="216"/>
      <c r="AJ78" s="214"/>
      <c r="AO78" s="214"/>
      <c r="AQ78" s="214"/>
      <c r="AU78" s="217"/>
      <c r="AV78" s="217"/>
      <c r="AW78" s="217"/>
    </row>
    <row r="79">
      <c r="C79" s="214"/>
      <c r="E79" s="215"/>
      <c r="F79" s="215"/>
      <c r="G79" s="215"/>
      <c r="H79" s="215"/>
      <c r="I79" s="215"/>
      <c r="J79" s="215"/>
      <c r="K79" s="215"/>
      <c r="L79" s="215"/>
      <c r="M79" s="215"/>
      <c r="N79" s="215"/>
      <c r="O79" s="215"/>
      <c r="P79" s="215"/>
      <c r="Q79" s="215"/>
      <c r="R79" s="215"/>
      <c r="S79" s="215"/>
      <c r="T79" s="215"/>
      <c r="U79" s="215"/>
      <c r="V79" s="215"/>
      <c r="W79" s="215"/>
      <c r="X79" s="215"/>
      <c r="Y79" s="215"/>
      <c r="Z79" s="215"/>
      <c r="AA79" s="215"/>
      <c r="AB79" s="215"/>
      <c r="AC79" s="215"/>
      <c r="AD79" s="215"/>
      <c r="AE79" s="215"/>
      <c r="AF79" s="215"/>
      <c r="AG79" s="216"/>
      <c r="AJ79" s="214"/>
      <c r="AO79" s="214"/>
      <c r="AQ79" s="214"/>
      <c r="AU79" s="217"/>
      <c r="AV79" s="217"/>
      <c r="AW79" s="217"/>
    </row>
    <row r="80">
      <c r="C80" s="214"/>
      <c r="E80" s="215"/>
      <c r="F80" s="215"/>
      <c r="G80" s="215"/>
      <c r="H80" s="215"/>
      <c r="I80" s="215"/>
      <c r="J80" s="215"/>
      <c r="K80" s="215"/>
      <c r="L80" s="215"/>
      <c r="M80" s="215"/>
      <c r="N80" s="215"/>
      <c r="O80" s="215"/>
      <c r="P80" s="215"/>
      <c r="Q80" s="215"/>
      <c r="R80" s="215"/>
      <c r="S80" s="215"/>
      <c r="T80" s="215"/>
      <c r="U80" s="215"/>
      <c r="V80" s="215"/>
      <c r="W80" s="215"/>
      <c r="X80" s="215"/>
      <c r="Y80" s="215"/>
      <c r="Z80" s="215"/>
      <c r="AA80" s="215"/>
      <c r="AB80" s="215"/>
      <c r="AC80" s="215"/>
      <c r="AD80" s="215"/>
      <c r="AE80" s="215"/>
      <c r="AF80" s="215"/>
      <c r="AG80" s="216"/>
      <c r="AJ80" s="214"/>
      <c r="AO80" s="214"/>
      <c r="AQ80" s="214"/>
      <c r="AU80" s="217"/>
      <c r="AV80" s="217"/>
      <c r="AW80" s="217"/>
    </row>
    <row r="81">
      <c r="C81" s="214"/>
      <c r="E81" s="215"/>
      <c r="F81" s="215"/>
      <c r="G81" s="215"/>
      <c r="H81" s="215"/>
      <c r="I81" s="215"/>
      <c r="J81" s="215"/>
      <c r="K81" s="215"/>
      <c r="L81" s="215"/>
      <c r="M81" s="215"/>
      <c r="N81" s="215"/>
      <c r="O81" s="215"/>
      <c r="P81" s="215"/>
      <c r="Q81" s="215"/>
      <c r="R81" s="215"/>
      <c r="S81" s="215"/>
      <c r="T81" s="215"/>
      <c r="U81" s="215"/>
      <c r="V81" s="215"/>
      <c r="W81" s="215"/>
      <c r="X81" s="215"/>
      <c r="Y81" s="215"/>
      <c r="Z81" s="215"/>
      <c r="AA81" s="215"/>
      <c r="AB81" s="215"/>
      <c r="AC81" s="215"/>
      <c r="AD81" s="215"/>
      <c r="AE81" s="215"/>
      <c r="AF81" s="215"/>
      <c r="AG81" s="216"/>
      <c r="AJ81" s="214"/>
      <c r="AO81" s="214"/>
      <c r="AQ81" s="214"/>
      <c r="AU81" s="217"/>
      <c r="AV81" s="217"/>
      <c r="AW81" s="217"/>
    </row>
    <row r="82">
      <c r="C82" s="214"/>
      <c r="E82" s="215"/>
      <c r="F82" s="215"/>
      <c r="G82" s="215"/>
      <c r="H82" s="215"/>
      <c r="I82" s="215"/>
      <c r="J82" s="215"/>
      <c r="K82" s="215"/>
      <c r="L82" s="215"/>
      <c r="M82" s="215"/>
      <c r="N82" s="215"/>
      <c r="O82" s="215"/>
      <c r="P82" s="215"/>
      <c r="Q82" s="215"/>
      <c r="R82" s="215"/>
      <c r="S82" s="215"/>
      <c r="T82" s="215"/>
      <c r="U82" s="215"/>
      <c r="V82" s="215"/>
      <c r="W82" s="215"/>
      <c r="X82" s="215"/>
      <c r="Y82" s="215"/>
      <c r="Z82" s="215"/>
      <c r="AA82" s="215"/>
      <c r="AB82" s="215"/>
      <c r="AC82" s="215"/>
      <c r="AD82" s="215"/>
      <c r="AE82" s="215"/>
      <c r="AF82" s="215"/>
      <c r="AG82" s="216"/>
      <c r="AJ82" s="214"/>
      <c r="AO82" s="214"/>
      <c r="AQ82" s="214"/>
      <c r="AU82" s="217"/>
      <c r="AV82" s="217"/>
      <c r="AW82" s="217"/>
    </row>
    <row r="83">
      <c r="C83" s="214"/>
      <c r="E83" s="215"/>
      <c r="F83" s="215"/>
      <c r="G83" s="215"/>
      <c r="H83" s="215"/>
      <c r="I83" s="215"/>
      <c r="J83" s="215"/>
      <c r="K83" s="215"/>
      <c r="L83" s="215"/>
      <c r="M83" s="215"/>
      <c r="N83" s="215"/>
      <c r="O83" s="215"/>
      <c r="P83" s="215"/>
      <c r="Q83" s="215"/>
      <c r="R83" s="215"/>
      <c r="S83" s="215"/>
      <c r="T83" s="215"/>
      <c r="U83" s="215"/>
      <c r="V83" s="215"/>
      <c r="W83" s="215"/>
      <c r="X83" s="215"/>
      <c r="Y83" s="215"/>
      <c r="Z83" s="215"/>
      <c r="AA83" s="215"/>
      <c r="AB83" s="215"/>
      <c r="AC83" s="215"/>
      <c r="AD83" s="215"/>
      <c r="AE83" s="215"/>
      <c r="AF83" s="215"/>
      <c r="AG83" s="216"/>
      <c r="AJ83" s="214"/>
      <c r="AO83" s="214"/>
      <c r="AQ83" s="214"/>
      <c r="AU83" s="217"/>
      <c r="AV83" s="217"/>
      <c r="AW83" s="217"/>
    </row>
    <row r="84">
      <c r="C84" s="214"/>
      <c r="E84" s="215"/>
      <c r="F84" s="215"/>
      <c r="G84" s="215"/>
      <c r="H84" s="215"/>
      <c r="I84" s="215"/>
      <c r="J84" s="215"/>
      <c r="K84" s="215"/>
      <c r="L84" s="215"/>
      <c r="M84" s="215"/>
      <c r="N84" s="215"/>
      <c r="O84" s="215"/>
      <c r="P84" s="215"/>
      <c r="Q84" s="215"/>
      <c r="R84" s="215"/>
      <c r="S84" s="215"/>
      <c r="T84" s="215"/>
      <c r="U84" s="215"/>
      <c r="V84" s="215"/>
      <c r="W84" s="215"/>
      <c r="X84" s="215"/>
      <c r="Y84" s="215"/>
      <c r="Z84" s="215"/>
      <c r="AA84" s="215"/>
      <c r="AB84" s="215"/>
      <c r="AC84" s="215"/>
      <c r="AD84" s="215"/>
      <c r="AE84" s="215"/>
      <c r="AF84" s="215"/>
      <c r="AG84" s="216"/>
      <c r="AJ84" s="214"/>
      <c r="AO84" s="214"/>
      <c r="AQ84" s="214"/>
      <c r="AU84" s="217"/>
      <c r="AV84" s="217"/>
      <c r="AW84" s="217"/>
    </row>
    <row r="85">
      <c r="C85" s="214"/>
      <c r="E85" s="215"/>
      <c r="F85" s="215"/>
      <c r="G85" s="215"/>
      <c r="H85" s="215"/>
      <c r="I85" s="215"/>
      <c r="J85" s="215"/>
      <c r="K85" s="215"/>
      <c r="L85" s="215"/>
      <c r="M85" s="215"/>
      <c r="N85" s="215"/>
      <c r="O85" s="215"/>
      <c r="P85" s="215"/>
      <c r="Q85" s="215"/>
      <c r="R85" s="215"/>
      <c r="S85" s="215"/>
      <c r="T85" s="215"/>
      <c r="U85" s="215"/>
      <c r="V85" s="215"/>
      <c r="W85" s="215"/>
      <c r="X85" s="215"/>
      <c r="Y85" s="215"/>
      <c r="Z85" s="215"/>
      <c r="AA85" s="215"/>
      <c r="AB85" s="215"/>
      <c r="AC85" s="215"/>
      <c r="AD85" s="215"/>
      <c r="AE85" s="215"/>
      <c r="AF85" s="215"/>
      <c r="AG85" s="216"/>
      <c r="AJ85" s="214"/>
      <c r="AO85" s="214"/>
      <c r="AQ85" s="214"/>
      <c r="AU85" s="217"/>
      <c r="AV85" s="217"/>
      <c r="AW85" s="217"/>
    </row>
    <row r="86">
      <c r="C86" s="214"/>
      <c r="E86" s="215"/>
      <c r="F86" s="215"/>
      <c r="G86" s="215"/>
      <c r="H86" s="215"/>
      <c r="I86" s="215"/>
      <c r="J86" s="215"/>
      <c r="K86" s="215"/>
      <c r="L86" s="215"/>
      <c r="M86" s="215"/>
      <c r="N86" s="215"/>
      <c r="O86" s="215"/>
      <c r="P86" s="215"/>
      <c r="Q86" s="215"/>
      <c r="R86" s="215"/>
      <c r="S86" s="215"/>
      <c r="T86" s="215"/>
      <c r="U86" s="215"/>
      <c r="V86" s="215"/>
      <c r="W86" s="215"/>
      <c r="X86" s="215"/>
      <c r="Y86" s="215"/>
      <c r="Z86" s="215"/>
      <c r="AA86" s="215"/>
      <c r="AB86" s="215"/>
      <c r="AC86" s="215"/>
      <c r="AD86" s="215"/>
      <c r="AE86" s="215"/>
      <c r="AF86" s="215"/>
      <c r="AG86" s="216"/>
      <c r="AJ86" s="214"/>
      <c r="AO86" s="214"/>
      <c r="AQ86" s="214"/>
      <c r="AU86" s="217"/>
      <c r="AV86" s="217"/>
      <c r="AW86" s="217"/>
    </row>
    <row r="87">
      <c r="C87" s="214"/>
      <c r="E87" s="215"/>
      <c r="F87" s="215"/>
      <c r="G87" s="215"/>
      <c r="H87" s="215"/>
      <c r="I87" s="215"/>
      <c r="J87" s="215"/>
      <c r="K87" s="215"/>
      <c r="L87" s="215"/>
      <c r="M87" s="215"/>
      <c r="N87" s="215"/>
      <c r="O87" s="215"/>
      <c r="P87" s="215"/>
      <c r="Q87" s="215"/>
      <c r="R87" s="215"/>
      <c r="S87" s="215"/>
      <c r="T87" s="215"/>
      <c r="U87" s="215"/>
      <c r="V87" s="215"/>
      <c r="W87" s="215"/>
      <c r="X87" s="215"/>
      <c r="Y87" s="215"/>
      <c r="Z87" s="215"/>
      <c r="AA87" s="215"/>
      <c r="AB87" s="215"/>
      <c r="AC87" s="215"/>
      <c r="AD87" s="215"/>
      <c r="AE87" s="215"/>
      <c r="AF87" s="215"/>
      <c r="AG87" s="216"/>
      <c r="AJ87" s="214"/>
      <c r="AO87" s="214"/>
      <c r="AQ87" s="214"/>
      <c r="AU87" s="217"/>
      <c r="AV87" s="217"/>
      <c r="AW87" s="217"/>
    </row>
    <row r="88">
      <c r="C88" s="214"/>
      <c r="E88" s="215"/>
      <c r="F88" s="215"/>
      <c r="G88" s="215"/>
      <c r="H88" s="215"/>
      <c r="I88" s="215"/>
      <c r="J88" s="215"/>
      <c r="K88" s="215"/>
      <c r="L88" s="215"/>
      <c r="M88" s="215"/>
      <c r="N88" s="215"/>
      <c r="O88" s="215"/>
      <c r="P88" s="215"/>
      <c r="Q88" s="215"/>
      <c r="R88" s="215"/>
      <c r="S88" s="215"/>
      <c r="T88" s="215"/>
      <c r="U88" s="215"/>
      <c r="V88" s="215"/>
      <c r="W88" s="215"/>
      <c r="X88" s="215"/>
      <c r="Y88" s="215"/>
      <c r="Z88" s="215"/>
      <c r="AA88" s="215"/>
      <c r="AB88" s="215"/>
      <c r="AC88" s="215"/>
      <c r="AD88" s="215"/>
      <c r="AE88" s="215"/>
      <c r="AF88" s="215"/>
      <c r="AG88" s="216"/>
      <c r="AJ88" s="214"/>
      <c r="AO88" s="214"/>
      <c r="AQ88" s="214"/>
      <c r="AU88" s="217"/>
      <c r="AV88" s="217"/>
      <c r="AW88" s="217"/>
    </row>
    <row r="89">
      <c r="C89" s="214"/>
      <c r="E89" s="215"/>
      <c r="F89" s="215"/>
      <c r="G89" s="215"/>
      <c r="H89" s="215"/>
      <c r="I89" s="215"/>
      <c r="J89" s="215"/>
      <c r="K89" s="215"/>
      <c r="L89" s="215"/>
      <c r="M89" s="215"/>
      <c r="N89" s="215"/>
      <c r="O89" s="215"/>
      <c r="P89" s="215"/>
      <c r="Q89" s="215"/>
      <c r="R89" s="215"/>
      <c r="S89" s="215"/>
      <c r="T89" s="215"/>
      <c r="U89" s="215"/>
      <c r="V89" s="215"/>
      <c r="W89" s="215"/>
      <c r="X89" s="215"/>
      <c r="Y89" s="215"/>
      <c r="Z89" s="215"/>
      <c r="AA89" s="215"/>
      <c r="AB89" s="215"/>
      <c r="AC89" s="215"/>
      <c r="AD89" s="215"/>
      <c r="AE89" s="215"/>
      <c r="AF89" s="215"/>
      <c r="AG89" s="216"/>
      <c r="AJ89" s="214"/>
      <c r="AO89" s="214"/>
      <c r="AQ89" s="214"/>
      <c r="AU89" s="217"/>
      <c r="AV89" s="217"/>
      <c r="AW89" s="217"/>
    </row>
    <row r="90">
      <c r="C90" s="214"/>
      <c r="E90" s="215"/>
      <c r="F90" s="215"/>
      <c r="G90" s="215"/>
      <c r="H90" s="215"/>
      <c r="I90" s="215"/>
      <c r="J90" s="215"/>
      <c r="K90" s="215"/>
      <c r="L90" s="215"/>
      <c r="M90" s="215"/>
      <c r="N90" s="215"/>
      <c r="O90" s="215"/>
      <c r="P90" s="215"/>
      <c r="Q90" s="215"/>
      <c r="R90" s="215"/>
      <c r="S90" s="215"/>
      <c r="T90" s="215"/>
      <c r="U90" s="215"/>
      <c r="V90" s="215"/>
      <c r="W90" s="215"/>
      <c r="X90" s="215"/>
      <c r="Y90" s="215"/>
      <c r="Z90" s="215"/>
      <c r="AA90" s="215"/>
      <c r="AB90" s="215"/>
      <c r="AC90" s="215"/>
      <c r="AD90" s="215"/>
      <c r="AE90" s="215"/>
      <c r="AF90" s="215"/>
      <c r="AG90" s="216"/>
      <c r="AJ90" s="214"/>
      <c r="AO90" s="214"/>
      <c r="AQ90" s="214"/>
      <c r="AU90" s="217"/>
      <c r="AV90" s="217"/>
      <c r="AW90" s="217"/>
    </row>
    <row r="91">
      <c r="C91" s="214"/>
      <c r="E91" s="215"/>
      <c r="F91" s="215"/>
      <c r="G91" s="215"/>
      <c r="H91" s="215"/>
      <c r="I91" s="215"/>
      <c r="J91" s="215"/>
      <c r="K91" s="215"/>
      <c r="L91" s="215"/>
      <c r="M91" s="215"/>
      <c r="N91" s="215"/>
      <c r="O91" s="215"/>
      <c r="P91" s="215"/>
      <c r="Q91" s="215"/>
      <c r="R91" s="215"/>
      <c r="S91" s="215"/>
      <c r="T91" s="215"/>
      <c r="U91" s="215"/>
      <c r="V91" s="215"/>
      <c r="W91" s="215"/>
      <c r="X91" s="215"/>
      <c r="Y91" s="215"/>
      <c r="Z91" s="215"/>
      <c r="AA91" s="215"/>
      <c r="AB91" s="215"/>
      <c r="AC91" s="215"/>
      <c r="AD91" s="215"/>
      <c r="AE91" s="215"/>
      <c r="AF91" s="215"/>
      <c r="AG91" s="216"/>
      <c r="AJ91" s="214"/>
      <c r="AO91" s="214"/>
      <c r="AQ91" s="214"/>
      <c r="AU91" s="217"/>
      <c r="AV91" s="217"/>
      <c r="AW91" s="217"/>
    </row>
    <row r="92">
      <c r="C92" s="214"/>
      <c r="E92" s="215"/>
      <c r="F92" s="215"/>
      <c r="G92" s="215"/>
      <c r="H92" s="215"/>
      <c r="I92" s="215"/>
      <c r="J92" s="215"/>
      <c r="K92" s="215"/>
      <c r="L92" s="215"/>
      <c r="M92" s="215"/>
      <c r="N92" s="215"/>
      <c r="O92" s="215"/>
      <c r="P92" s="215"/>
      <c r="Q92" s="215"/>
      <c r="R92" s="215"/>
      <c r="S92" s="215"/>
      <c r="T92" s="215"/>
      <c r="U92" s="215"/>
      <c r="V92" s="215"/>
      <c r="W92" s="215"/>
      <c r="X92" s="215"/>
      <c r="Y92" s="215"/>
      <c r="Z92" s="215"/>
      <c r="AA92" s="215"/>
      <c r="AB92" s="215"/>
      <c r="AC92" s="215"/>
      <c r="AD92" s="215"/>
      <c r="AE92" s="215"/>
      <c r="AF92" s="215"/>
      <c r="AG92" s="216"/>
      <c r="AJ92" s="214"/>
      <c r="AO92" s="214"/>
      <c r="AQ92" s="214"/>
      <c r="AU92" s="217"/>
      <c r="AV92" s="217"/>
      <c r="AW92" s="217"/>
    </row>
    <row r="93">
      <c r="C93" s="214"/>
      <c r="E93" s="215"/>
      <c r="F93" s="215"/>
      <c r="G93" s="215"/>
      <c r="H93" s="215"/>
      <c r="I93" s="215"/>
      <c r="J93" s="215"/>
      <c r="K93" s="215"/>
      <c r="L93" s="215"/>
      <c r="M93" s="215"/>
      <c r="N93" s="215"/>
      <c r="O93" s="215"/>
      <c r="P93" s="215"/>
      <c r="Q93" s="215"/>
      <c r="R93" s="215"/>
      <c r="S93" s="215"/>
      <c r="T93" s="215"/>
      <c r="U93" s="215"/>
      <c r="V93" s="215"/>
      <c r="W93" s="215"/>
      <c r="X93" s="215"/>
      <c r="Y93" s="215"/>
      <c r="Z93" s="215"/>
      <c r="AA93" s="215"/>
      <c r="AB93" s="215"/>
      <c r="AC93" s="215"/>
      <c r="AD93" s="215"/>
      <c r="AE93" s="215"/>
      <c r="AF93" s="215"/>
      <c r="AG93" s="216"/>
      <c r="AJ93" s="214"/>
      <c r="AO93" s="214"/>
      <c r="AQ93" s="214"/>
      <c r="AU93" s="217"/>
      <c r="AV93" s="217"/>
      <c r="AW93" s="217"/>
    </row>
    <row r="94">
      <c r="C94" s="214"/>
      <c r="E94" s="215"/>
      <c r="F94" s="215"/>
      <c r="G94" s="215"/>
      <c r="H94" s="215"/>
      <c r="I94" s="215"/>
      <c r="J94" s="215"/>
      <c r="K94" s="215"/>
      <c r="L94" s="215"/>
      <c r="M94" s="215"/>
      <c r="N94" s="215"/>
      <c r="O94" s="215"/>
      <c r="P94" s="215"/>
      <c r="Q94" s="215"/>
      <c r="R94" s="215"/>
      <c r="S94" s="215"/>
      <c r="T94" s="215"/>
      <c r="U94" s="215"/>
      <c r="V94" s="215"/>
      <c r="W94" s="215"/>
      <c r="X94" s="215"/>
      <c r="Y94" s="215"/>
      <c r="Z94" s="215"/>
      <c r="AA94" s="215"/>
      <c r="AB94" s="215"/>
      <c r="AC94" s="215"/>
      <c r="AD94" s="215"/>
      <c r="AE94" s="215"/>
      <c r="AF94" s="215"/>
      <c r="AG94" s="216"/>
      <c r="AJ94" s="214"/>
      <c r="AO94" s="214"/>
      <c r="AQ94" s="214"/>
      <c r="AU94" s="217"/>
      <c r="AV94" s="217"/>
      <c r="AW94" s="217"/>
    </row>
    <row r="95">
      <c r="C95" s="214"/>
      <c r="E95" s="215"/>
      <c r="F95" s="215"/>
      <c r="G95" s="215"/>
      <c r="H95" s="215"/>
      <c r="I95" s="215"/>
      <c r="J95" s="215"/>
      <c r="K95" s="215"/>
      <c r="L95" s="215"/>
      <c r="M95" s="215"/>
      <c r="N95" s="215"/>
      <c r="O95" s="215"/>
      <c r="P95" s="215"/>
      <c r="Q95" s="215"/>
      <c r="R95" s="215"/>
      <c r="S95" s="215"/>
      <c r="T95" s="215"/>
      <c r="U95" s="215"/>
      <c r="V95" s="215"/>
      <c r="W95" s="215"/>
      <c r="X95" s="215"/>
      <c r="Y95" s="215"/>
      <c r="Z95" s="215"/>
      <c r="AA95" s="215"/>
      <c r="AB95" s="215"/>
      <c r="AC95" s="215"/>
      <c r="AD95" s="215"/>
      <c r="AE95" s="215"/>
      <c r="AF95" s="215"/>
      <c r="AG95" s="216"/>
      <c r="AJ95" s="214"/>
      <c r="AO95" s="214"/>
      <c r="AQ95" s="214"/>
      <c r="AU95" s="217"/>
      <c r="AV95" s="217"/>
      <c r="AW95" s="217"/>
    </row>
    <row r="96">
      <c r="C96" s="214"/>
      <c r="E96" s="215"/>
      <c r="F96" s="215"/>
      <c r="G96" s="215"/>
      <c r="H96" s="215"/>
      <c r="I96" s="215"/>
      <c r="J96" s="215"/>
      <c r="K96" s="215"/>
      <c r="L96" s="215"/>
      <c r="M96" s="215"/>
      <c r="N96" s="215"/>
      <c r="O96" s="215"/>
      <c r="P96" s="215"/>
      <c r="Q96" s="215"/>
      <c r="R96" s="215"/>
      <c r="S96" s="215"/>
      <c r="T96" s="215"/>
      <c r="U96" s="215"/>
      <c r="V96" s="215"/>
      <c r="W96" s="215"/>
      <c r="X96" s="215"/>
      <c r="Y96" s="215"/>
      <c r="Z96" s="215"/>
      <c r="AA96" s="215"/>
      <c r="AB96" s="215"/>
      <c r="AC96" s="215"/>
      <c r="AD96" s="215"/>
      <c r="AE96" s="215"/>
      <c r="AF96" s="215"/>
      <c r="AG96" s="216"/>
      <c r="AJ96" s="214"/>
      <c r="AO96" s="214"/>
      <c r="AQ96" s="214"/>
      <c r="AU96" s="217"/>
      <c r="AV96" s="217"/>
      <c r="AW96" s="217"/>
    </row>
    <row r="97">
      <c r="C97" s="214"/>
      <c r="E97" s="215"/>
      <c r="F97" s="215"/>
      <c r="G97" s="215"/>
      <c r="H97" s="215"/>
      <c r="I97" s="215"/>
      <c r="J97" s="215"/>
      <c r="K97" s="215"/>
      <c r="L97" s="215"/>
      <c r="M97" s="215"/>
      <c r="N97" s="215"/>
      <c r="O97" s="215"/>
      <c r="P97" s="215"/>
      <c r="Q97" s="215"/>
      <c r="R97" s="215"/>
      <c r="S97" s="215"/>
      <c r="T97" s="215"/>
      <c r="U97" s="215"/>
      <c r="V97" s="215"/>
      <c r="W97" s="215"/>
      <c r="X97" s="215"/>
      <c r="Y97" s="215"/>
      <c r="Z97" s="215"/>
      <c r="AA97" s="215"/>
      <c r="AB97" s="215"/>
      <c r="AC97" s="215"/>
      <c r="AD97" s="215"/>
      <c r="AE97" s="215"/>
      <c r="AF97" s="215"/>
      <c r="AG97" s="216"/>
      <c r="AJ97" s="214"/>
      <c r="AO97" s="214"/>
      <c r="AQ97" s="214"/>
      <c r="AU97" s="217"/>
      <c r="AV97" s="217"/>
      <c r="AW97" s="217"/>
    </row>
    <row r="98">
      <c r="C98" s="214"/>
      <c r="E98" s="215"/>
      <c r="F98" s="215"/>
      <c r="G98" s="215"/>
      <c r="H98" s="215"/>
      <c r="I98" s="215"/>
      <c r="J98" s="215"/>
      <c r="K98" s="215"/>
      <c r="L98" s="215"/>
      <c r="M98" s="215"/>
      <c r="N98" s="215"/>
      <c r="O98" s="215"/>
      <c r="P98" s="215"/>
      <c r="Q98" s="215"/>
      <c r="R98" s="215"/>
      <c r="S98" s="215"/>
      <c r="T98" s="215"/>
      <c r="U98" s="215"/>
      <c r="V98" s="215"/>
      <c r="W98" s="215"/>
      <c r="X98" s="215"/>
      <c r="Y98" s="215"/>
      <c r="Z98" s="215"/>
      <c r="AA98" s="215"/>
      <c r="AB98" s="215"/>
      <c r="AC98" s="215"/>
      <c r="AD98" s="215"/>
      <c r="AE98" s="215"/>
      <c r="AF98" s="215"/>
      <c r="AG98" s="216"/>
      <c r="AJ98" s="214"/>
      <c r="AO98" s="214"/>
      <c r="AQ98" s="214"/>
      <c r="AU98" s="217"/>
      <c r="AV98" s="217"/>
      <c r="AW98" s="217"/>
    </row>
    <row r="99">
      <c r="C99" s="214"/>
      <c r="E99" s="215"/>
      <c r="F99" s="215"/>
      <c r="G99" s="215"/>
      <c r="H99" s="215"/>
      <c r="I99" s="215"/>
      <c r="J99" s="215"/>
      <c r="K99" s="215"/>
      <c r="L99" s="215"/>
      <c r="M99" s="215"/>
      <c r="N99" s="215"/>
      <c r="O99" s="215"/>
      <c r="P99" s="215"/>
      <c r="Q99" s="215"/>
      <c r="R99" s="215"/>
      <c r="S99" s="215"/>
      <c r="T99" s="215"/>
      <c r="U99" s="215"/>
      <c r="V99" s="215"/>
      <c r="W99" s="215"/>
      <c r="X99" s="215"/>
      <c r="Y99" s="215"/>
      <c r="Z99" s="215"/>
      <c r="AA99" s="215"/>
      <c r="AB99" s="215"/>
      <c r="AC99" s="215"/>
      <c r="AD99" s="215"/>
      <c r="AE99" s="215"/>
      <c r="AF99" s="215"/>
      <c r="AG99" s="216"/>
      <c r="AJ99" s="214"/>
      <c r="AO99" s="214"/>
      <c r="AQ99" s="214"/>
      <c r="AU99" s="217"/>
      <c r="AV99" s="217"/>
      <c r="AW99" s="217"/>
    </row>
    <row r="100">
      <c r="C100" s="214"/>
      <c r="E100" s="215"/>
      <c r="F100" s="215"/>
      <c r="G100" s="215"/>
      <c r="H100" s="215"/>
      <c r="I100" s="215"/>
      <c r="J100" s="215"/>
      <c r="K100" s="215"/>
      <c r="L100" s="215"/>
      <c r="M100" s="215"/>
      <c r="N100" s="215"/>
      <c r="O100" s="215"/>
      <c r="P100" s="215"/>
      <c r="Q100" s="215"/>
      <c r="R100" s="215"/>
      <c r="S100" s="215"/>
      <c r="T100" s="215"/>
      <c r="U100" s="215"/>
      <c r="V100" s="215"/>
      <c r="W100" s="215"/>
      <c r="X100" s="215"/>
      <c r="Y100" s="215"/>
      <c r="Z100" s="215"/>
      <c r="AA100" s="215"/>
      <c r="AB100" s="215"/>
      <c r="AC100" s="215"/>
      <c r="AD100" s="215"/>
      <c r="AE100" s="215"/>
      <c r="AF100" s="215"/>
      <c r="AG100" s="216"/>
      <c r="AJ100" s="214"/>
      <c r="AO100" s="214"/>
      <c r="AQ100" s="214"/>
      <c r="AU100" s="217"/>
      <c r="AV100" s="217"/>
      <c r="AW100" s="217"/>
    </row>
    <row r="101">
      <c r="C101" s="214"/>
      <c r="E101" s="215"/>
      <c r="F101" s="215"/>
      <c r="G101" s="215"/>
      <c r="H101" s="215"/>
      <c r="I101" s="215"/>
      <c r="J101" s="215"/>
      <c r="K101" s="215"/>
      <c r="L101" s="215"/>
      <c r="M101" s="215"/>
      <c r="N101" s="215"/>
      <c r="O101" s="215"/>
      <c r="P101" s="215"/>
      <c r="Q101" s="215"/>
      <c r="R101" s="215"/>
      <c r="S101" s="215"/>
      <c r="T101" s="215"/>
      <c r="U101" s="215"/>
      <c r="V101" s="215"/>
      <c r="W101" s="215"/>
      <c r="X101" s="215"/>
      <c r="Y101" s="215"/>
      <c r="Z101" s="215"/>
      <c r="AA101" s="215"/>
      <c r="AB101" s="215"/>
      <c r="AC101" s="215"/>
      <c r="AD101" s="215"/>
      <c r="AE101" s="215"/>
      <c r="AF101" s="215"/>
      <c r="AG101" s="216"/>
      <c r="AJ101" s="214"/>
      <c r="AO101" s="214"/>
      <c r="AQ101" s="214"/>
      <c r="AU101" s="217"/>
      <c r="AV101" s="217"/>
      <c r="AW101" s="217"/>
    </row>
    <row r="102">
      <c r="C102" s="214"/>
      <c r="E102" s="215"/>
      <c r="F102" s="215"/>
      <c r="G102" s="215"/>
      <c r="H102" s="215"/>
      <c r="I102" s="215"/>
      <c r="J102" s="215"/>
      <c r="K102" s="215"/>
      <c r="L102" s="215"/>
      <c r="M102" s="215"/>
      <c r="N102" s="215"/>
      <c r="O102" s="215"/>
      <c r="P102" s="215"/>
      <c r="Q102" s="215"/>
      <c r="R102" s="215"/>
      <c r="S102" s="215"/>
      <c r="T102" s="215"/>
      <c r="U102" s="215"/>
      <c r="V102" s="215"/>
      <c r="W102" s="215"/>
      <c r="X102" s="215"/>
      <c r="Y102" s="215"/>
      <c r="Z102" s="215"/>
      <c r="AA102" s="215"/>
      <c r="AB102" s="215"/>
      <c r="AC102" s="215"/>
      <c r="AD102" s="215"/>
      <c r="AE102" s="215"/>
      <c r="AF102" s="215"/>
      <c r="AG102" s="216"/>
      <c r="AJ102" s="214"/>
      <c r="AO102" s="214"/>
      <c r="AQ102" s="214"/>
      <c r="AU102" s="217"/>
      <c r="AV102" s="217"/>
      <c r="AW102" s="217"/>
    </row>
    <row r="103">
      <c r="C103" s="214"/>
      <c r="E103" s="215"/>
      <c r="F103" s="215"/>
      <c r="G103" s="215"/>
      <c r="H103" s="215"/>
      <c r="I103" s="215"/>
      <c r="J103" s="215"/>
      <c r="K103" s="215"/>
      <c r="L103" s="215"/>
      <c r="M103" s="215"/>
      <c r="N103" s="215"/>
      <c r="O103" s="215"/>
      <c r="P103" s="215"/>
      <c r="Q103" s="215"/>
      <c r="R103" s="215"/>
      <c r="S103" s="215"/>
      <c r="T103" s="215"/>
      <c r="U103" s="215"/>
      <c r="V103" s="215"/>
      <c r="W103" s="215"/>
      <c r="X103" s="215"/>
      <c r="Y103" s="215"/>
      <c r="Z103" s="215"/>
      <c r="AA103" s="215"/>
      <c r="AB103" s="215"/>
      <c r="AC103" s="215"/>
      <c r="AD103" s="215"/>
      <c r="AE103" s="215"/>
      <c r="AF103" s="215"/>
      <c r="AG103" s="216"/>
      <c r="AJ103" s="214"/>
      <c r="AO103" s="214"/>
      <c r="AQ103" s="214"/>
      <c r="AU103" s="217"/>
      <c r="AV103" s="217"/>
      <c r="AW103" s="217"/>
    </row>
    <row r="104">
      <c r="C104" s="214"/>
      <c r="E104" s="215"/>
      <c r="F104" s="215"/>
      <c r="G104" s="215"/>
      <c r="H104" s="215"/>
      <c r="I104" s="215"/>
      <c r="J104" s="215"/>
      <c r="K104" s="215"/>
      <c r="L104" s="215"/>
      <c r="M104" s="215"/>
      <c r="N104" s="215"/>
      <c r="O104" s="215"/>
      <c r="P104" s="215"/>
      <c r="Q104" s="215"/>
      <c r="R104" s="215"/>
      <c r="S104" s="215"/>
      <c r="T104" s="215"/>
      <c r="U104" s="215"/>
      <c r="V104" s="215"/>
      <c r="W104" s="215"/>
      <c r="X104" s="215"/>
      <c r="Y104" s="215"/>
      <c r="Z104" s="215"/>
      <c r="AA104" s="215"/>
      <c r="AB104" s="215"/>
      <c r="AC104" s="215"/>
      <c r="AD104" s="215"/>
      <c r="AE104" s="215"/>
      <c r="AF104" s="215"/>
      <c r="AG104" s="216"/>
      <c r="AJ104" s="214"/>
      <c r="AO104" s="214"/>
      <c r="AQ104" s="214"/>
      <c r="AU104" s="217"/>
      <c r="AV104" s="217"/>
      <c r="AW104" s="217"/>
    </row>
    <row r="105">
      <c r="C105" s="214"/>
      <c r="E105" s="215"/>
      <c r="F105" s="215"/>
      <c r="G105" s="215"/>
      <c r="H105" s="215"/>
      <c r="I105" s="215"/>
      <c r="J105" s="215"/>
      <c r="K105" s="215"/>
      <c r="L105" s="215"/>
      <c r="M105" s="215"/>
      <c r="N105" s="215"/>
      <c r="O105" s="215"/>
      <c r="P105" s="215"/>
      <c r="Q105" s="215"/>
      <c r="R105" s="215"/>
      <c r="S105" s="215"/>
      <c r="T105" s="215"/>
      <c r="U105" s="215"/>
      <c r="V105" s="215"/>
      <c r="W105" s="215"/>
      <c r="X105" s="215"/>
      <c r="Y105" s="215"/>
      <c r="Z105" s="215"/>
      <c r="AA105" s="215"/>
      <c r="AB105" s="215"/>
      <c r="AC105" s="215"/>
      <c r="AD105" s="215"/>
      <c r="AE105" s="215"/>
      <c r="AF105" s="215"/>
      <c r="AG105" s="216"/>
      <c r="AJ105" s="214"/>
      <c r="AO105" s="214"/>
      <c r="AQ105" s="214"/>
      <c r="AU105" s="217"/>
      <c r="AV105" s="217"/>
      <c r="AW105" s="217"/>
    </row>
    <row r="106">
      <c r="C106" s="214"/>
      <c r="E106" s="215"/>
      <c r="F106" s="215"/>
      <c r="G106" s="215"/>
      <c r="H106" s="215"/>
      <c r="I106" s="215"/>
      <c r="J106" s="215"/>
      <c r="K106" s="215"/>
      <c r="L106" s="215"/>
      <c r="M106" s="215"/>
      <c r="N106" s="215"/>
      <c r="O106" s="215"/>
      <c r="P106" s="215"/>
      <c r="Q106" s="215"/>
      <c r="R106" s="215"/>
      <c r="S106" s="215"/>
      <c r="T106" s="215"/>
      <c r="U106" s="215"/>
      <c r="V106" s="215"/>
      <c r="W106" s="215"/>
      <c r="X106" s="215"/>
      <c r="Y106" s="215"/>
      <c r="Z106" s="215"/>
      <c r="AA106" s="215"/>
      <c r="AB106" s="215"/>
      <c r="AC106" s="215"/>
      <c r="AD106" s="215"/>
      <c r="AE106" s="215"/>
      <c r="AF106" s="215"/>
      <c r="AG106" s="216"/>
      <c r="AJ106" s="214"/>
      <c r="AO106" s="214"/>
      <c r="AQ106" s="214"/>
      <c r="AU106" s="217"/>
      <c r="AV106" s="217"/>
      <c r="AW106" s="217"/>
    </row>
    <row r="107">
      <c r="C107" s="214"/>
      <c r="E107" s="215"/>
      <c r="F107" s="215"/>
      <c r="G107" s="215"/>
      <c r="H107" s="215"/>
      <c r="I107" s="215"/>
      <c r="J107" s="215"/>
      <c r="K107" s="215"/>
      <c r="L107" s="215"/>
      <c r="M107" s="215"/>
      <c r="N107" s="215"/>
      <c r="O107" s="215"/>
      <c r="P107" s="215"/>
      <c r="Q107" s="215"/>
      <c r="R107" s="215"/>
      <c r="S107" s="215"/>
      <c r="T107" s="215"/>
      <c r="U107" s="215"/>
      <c r="V107" s="215"/>
      <c r="W107" s="215"/>
      <c r="X107" s="215"/>
      <c r="Y107" s="215"/>
      <c r="Z107" s="215"/>
      <c r="AA107" s="215"/>
      <c r="AB107" s="215"/>
      <c r="AC107" s="215"/>
      <c r="AD107" s="215"/>
      <c r="AE107" s="215"/>
      <c r="AF107" s="215"/>
      <c r="AG107" s="216"/>
      <c r="AJ107" s="214"/>
      <c r="AO107" s="214"/>
      <c r="AQ107" s="214"/>
      <c r="AU107" s="217"/>
      <c r="AV107" s="217"/>
      <c r="AW107" s="217"/>
    </row>
    <row r="108">
      <c r="C108" s="214"/>
      <c r="E108" s="215"/>
      <c r="F108" s="215"/>
      <c r="G108" s="215"/>
      <c r="H108" s="215"/>
      <c r="I108" s="215"/>
      <c r="J108" s="215"/>
      <c r="K108" s="215"/>
      <c r="L108" s="215"/>
      <c r="M108" s="215"/>
      <c r="N108" s="215"/>
      <c r="O108" s="215"/>
      <c r="P108" s="215"/>
      <c r="Q108" s="215"/>
      <c r="R108" s="215"/>
      <c r="S108" s="215"/>
      <c r="T108" s="215"/>
      <c r="U108" s="215"/>
      <c r="V108" s="215"/>
      <c r="W108" s="215"/>
      <c r="X108" s="215"/>
      <c r="Y108" s="215"/>
      <c r="Z108" s="215"/>
      <c r="AA108" s="215"/>
      <c r="AB108" s="215"/>
      <c r="AC108" s="215"/>
      <c r="AD108" s="215"/>
      <c r="AE108" s="215"/>
      <c r="AF108" s="215"/>
      <c r="AG108" s="216"/>
      <c r="AJ108" s="214"/>
      <c r="AO108" s="214"/>
      <c r="AQ108" s="214"/>
      <c r="AU108" s="217"/>
      <c r="AV108" s="217"/>
      <c r="AW108" s="217"/>
    </row>
    <row r="109">
      <c r="C109" s="214"/>
      <c r="E109" s="215"/>
      <c r="F109" s="215"/>
      <c r="G109" s="215"/>
      <c r="H109" s="215"/>
      <c r="I109" s="215"/>
      <c r="J109" s="215"/>
      <c r="K109" s="215"/>
      <c r="L109" s="215"/>
      <c r="M109" s="215"/>
      <c r="N109" s="215"/>
      <c r="O109" s="215"/>
      <c r="P109" s="215"/>
      <c r="Q109" s="215"/>
      <c r="R109" s="215"/>
      <c r="S109" s="215"/>
      <c r="T109" s="215"/>
      <c r="U109" s="215"/>
      <c r="V109" s="215"/>
      <c r="W109" s="215"/>
      <c r="X109" s="215"/>
      <c r="Y109" s="215"/>
      <c r="Z109" s="215"/>
      <c r="AA109" s="215"/>
      <c r="AB109" s="215"/>
      <c r="AC109" s="215"/>
      <c r="AD109" s="215"/>
      <c r="AE109" s="215"/>
      <c r="AF109" s="215"/>
      <c r="AG109" s="216"/>
      <c r="AJ109" s="214"/>
      <c r="AO109" s="214"/>
      <c r="AQ109" s="214"/>
      <c r="AU109" s="217"/>
      <c r="AV109" s="217"/>
      <c r="AW109" s="217"/>
    </row>
    <row r="110">
      <c r="C110" s="214"/>
      <c r="E110" s="215"/>
      <c r="F110" s="215"/>
      <c r="G110" s="215"/>
      <c r="H110" s="215"/>
      <c r="I110" s="215"/>
      <c r="J110" s="215"/>
      <c r="K110" s="215"/>
      <c r="L110" s="215"/>
      <c r="M110" s="215"/>
      <c r="N110" s="215"/>
      <c r="O110" s="215"/>
      <c r="P110" s="215"/>
      <c r="Q110" s="215"/>
      <c r="R110" s="215"/>
      <c r="S110" s="215"/>
      <c r="T110" s="215"/>
      <c r="U110" s="215"/>
      <c r="V110" s="215"/>
      <c r="W110" s="215"/>
      <c r="X110" s="215"/>
      <c r="Y110" s="215"/>
      <c r="Z110" s="215"/>
      <c r="AA110" s="215"/>
      <c r="AB110" s="215"/>
      <c r="AC110" s="215"/>
      <c r="AD110" s="215"/>
      <c r="AE110" s="215"/>
      <c r="AF110" s="215"/>
      <c r="AG110" s="216"/>
      <c r="AJ110" s="214"/>
      <c r="AO110" s="214"/>
      <c r="AQ110" s="214"/>
      <c r="AU110" s="217"/>
      <c r="AV110" s="217"/>
      <c r="AW110" s="217"/>
    </row>
    <row r="111">
      <c r="C111" s="214"/>
      <c r="E111" s="215"/>
      <c r="F111" s="215"/>
      <c r="G111" s="215"/>
      <c r="H111" s="215"/>
      <c r="I111" s="215"/>
      <c r="J111" s="215"/>
      <c r="K111" s="215"/>
      <c r="L111" s="215"/>
      <c r="M111" s="215"/>
      <c r="N111" s="215"/>
      <c r="O111" s="215"/>
      <c r="P111" s="215"/>
      <c r="Q111" s="215"/>
      <c r="R111" s="215"/>
      <c r="S111" s="215"/>
      <c r="T111" s="215"/>
      <c r="U111" s="215"/>
      <c r="V111" s="215"/>
      <c r="W111" s="215"/>
      <c r="X111" s="215"/>
      <c r="Y111" s="215"/>
      <c r="Z111" s="215"/>
      <c r="AA111" s="215"/>
      <c r="AB111" s="215"/>
      <c r="AC111" s="215"/>
      <c r="AD111" s="215"/>
      <c r="AE111" s="215"/>
      <c r="AF111" s="215"/>
      <c r="AG111" s="216"/>
      <c r="AJ111" s="214"/>
      <c r="AO111" s="214"/>
      <c r="AQ111" s="214"/>
      <c r="AU111" s="217"/>
      <c r="AV111" s="217"/>
      <c r="AW111" s="217"/>
    </row>
    <row r="112">
      <c r="C112" s="214"/>
      <c r="E112" s="215"/>
      <c r="F112" s="215"/>
      <c r="G112" s="215"/>
      <c r="H112" s="215"/>
      <c r="I112" s="215"/>
      <c r="J112" s="215"/>
      <c r="K112" s="215"/>
      <c r="L112" s="215"/>
      <c r="M112" s="215"/>
      <c r="N112" s="215"/>
      <c r="O112" s="215"/>
      <c r="P112" s="215"/>
      <c r="Q112" s="215"/>
      <c r="R112" s="215"/>
      <c r="S112" s="215"/>
      <c r="T112" s="215"/>
      <c r="U112" s="215"/>
      <c r="V112" s="215"/>
      <c r="W112" s="215"/>
      <c r="X112" s="215"/>
      <c r="Y112" s="215"/>
      <c r="Z112" s="215"/>
      <c r="AA112" s="215"/>
      <c r="AB112" s="215"/>
      <c r="AC112" s="215"/>
      <c r="AD112" s="215"/>
      <c r="AE112" s="215"/>
      <c r="AF112" s="215"/>
      <c r="AG112" s="216"/>
      <c r="AJ112" s="214"/>
      <c r="AO112" s="214"/>
      <c r="AQ112" s="214"/>
      <c r="AU112" s="217"/>
      <c r="AV112" s="217"/>
      <c r="AW112" s="217"/>
    </row>
    <row r="113">
      <c r="C113" s="214"/>
      <c r="E113" s="215"/>
      <c r="F113" s="215"/>
      <c r="G113" s="215"/>
      <c r="H113" s="215"/>
      <c r="I113" s="215"/>
      <c r="J113" s="215"/>
      <c r="K113" s="215"/>
      <c r="L113" s="215"/>
      <c r="M113" s="215"/>
      <c r="N113" s="215"/>
      <c r="O113" s="215"/>
      <c r="P113" s="215"/>
      <c r="Q113" s="215"/>
      <c r="R113" s="215"/>
      <c r="S113" s="215"/>
      <c r="T113" s="215"/>
      <c r="U113" s="215"/>
      <c r="V113" s="215"/>
      <c r="W113" s="215"/>
      <c r="X113" s="215"/>
      <c r="Y113" s="215"/>
      <c r="Z113" s="215"/>
      <c r="AA113" s="215"/>
      <c r="AB113" s="215"/>
      <c r="AC113" s="215"/>
      <c r="AD113" s="215"/>
      <c r="AE113" s="215"/>
      <c r="AF113" s="215"/>
      <c r="AG113" s="216"/>
      <c r="AJ113" s="214"/>
      <c r="AO113" s="214"/>
      <c r="AQ113" s="214"/>
      <c r="AU113" s="217"/>
      <c r="AV113" s="217"/>
      <c r="AW113" s="217"/>
    </row>
    <row r="114">
      <c r="C114" s="214"/>
      <c r="E114" s="215"/>
      <c r="F114" s="215"/>
      <c r="G114" s="215"/>
      <c r="H114" s="215"/>
      <c r="I114" s="215"/>
      <c r="J114" s="215"/>
      <c r="K114" s="215"/>
      <c r="L114" s="215"/>
      <c r="M114" s="215"/>
      <c r="N114" s="215"/>
      <c r="O114" s="215"/>
      <c r="P114" s="215"/>
      <c r="Q114" s="215"/>
      <c r="R114" s="215"/>
      <c r="S114" s="215"/>
      <c r="T114" s="215"/>
      <c r="U114" s="215"/>
      <c r="V114" s="215"/>
      <c r="W114" s="215"/>
      <c r="X114" s="215"/>
      <c r="Y114" s="215"/>
      <c r="Z114" s="215"/>
      <c r="AA114" s="215"/>
      <c r="AB114" s="215"/>
      <c r="AC114" s="215"/>
      <c r="AD114" s="215"/>
      <c r="AE114" s="215"/>
      <c r="AF114" s="215"/>
      <c r="AG114" s="216"/>
      <c r="AJ114" s="214"/>
      <c r="AO114" s="214"/>
      <c r="AQ114" s="214"/>
      <c r="AU114" s="217"/>
      <c r="AV114" s="217"/>
      <c r="AW114" s="217"/>
    </row>
    <row r="115">
      <c r="C115" s="214"/>
      <c r="E115" s="215"/>
      <c r="F115" s="215"/>
      <c r="G115" s="215"/>
      <c r="H115" s="215"/>
      <c r="I115" s="215"/>
      <c r="J115" s="215"/>
      <c r="K115" s="215"/>
      <c r="L115" s="215"/>
      <c r="M115" s="215"/>
      <c r="N115" s="215"/>
      <c r="O115" s="215"/>
      <c r="P115" s="215"/>
      <c r="Q115" s="215"/>
      <c r="R115" s="215"/>
      <c r="S115" s="215"/>
      <c r="T115" s="215"/>
      <c r="U115" s="215"/>
      <c r="V115" s="215"/>
      <c r="W115" s="215"/>
      <c r="X115" s="215"/>
      <c r="Y115" s="215"/>
      <c r="Z115" s="215"/>
      <c r="AA115" s="215"/>
      <c r="AB115" s="215"/>
      <c r="AC115" s="215"/>
      <c r="AD115" s="215"/>
      <c r="AE115" s="215"/>
      <c r="AF115" s="215"/>
      <c r="AG115" s="216"/>
      <c r="AJ115" s="214"/>
      <c r="AO115" s="214"/>
      <c r="AQ115" s="214"/>
      <c r="AU115" s="217"/>
      <c r="AV115" s="217"/>
      <c r="AW115" s="217"/>
    </row>
    <row r="116">
      <c r="C116" s="214"/>
      <c r="E116" s="215"/>
      <c r="F116" s="215"/>
      <c r="G116" s="215"/>
      <c r="H116" s="215"/>
      <c r="I116" s="215"/>
      <c r="J116" s="215"/>
      <c r="K116" s="215"/>
      <c r="L116" s="215"/>
      <c r="M116" s="215"/>
      <c r="N116" s="215"/>
      <c r="O116" s="215"/>
      <c r="P116" s="215"/>
      <c r="Q116" s="215"/>
      <c r="R116" s="215"/>
      <c r="S116" s="215"/>
      <c r="T116" s="215"/>
      <c r="U116" s="215"/>
      <c r="V116" s="215"/>
      <c r="W116" s="215"/>
      <c r="X116" s="215"/>
      <c r="Y116" s="215"/>
      <c r="Z116" s="215"/>
      <c r="AA116" s="215"/>
      <c r="AB116" s="215"/>
      <c r="AC116" s="215"/>
      <c r="AD116" s="215"/>
      <c r="AE116" s="215"/>
      <c r="AF116" s="215"/>
      <c r="AG116" s="216"/>
      <c r="AJ116" s="214"/>
      <c r="AO116" s="214"/>
      <c r="AQ116" s="214"/>
      <c r="AU116" s="217"/>
      <c r="AV116" s="217"/>
      <c r="AW116" s="217"/>
    </row>
    <row r="117">
      <c r="C117" s="214"/>
      <c r="E117" s="215"/>
      <c r="F117" s="215"/>
      <c r="G117" s="215"/>
      <c r="H117" s="215"/>
      <c r="I117" s="215"/>
      <c r="J117" s="215"/>
      <c r="K117" s="215"/>
      <c r="L117" s="215"/>
      <c r="M117" s="215"/>
      <c r="N117" s="215"/>
      <c r="O117" s="215"/>
      <c r="P117" s="215"/>
      <c r="Q117" s="215"/>
      <c r="R117" s="215"/>
      <c r="S117" s="215"/>
      <c r="T117" s="215"/>
      <c r="U117" s="215"/>
      <c r="V117" s="215"/>
      <c r="W117" s="215"/>
      <c r="X117" s="215"/>
      <c r="Y117" s="215"/>
      <c r="Z117" s="215"/>
      <c r="AA117" s="215"/>
      <c r="AB117" s="215"/>
      <c r="AC117" s="215"/>
      <c r="AD117" s="215"/>
      <c r="AE117" s="215"/>
      <c r="AF117" s="215"/>
      <c r="AG117" s="216"/>
      <c r="AJ117" s="214"/>
      <c r="AO117" s="214"/>
      <c r="AQ117" s="214"/>
      <c r="AU117" s="217"/>
      <c r="AV117" s="217"/>
      <c r="AW117" s="217"/>
    </row>
    <row r="118">
      <c r="C118" s="214"/>
      <c r="E118" s="215"/>
      <c r="F118" s="215"/>
      <c r="G118" s="215"/>
      <c r="H118" s="215"/>
      <c r="I118" s="215"/>
      <c r="J118" s="215"/>
      <c r="K118" s="215"/>
      <c r="L118" s="215"/>
      <c r="M118" s="215"/>
      <c r="N118" s="215"/>
      <c r="O118" s="215"/>
      <c r="P118" s="215"/>
      <c r="Q118" s="215"/>
      <c r="R118" s="215"/>
      <c r="S118" s="215"/>
      <c r="T118" s="215"/>
      <c r="U118" s="215"/>
      <c r="V118" s="215"/>
      <c r="W118" s="215"/>
      <c r="X118" s="215"/>
      <c r="Y118" s="215"/>
      <c r="Z118" s="215"/>
      <c r="AA118" s="215"/>
      <c r="AB118" s="215"/>
      <c r="AC118" s="215"/>
      <c r="AD118" s="215"/>
      <c r="AE118" s="215"/>
      <c r="AF118" s="215"/>
      <c r="AG118" s="216"/>
      <c r="AJ118" s="214"/>
      <c r="AO118" s="214"/>
      <c r="AQ118" s="214"/>
      <c r="AU118" s="217"/>
      <c r="AV118" s="217"/>
      <c r="AW118" s="217"/>
    </row>
    <row r="119">
      <c r="C119" s="214"/>
      <c r="E119" s="215"/>
      <c r="F119" s="215"/>
      <c r="G119" s="215"/>
      <c r="H119" s="215"/>
      <c r="I119" s="215"/>
      <c r="J119" s="215"/>
      <c r="K119" s="215"/>
      <c r="L119" s="215"/>
      <c r="M119" s="215"/>
      <c r="N119" s="215"/>
      <c r="O119" s="215"/>
      <c r="P119" s="215"/>
      <c r="Q119" s="215"/>
      <c r="R119" s="215"/>
      <c r="S119" s="215"/>
      <c r="T119" s="215"/>
      <c r="U119" s="215"/>
      <c r="V119" s="215"/>
      <c r="W119" s="215"/>
      <c r="X119" s="215"/>
      <c r="Y119" s="215"/>
      <c r="Z119" s="215"/>
      <c r="AA119" s="215"/>
      <c r="AB119" s="215"/>
      <c r="AC119" s="215"/>
      <c r="AD119" s="215"/>
      <c r="AE119" s="215"/>
      <c r="AF119" s="215"/>
      <c r="AG119" s="216"/>
      <c r="AJ119" s="214"/>
      <c r="AO119" s="214"/>
      <c r="AQ119" s="214"/>
      <c r="AU119" s="217"/>
      <c r="AV119" s="217"/>
      <c r="AW119" s="217"/>
    </row>
    <row r="120">
      <c r="C120" s="214"/>
      <c r="E120" s="215"/>
      <c r="F120" s="215"/>
      <c r="G120" s="215"/>
      <c r="H120" s="215"/>
      <c r="I120" s="215"/>
      <c r="J120" s="215"/>
      <c r="K120" s="215"/>
      <c r="L120" s="215"/>
      <c r="M120" s="215"/>
      <c r="N120" s="215"/>
      <c r="O120" s="215"/>
      <c r="P120" s="215"/>
      <c r="Q120" s="215"/>
      <c r="R120" s="215"/>
      <c r="S120" s="215"/>
      <c r="T120" s="215"/>
      <c r="U120" s="215"/>
      <c r="V120" s="215"/>
      <c r="W120" s="215"/>
      <c r="X120" s="215"/>
      <c r="Y120" s="215"/>
      <c r="Z120" s="215"/>
      <c r="AA120" s="215"/>
      <c r="AB120" s="215"/>
      <c r="AC120" s="215"/>
      <c r="AD120" s="215"/>
      <c r="AE120" s="215"/>
      <c r="AF120" s="215"/>
      <c r="AG120" s="216"/>
      <c r="AJ120" s="214"/>
      <c r="AO120" s="214"/>
      <c r="AQ120" s="214"/>
      <c r="AU120" s="217"/>
      <c r="AV120" s="217"/>
      <c r="AW120" s="217"/>
    </row>
    <row r="121">
      <c r="C121" s="214"/>
      <c r="E121" s="215"/>
      <c r="F121" s="215"/>
      <c r="G121" s="215"/>
      <c r="H121" s="215"/>
      <c r="I121" s="215"/>
      <c r="J121" s="215"/>
      <c r="K121" s="215"/>
      <c r="L121" s="215"/>
      <c r="M121" s="215"/>
      <c r="N121" s="215"/>
      <c r="O121" s="215"/>
      <c r="P121" s="215"/>
      <c r="Q121" s="215"/>
      <c r="R121" s="215"/>
      <c r="S121" s="215"/>
      <c r="T121" s="215"/>
      <c r="U121" s="215"/>
      <c r="V121" s="215"/>
      <c r="W121" s="215"/>
      <c r="X121" s="215"/>
      <c r="Y121" s="215"/>
      <c r="Z121" s="215"/>
      <c r="AA121" s="215"/>
      <c r="AB121" s="215"/>
      <c r="AC121" s="215"/>
      <c r="AD121" s="215"/>
      <c r="AE121" s="215"/>
      <c r="AF121" s="215"/>
      <c r="AG121" s="216"/>
      <c r="AJ121" s="214"/>
      <c r="AO121" s="214"/>
      <c r="AQ121" s="214"/>
      <c r="AU121" s="217"/>
      <c r="AV121" s="217"/>
      <c r="AW121" s="217"/>
    </row>
    <row r="122">
      <c r="C122" s="214"/>
      <c r="E122" s="215"/>
      <c r="F122" s="215"/>
      <c r="G122" s="215"/>
      <c r="H122" s="215"/>
      <c r="I122" s="215"/>
      <c r="J122" s="215"/>
      <c r="K122" s="215"/>
      <c r="L122" s="215"/>
      <c r="M122" s="215"/>
      <c r="N122" s="215"/>
      <c r="O122" s="215"/>
      <c r="P122" s="215"/>
      <c r="Q122" s="215"/>
      <c r="R122" s="215"/>
      <c r="S122" s="215"/>
      <c r="T122" s="215"/>
      <c r="U122" s="215"/>
      <c r="V122" s="215"/>
      <c r="W122" s="215"/>
      <c r="X122" s="215"/>
      <c r="Y122" s="215"/>
      <c r="Z122" s="215"/>
      <c r="AA122" s="215"/>
      <c r="AB122" s="215"/>
      <c r="AC122" s="215"/>
      <c r="AD122" s="215"/>
      <c r="AE122" s="215"/>
      <c r="AF122" s="215"/>
      <c r="AG122" s="216"/>
      <c r="AJ122" s="214"/>
      <c r="AO122" s="214"/>
      <c r="AQ122" s="214"/>
      <c r="AU122" s="217"/>
      <c r="AV122" s="217"/>
      <c r="AW122" s="217"/>
    </row>
    <row r="123">
      <c r="C123" s="214"/>
      <c r="E123" s="215"/>
      <c r="F123" s="215"/>
      <c r="G123" s="215"/>
      <c r="H123" s="215"/>
      <c r="I123" s="215"/>
      <c r="J123" s="215"/>
      <c r="K123" s="215"/>
      <c r="L123" s="215"/>
      <c r="M123" s="215"/>
      <c r="N123" s="215"/>
      <c r="O123" s="215"/>
      <c r="P123" s="215"/>
      <c r="Q123" s="215"/>
      <c r="R123" s="215"/>
      <c r="S123" s="215"/>
      <c r="T123" s="215"/>
      <c r="U123" s="215"/>
      <c r="V123" s="215"/>
      <c r="W123" s="215"/>
      <c r="X123" s="215"/>
      <c r="Y123" s="215"/>
      <c r="Z123" s="215"/>
      <c r="AA123" s="215"/>
      <c r="AB123" s="215"/>
      <c r="AC123" s="215"/>
      <c r="AD123" s="215"/>
      <c r="AE123" s="215"/>
      <c r="AF123" s="215"/>
      <c r="AG123" s="216"/>
      <c r="AJ123" s="214"/>
      <c r="AO123" s="214"/>
      <c r="AQ123" s="214"/>
      <c r="AU123" s="217"/>
      <c r="AV123" s="217"/>
      <c r="AW123" s="217"/>
    </row>
    <row r="124">
      <c r="C124" s="214"/>
      <c r="E124" s="215"/>
      <c r="F124" s="215"/>
      <c r="G124" s="215"/>
      <c r="H124" s="215"/>
      <c r="I124" s="215"/>
      <c r="J124" s="215"/>
      <c r="K124" s="215"/>
      <c r="L124" s="215"/>
      <c r="M124" s="215"/>
      <c r="N124" s="215"/>
      <c r="O124" s="215"/>
      <c r="P124" s="215"/>
      <c r="Q124" s="215"/>
      <c r="R124" s="215"/>
      <c r="S124" s="215"/>
      <c r="T124" s="215"/>
      <c r="U124" s="215"/>
      <c r="V124" s="215"/>
      <c r="W124" s="215"/>
      <c r="X124" s="215"/>
      <c r="Y124" s="215"/>
      <c r="Z124" s="215"/>
      <c r="AA124" s="215"/>
      <c r="AB124" s="215"/>
      <c r="AC124" s="215"/>
      <c r="AD124" s="215"/>
      <c r="AE124" s="215"/>
      <c r="AF124" s="215"/>
      <c r="AG124" s="216"/>
      <c r="AJ124" s="214"/>
      <c r="AO124" s="214"/>
      <c r="AQ124" s="214"/>
      <c r="AU124" s="217"/>
      <c r="AV124" s="217"/>
      <c r="AW124" s="217"/>
    </row>
    <row r="125">
      <c r="C125" s="214"/>
      <c r="E125" s="215"/>
      <c r="F125" s="215"/>
      <c r="G125" s="215"/>
      <c r="H125" s="215"/>
      <c r="I125" s="215"/>
      <c r="J125" s="215"/>
      <c r="K125" s="215"/>
      <c r="L125" s="215"/>
      <c r="M125" s="215"/>
      <c r="N125" s="215"/>
      <c r="O125" s="215"/>
      <c r="P125" s="215"/>
      <c r="Q125" s="215"/>
      <c r="R125" s="215"/>
      <c r="S125" s="215"/>
      <c r="T125" s="215"/>
      <c r="U125" s="215"/>
      <c r="V125" s="215"/>
      <c r="W125" s="215"/>
      <c r="X125" s="215"/>
      <c r="Y125" s="215"/>
      <c r="Z125" s="215"/>
      <c r="AA125" s="215"/>
      <c r="AB125" s="215"/>
      <c r="AC125" s="215"/>
      <c r="AD125" s="215"/>
      <c r="AE125" s="215"/>
      <c r="AF125" s="215"/>
      <c r="AG125" s="216"/>
      <c r="AJ125" s="214"/>
      <c r="AO125" s="214"/>
      <c r="AQ125" s="214"/>
      <c r="AU125" s="217"/>
      <c r="AV125" s="217"/>
      <c r="AW125" s="217"/>
    </row>
    <row r="126">
      <c r="C126" s="214"/>
      <c r="E126" s="215"/>
      <c r="F126" s="215"/>
      <c r="G126" s="215"/>
      <c r="H126" s="215"/>
      <c r="I126" s="215"/>
      <c r="J126" s="215"/>
      <c r="K126" s="215"/>
      <c r="L126" s="215"/>
      <c r="M126" s="215"/>
      <c r="N126" s="215"/>
      <c r="O126" s="215"/>
      <c r="P126" s="215"/>
      <c r="Q126" s="215"/>
      <c r="R126" s="215"/>
      <c r="S126" s="215"/>
      <c r="T126" s="215"/>
      <c r="U126" s="215"/>
      <c r="V126" s="215"/>
      <c r="W126" s="215"/>
      <c r="X126" s="215"/>
      <c r="Y126" s="215"/>
      <c r="Z126" s="215"/>
      <c r="AA126" s="215"/>
      <c r="AB126" s="215"/>
      <c r="AC126" s="215"/>
      <c r="AD126" s="215"/>
      <c r="AE126" s="215"/>
      <c r="AF126" s="215"/>
      <c r="AG126" s="216"/>
      <c r="AJ126" s="214"/>
      <c r="AO126" s="214"/>
      <c r="AQ126" s="214"/>
      <c r="AU126" s="217"/>
      <c r="AV126" s="217"/>
      <c r="AW126" s="217"/>
    </row>
    <row r="127">
      <c r="C127" s="214"/>
      <c r="E127" s="215"/>
      <c r="F127" s="215"/>
      <c r="G127" s="215"/>
      <c r="H127" s="215"/>
      <c r="I127" s="215"/>
      <c r="J127" s="215"/>
      <c r="K127" s="215"/>
      <c r="L127" s="215"/>
      <c r="M127" s="215"/>
      <c r="N127" s="215"/>
      <c r="O127" s="215"/>
      <c r="P127" s="215"/>
      <c r="Q127" s="215"/>
      <c r="R127" s="215"/>
      <c r="S127" s="215"/>
      <c r="T127" s="215"/>
      <c r="U127" s="215"/>
      <c r="V127" s="215"/>
      <c r="W127" s="215"/>
      <c r="X127" s="215"/>
      <c r="Y127" s="215"/>
      <c r="Z127" s="215"/>
      <c r="AA127" s="215"/>
      <c r="AB127" s="215"/>
      <c r="AC127" s="215"/>
      <c r="AD127" s="215"/>
      <c r="AE127" s="215"/>
      <c r="AF127" s="215"/>
      <c r="AG127" s="216"/>
      <c r="AJ127" s="214"/>
      <c r="AO127" s="214"/>
      <c r="AQ127" s="214"/>
      <c r="AU127" s="217"/>
      <c r="AV127" s="217"/>
      <c r="AW127" s="217"/>
    </row>
    <row r="128">
      <c r="C128" s="214"/>
      <c r="E128" s="215"/>
      <c r="F128" s="215"/>
      <c r="G128" s="215"/>
      <c r="H128" s="215"/>
      <c r="I128" s="215"/>
      <c r="J128" s="215"/>
      <c r="K128" s="215"/>
      <c r="L128" s="215"/>
      <c r="M128" s="215"/>
      <c r="N128" s="215"/>
      <c r="O128" s="215"/>
      <c r="P128" s="215"/>
      <c r="Q128" s="215"/>
      <c r="R128" s="215"/>
      <c r="S128" s="215"/>
      <c r="T128" s="215"/>
      <c r="U128" s="215"/>
      <c r="V128" s="215"/>
      <c r="W128" s="215"/>
      <c r="X128" s="215"/>
      <c r="Y128" s="215"/>
      <c r="Z128" s="215"/>
      <c r="AA128" s="215"/>
      <c r="AB128" s="215"/>
      <c r="AC128" s="215"/>
      <c r="AD128" s="215"/>
      <c r="AE128" s="215"/>
      <c r="AF128" s="215"/>
      <c r="AG128" s="216"/>
      <c r="AJ128" s="214"/>
      <c r="AO128" s="214"/>
      <c r="AQ128" s="214"/>
      <c r="AU128" s="217"/>
      <c r="AV128" s="217"/>
      <c r="AW128" s="217"/>
    </row>
    <row r="129">
      <c r="C129" s="214"/>
      <c r="E129" s="215"/>
      <c r="F129" s="215"/>
      <c r="G129" s="215"/>
      <c r="H129" s="215"/>
      <c r="I129" s="215"/>
      <c r="J129" s="215"/>
      <c r="K129" s="215"/>
      <c r="L129" s="215"/>
      <c r="M129" s="215"/>
      <c r="N129" s="215"/>
      <c r="O129" s="215"/>
      <c r="P129" s="215"/>
      <c r="Q129" s="215"/>
      <c r="R129" s="215"/>
      <c r="S129" s="215"/>
      <c r="T129" s="215"/>
      <c r="U129" s="215"/>
      <c r="V129" s="215"/>
      <c r="W129" s="215"/>
      <c r="X129" s="215"/>
      <c r="Y129" s="215"/>
      <c r="Z129" s="215"/>
      <c r="AA129" s="215"/>
      <c r="AB129" s="215"/>
      <c r="AC129" s="215"/>
      <c r="AD129" s="215"/>
      <c r="AE129" s="215"/>
      <c r="AF129" s="215"/>
      <c r="AG129" s="216"/>
      <c r="AJ129" s="214"/>
      <c r="AO129" s="214"/>
      <c r="AQ129" s="214"/>
      <c r="AU129" s="217"/>
      <c r="AV129" s="217"/>
      <c r="AW129" s="217"/>
    </row>
    <row r="130">
      <c r="C130" s="214"/>
      <c r="E130" s="215"/>
      <c r="F130" s="215"/>
      <c r="G130" s="215"/>
      <c r="H130" s="215"/>
      <c r="I130" s="215"/>
      <c r="J130" s="215"/>
      <c r="K130" s="215"/>
      <c r="L130" s="215"/>
      <c r="M130" s="215"/>
      <c r="N130" s="215"/>
      <c r="O130" s="215"/>
      <c r="P130" s="215"/>
      <c r="Q130" s="215"/>
      <c r="R130" s="215"/>
      <c r="S130" s="215"/>
      <c r="T130" s="215"/>
      <c r="U130" s="215"/>
      <c r="V130" s="215"/>
      <c r="W130" s="215"/>
      <c r="X130" s="215"/>
      <c r="Y130" s="215"/>
      <c r="Z130" s="215"/>
      <c r="AA130" s="215"/>
      <c r="AB130" s="215"/>
      <c r="AC130" s="215"/>
      <c r="AD130" s="215"/>
      <c r="AE130" s="215"/>
      <c r="AF130" s="215"/>
      <c r="AG130" s="216"/>
      <c r="AJ130" s="214"/>
      <c r="AO130" s="214"/>
      <c r="AQ130" s="214"/>
      <c r="AU130" s="217"/>
      <c r="AV130" s="217"/>
      <c r="AW130" s="217"/>
    </row>
    <row r="131">
      <c r="C131" s="214"/>
      <c r="E131" s="215"/>
      <c r="F131" s="215"/>
      <c r="G131" s="215"/>
      <c r="H131" s="215"/>
      <c r="I131" s="215"/>
      <c r="J131" s="215"/>
      <c r="K131" s="215"/>
      <c r="L131" s="215"/>
      <c r="M131" s="215"/>
      <c r="N131" s="215"/>
      <c r="O131" s="215"/>
      <c r="P131" s="215"/>
      <c r="Q131" s="215"/>
      <c r="R131" s="215"/>
      <c r="S131" s="215"/>
      <c r="T131" s="215"/>
      <c r="U131" s="215"/>
      <c r="V131" s="215"/>
      <c r="W131" s="215"/>
      <c r="X131" s="215"/>
      <c r="Y131" s="215"/>
      <c r="Z131" s="215"/>
      <c r="AA131" s="215"/>
      <c r="AB131" s="215"/>
      <c r="AC131" s="215"/>
      <c r="AD131" s="215"/>
      <c r="AE131" s="215"/>
      <c r="AF131" s="215"/>
      <c r="AG131" s="216"/>
      <c r="AJ131" s="214"/>
      <c r="AO131" s="214"/>
      <c r="AQ131" s="214"/>
      <c r="AU131" s="217"/>
      <c r="AV131" s="217"/>
      <c r="AW131" s="217"/>
    </row>
    <row r="132">
      <c r="C132" s="214"/>
      <c r="E132" s="215"/>
      <c r="F132" s="215"/>
      <c r="G132" s="215"/>
      <c r="H132" s="215"/>
      <c r="I132" s="215"/>
      <c r="J132" s="215"/>
      <c r="K132" s="215"/>
      <c r="L132" s="215"/>
      <c r="M132" s="215"/>
      <c r="N132" s="215"/>
      <c r="O132" s="215"/>
      <c r="P132" s="215"/>
      <c r="Q132" s="215"/>
      <c r="R132" s="215"/>
      <c r="S132" s="215"/>
      <c r="T132" s="215"/>
      <c r="U132" s="215"/>
      <c r="V132" s="215"/>
      <c r="W132" s="215"/>
      <c r="X132" s="215"/>
      <c r="Y132" s="215"/>
      <c r="Z132" s="215"/>
      <c r="AA132" s="215"/>
      <c r="AB132" s="215"/>
      <c r="AC132" s="215"/>
      <c r="AD132" s="215"/>
      <c r="AE132" s="215"/>
      <c r="AF132" s="215"/>
      <c r="AG132" s="216"/>
      <c r="AJ132" s="214"/>
      <c r="AO132" s="214"/>
      <c r="AQ132" s="214"/>
      <c r="AU132" s="217"/>
      <c r="AV132" s="217"/>
      <c r="AW132" s="217"/>
    </row>
    <row r="133">
      <c r="C133" s="214"/>
      <c r="E133" s="215"/>
      <c r="F133" s="215"/>
      <c r="G133" s="215"/>
      <c r="H133" s="215"/>
      <c r="I133" s="215"/>
      <c r="J133" s="215"/>
      <c r="K133" s="215"/>
      <c r="L133" s="215"/>
      <c r="M133" s="215"/>
      <c r="N133" s="215"/>
      <c r="O133" s="215"/>
      <c r="P133" s="215"/>
      <c r="Q133" s="215"/>
      <c r="R133" s="215"/>
      <c r="S133" s="215"/>
      <c r="T133" s="215"/>
      <c r="U133" s="215"/>
      <c r="V133" s="215"/>
      <c r="W133" s="215"/>
      <c r="X133" s="215"/>
      <c r="Y133" s="215"/>
      <c r="Z133" s="215"/>
      <c r="AA133" s="215"/>
      <c r="AB133" s="215"/>
      <c r="AC133" s="215"/>
      <c r="AD133" s="215"/>
      <c r="AE133" s="215"/>
      <c r="AF133" s="215"/>
      <c r="AG133" s="216"/>
      <c r="AJ133" s="214"/>
      <c r="AO133" s="214"/>
      <c r="AQ133" s="214"/>
      <c r="AU133" s="217"/>
      <c r="AV133" s="217"/>
      <c r="AW133" s="217"/>
    </row>
    <row r="134">
      <c r="C134" s="214"/>
      <c r="E134" s="215"/>
      <c r="F134" s="215"/>
      <c r="G134" s="215"/>
      <c r="H134" s="215"/>
      <c r="I134" s="215"/>
      <c r="J134" s="215"/>
      <c r="K134" s="215"/>
      <c r="L134" s="215"/>
      <c r="M134" s="215"/>
      <c r="N134" s="215"/>
      <c r="O134" s="215"/>
      <c r="P134" s="215"/>
      <c r="Q134" s="215"/>
      <c r="R134" s="215"/>
      <c r="S134" s="215"/>
      <c r="T134" s="215"/>
      <c r="U134" s="215"/>
      <c r="V134" s="215"/>
      <c r="W134" s="215"/>
      <c r="X134" s="215"/>
      <c r="Y134" s="215"/>
      <c r="Z134" s="215"/>
      <c r="AA134" s="215"/>
      <c r="AB134" s="215"/>
      <c r="AC134" s="215"/>
      <c r="AD134" s="215"/>
      <c r="AE134" s="215"/>
      <c r="AF134" s="215"/>
      <c r="AG134" s="216"/>
      <c r="AJ134" s="214"/>
      <c r="AO134" s="214"/>
      <c r="AQ134" s="214"/>
      <c r="AU134" s="217"/>
      <c r="AV134" s="217"/>
      <c r="AW134" s="217"/>
    </row>
    <row r="135">
      <c r="C135" s="214"/>
      <c r="E135" s="215"/>
      <c r="F135" s="215"/>
      <c r="G135" s="215"/>
      <c r="H135" s="215"/>
      <c r="I135" s="215"/>
      <c r="J135" s="215"/>
      <c r="K135" s="215"/>
      <c r="L135" s="215"/>
      <c r="M135" s="215"/>
      <c r="N135" s="215"/>
      <c r="O135" s="215"/>
      <c r="P135" s="215"/>
      <c r="Q135" s="215"/>
      <c r="R135" s="215"/>
      <c r="S135" s="215"/>
      <c r="T135" s="215"/>
      <c r="U135" s="215"/>
      <c r="V135" s="215"/>
      <c r="W135" s="215"/>
      <c r="X135" s="215"/>
      <c r="Y135" s="215"/>
      <c r="Z135" s="215"/>
      <c r="AA135" s="215"/>
      <c r="AB135" s="215"/>
      <c r="AC135" s="215"/>
      <c r="AD135" s="215"/>
      <c r="AE135" s="215"/>
      <c r="AF135" s="215"/>
      <c r="AG135" s="216"/>
      <c r="AJ135" s="214"/>
      <c r="AO135" s="214"/>
      <c r="AQ135" s="214"/>
      <c r="AU135" s="217"/>
      <c r="AV135" s="217"/>
      <c r="AW135" s="217"/>
    </row>
    <row r="136">
      <c r="C136" s="214"/>
      <c r="E136" s="215"/>
      <c r="F136" s="215"/>
      <c r="G136" s="215"/>
      <c r="H136" s="215"/>
      <c r="I136" s="215"/>
      <c r="J136" s="215"/>
      <c r="K136" s="215"/>
      <c r="L136" s="215"/>
      <c r="M136" s="215"/>
      <c r="N136" s="215"/>
      <c r="O136" s="215"/>
      <c r="P136" s="215"/>
      <c r="Q136" s="215"/>
      <c r="R136" s="215"/>
      <c r="S136" s="215"/>
      <c r="T136" s="215"/>
      <c r="U136" s="215"/>
      <c r="V136" s="215"/>
      <c r="W136" s="215"/>
      <c r="X136" s="215"/>
      <c r="Y136" s="215"/>
      <c r="Z136" s="215"/>
      <c r="AA136" s="215"/>
      <c r="AB136" s="215"/>
      <c r="AC136" s="215"/>
      <c r="AD136" s="215"/>
      <c r="AE136" s="215"/>
      <c r="AF136" s="215"/>
      <c r="AG136" s="216"/>
      <c r="AJ136" s="214"/>
      <c r="AO136" s="214"/>
      <c r="AQ136" s="214"/>
      <c r="AU136" s="217"/>
      <c r="AV136" s="217"/>
      <c r="AW136" s="217"/>
    </row>
    <row r="137">
      <c r="C137" s="214"/>
      <c r="E137" s="215"/>
      <c r="F137" s="215"/>
      <c r="G137" s="215"/>
      <c r="H137" s="215"/>
      <c r="I137" s="215"/>
      <c r="J137" s="215"/>
      <c r="K137" s="215"/>
      <c r="L137" s="215"/>
      <c r="M137" s="215"/>
      <c r="N137" s="215"/>
      <c r="O137" s="215"/>
      <c r="P137" s="215"/>
      <c r="Q137" s="215"/>
      <c r="R137" s="215"/>
      <c r="S137" s="215"/>
      <c r="T137" s="215"/>
      <c r="U137" s="215"/>
      <c r="V137" s="215"/>
      <c r="W137" s="215"/>
      <c r="X137" s="215"/>
      <c r="Y137" s="215"/>
      <c r="Z137" s="215"/>
      <c r="AA137" s="215"/>
      <c r="AB137" s="215"/>
      <c r="AC137" s="215"/>
      <c r="AD137" s="215"/>
      <c r="AE137" s="215"/>
      <c r="AF137" s="215"/>
      <c r="AG137" s="216"/>
      <c r="AJ137" s="214"/>
      <c r="AO137" s="214"/>
      <c r="AQ137" s="214"/>
      <c r="AU137" s="217"/>
      <c r="AV137" s="217"/>
      <c r="AW137" s="217"/>
    </row>
    <row r="138">
      <c r="C138" s="214"/>
      <c r="E138" s="215"/>
      <c r="F138" s="215"/>
      <c r="G138" s="215"/>
      <c r="H138" s="215"/>
      <c r="I138" s="215"/>
      <c r="J138" s="215"/>
      <c r="K138" s="215"/>
      <c r="L138" s="215"/>
      <c r="M138" s="215"/>
      <c r="N138" s="215"/>
      <c r="O138" s="215"/>
      <c r="P138" s="215"/>
      <c r="Q138" s="215"/>
      <c r="R138" s="215"/>
      <c r="S138" s="215"/>
      <c r="T138" s="215"/>
      <c r="U138" s="215"/>
      <c r="V138" s="215"/>
      <c r="W138" s="215"/>
      <c r="X138" s="215"/>
      <c r="Y138" s="215"/>
      <c r="Z138" s="215"/>
      <c r="AA138" s="215"/>
      <c r="AB138" s="215"/>
      <c r="AC138" s="215"/>
      <c r="AD138" s="215"/>
      <c r="AE138" s="215"/>
      <c r="AF138" s="215"/>
      <c r="AG138" s="216"/>
      <c r="AJ138" s="214"/>
      <c r="AO138" s="214"/>
      <c r="AQ138" s="214"/>
      <c r="AU138" s="217"/>
      <c r="AV138" s="217"/>
      <c r="AW138" s="217"/>
    </row>
    <row r="139">
      <c r="C139" s="214"/>
      <c r="E139" s="215"/>
      <c r="F139" s="215"/>
      <c r="G139" s="215"/>
      <c r="H139" s="215"/>
      <c r="I139" s="215"/>
      <c r="J139" s="215"/>
      <c r="K139" s="215"/>
      <c r="L139" s="215"/>
      <c r="M139" s="215"/>
      <c r="N139" s="215"/>
      <c r="O139" s="215"/>
      <c r="P139" s="215"/>
      <c r="Q139" s="215"/>
      <c r="R139" s="215"/>
      <c r="S139" s="215"/>
      <c r="T139" s="215"/>
      <c r="U139" s="215"/>
      <c r="V139" s="215"/>
      <c r="W139" s="215"/>
      <c r="X139" s="215"/>
      <c r="Y139" s="215"/>
      <c r="Z139" s="215"/>
      <c r="AA139" s="215"/>
      <c r="AB139" s="215"/>
      <c r="AC139" s="215"/>
      <c r="AD139" s="215"/>
      <c r="AE139" s="215"/>
      <c r="AF139" s="215"/>
      <c r="AG139" s="216"/>
      <c r="AJ139" s="214"/>
      <c r="AO139" s="214"/>
      <c r="AQ139" s="214"/>
      <c r="AU139" s="217"/>
      <c r="AV139" s="217"/>
      <c r="AW139" s="217"/>
    </row>
    <row r="140">
      <c r="C140" s="214"/>
      <c r="E140" s="215"/>
      <c r="F140" s="215"/>
      <c r="G140" s="215"/>
      <c r="H140" s="215"/>
      <c r="I140" s="215"/>
      <c r="J140" s="215"/>
      <c r="K140" s="215"/>
      <c r="L140" s="215"/>
      <c r="M140" s="215"/>
      <c r="N140" s="215"/>
      <c r="O140" s="215"/>
      <c r="P140" s="215"/>
      <c r="Q140" s="215"/>
      <c r="R140" s="215"/>
      <c r="S140" s="215"/>
      <c r="T140" s="215"/>
      <c r="U140" s="215"/>
      <c r="V140" s="215"/>
      <c r="W140" s="215"/>
      <c r="X140" s="215"/>
      <c r="Y140" s="215"/>
      <c r="Z140" s="215"/>
      <c r="AA140" s="215"/>
      <c r="AB140" s="215"/>
      <c r="AC140" s="215"/>
      <c r="AD140" s="215"/>
      <c r="AE140" s="215"/>
      <c r="AF140" s="215"/>
      <c r="AG140" s="216"/>
      <c r="AJ140" s="214"/>
      <c r="AO140" s="214"/>
      <c r="AQ140" s="214"/>
      <c r="AU140" s="217"/>
      <c r="AV140" s="217"/>
      <c r="AW140" s="217"/>
    </row>
    <row r="141">
      <c r="C141" s="214"/>
      <c r="E141" s="215"/>
      <c r="F141" s="215"/>
      <c r="G141" s="215"/>
      <c r="H141" s="215"/>
      <c r="I141" s="215"/>
      <c r="J141" s="215"/>
      <c r="K141" s="215"/>
      <c r="L141" s="215"/>
      <c r="M141" s="215"/>
      <c r="N141" s="215"/>
      <c r="O141" s="215"/>
      <c r="P141" s="215"/>
      <c r="Q141" s="215"/>
      <c r="R141" s="215"/>
      <c r="S141" s="215"/>
      <c r="T141" s="215"/>
      <c r="U141" s="215"/>
      <c r="V141" s="215"/>
      <c r="W141" s="215"/>
      <c r="X141" s="215"/>
      <c r="Y141" s="215"/>
      <c r="Z141" s="215"/>
      <c r="AA141" s="215"/>
      <c r="AB141" s="215"/>
      <c r="AC141" s="215"/>
      <c r="AD141" s="215"/>
      <c r="AE141" s="215"/>
      <c r="AF141" s="215"/>
      <c r="AG141" s="216"/>
      <c r="AJ141" s="214"/>
      <c r="AO141" s="214"/>
      <c r="AQ141" s="214"/>
      <c r="AU141" s="217"/>
      <c r="AV141" s="217"/>
      <c r="AW141" s="217"/>
    </row>
    <row r="142">
      <c r="C142" s="214"/>
      <c r="E142" s="215"/>
      <c r="F142" s="215"/>
      <c r="G142" s="215"/>
      <c r="H142" s="215"/>
      <c r="I142" s="215"/>
      <c r="J142" s="215"/>
      <c r="K142" s="215"/>
      <c r="L142" s="215"/>
      <c r="M142" s="215"/>
      <c r="N142" s="215"/>
      <c r="O142" s="215"/>
      <c r="P142" s="215"/>
      <c r="Q142" s="215"/>
      <c r="R142" s="215"/>
      <c r="S142" s="215"/>
      <c r="T142" s="215"/>
      <c r="U142" s="215"/>
      <c r="V142" s="215"/>
      <c r="W142" s="215"/>
      <c r="X142" s="215"/>
      <c r="Y142" s="215"/>
      <c r="Z142" s="215"/>
      <c r="AA142" s="215"/>
      <c r="AB142" s="215"/>
      <c r="AC142" s="215"/>
      <c r="AD142" s="215"/>
      <c r="AE142" s="215"/>
      <c r="AF142" s="215"/>
      <c r="AG142" s="216"/>
      <c r="AJ142" s="214"/>
      <c r="AO142" s="214"/>
      <c r="AQ142" s="214"/>
      <c r="AU142" s="217"/>
      <c r="AV142" s="217"/>
      <c r="AW142" s="217"/>
    </row>
    <row r="143">
      <c r="C143" s="214"/>
      <c r="E143" s="215"/>
      <c r="F143" s="215"/>
      <c r="G143" s="215"/>
      <c r="H143" s="215"/>
      <c r="I143" s="215"/>
      <c r="J143" s="215"/>
      <c r="K143" s="215"/>
      <c r="L143" s="215"/>
      <c r="M143" s="215"/>
      <c r="N143" s="215"/>
      <c r="O143" s="215"/>
      <c r="P143" s="215"/>
      <c r="Q143" s="215"/>
      <c r="R143" s="215"/>
      <c r="S143" s="215"/>
      <c r="T143" s="215"/>
      <c r="U143" s="215"/>
      <c r="V143" s="215"/>
      <c r="W143" s="215"/>
      <c r="X143" s="215"/>
      <c r="Y143" s="215"/>
      <c r="Z143" s="215"/>
      <c r="AA143" s="215"/>
      <c r="AB143" s="215"/>
      <c r="AC143" s="215"/>
      <c r="AD143" s="215"/>
      <c r="AE143" s="215"/>
      <c r="AF143" s="215"/>
      <c r="AG143" s="216"/>
      <c r="AJ143" s="214"/>
      <c r="AO143" s="214"/>
      <c r="AQ143" s="214"/>
      <c r="AU143" s="217"/>
      <c r="AV143" s="217"/>
      <c r="AW143" s="217"/>
    </row>
    <row r="144">
      <c r="C144" s="214"/>
      <c r="E144" s="215"/>
      <c r="F144" s="215"/>
      <c r="G144" s="215"/>
      <c r="H144" s="215"/>
      <c r="I144" s="215"/>
      <c r="J144" s="215"/>
      <c r="K144" s="215"/>
      <c r="L144" s="215"/>
      <c r="M144" s="215"/>
      <c r="N144" s="215"/>
      <c r="O144" s="215"/>
      <c r="P144" s="215"/>
      <c r="Q144" s="215"/>
      <c r="R144" s="215"/>
      <c r="S144" s="215"/>
      <c r="T144" s="215"/>
      <c r="U144" s="215"/>
      <c r="V144" s="215"/>
      <c r="W144" s="215"/>
      <c r="X144" s="215"/>
      <c r="Y144" s="215"/>
      <c r="Z144" s="215"/>
      <c r="AA144" s="215"/>
      <c r="AB144" s="215"/>
      <c r="AC144" s="215"/>
      <c r="AD144" s="215"/>
      <c r="AE144" s="215"/>
      <c r="AF144" s="215"/>
      <c r="AG144" s="216"/>
      <c r="AJ144" s="214"/>
      <c r="AO144" s="214"/>
      <c r="AQ144" s="214"/>
      <c r="AU144" s="217"/>
      <c r="AV144" s="217"/>
      <c r="AW144" s="217"/>
    </row>
    <row r="145">
      <c r="C145" s="214"/>
      <c r="E145" s="215"/>
      <c r="F145" s="215"/>
      <c r="G145" s="215"/>
      <c r="H145" s="215"/>
      <c r="I145" s="215"/>
      <c r="J145" s="215"/>
      <c r="K145" s="215"/>
      <c r="L145" s="215"/>
      <c r="M145" s="215"/>
      <c r="N145" s="215"/>
      <c r="O145" s="215"/>
      <c r="P145" s="215"/>
      <c r="Q145" s="215"/>
      <c r="R145" s="215"/>
      <c r="S145" s="215"/>
      <c r="T145" s="215"/>
      <c r="U145" s="215"/>
      <c r="V145" s="215"/>
      <c r="W145" s="215"/>
      <c r="X145" s="215"/>
      <c r="Y145" s="215"/>
      <c r="Z145" s="215"/>
      <c r="AA145" s="215"/>
      <c r="AB145" s="215"/>
      <c r="AC145" s="215"/>
      <c r="AD145" s="215"/>
      <c r="AE145" s="215"/>
      <c r="AF145" s="215"/>
      <c r="AG145" s="216"/>
      <c r="AJ145" s="214"/>
      <c r="AO145" s="214"/>
      <c r="AQ145" s="214"/>
      <c r="AU145" s="217"/>
      <c r="AV145" s="217"/>
      <c r="AW145" s="217"/>
    </row>
    <row r="146">
      <c r="C146" s="214"/>
      <c r="E146" s="215"/>
      <c r="F146" s="215"/>
      <c r="G146" s="215"/>
      <c r="H146" s="215"/>
      <c r="I146" s="215"/>
      <c r="J146" s="215"/>
      <c r="K146" s="215"/>
      <c r="L146" s="215"/>
      <c r="M146" s="215"/>
      <c r="N146" s="215"/>
      <c r="O146" s="215"/>
      <c r="P146" s="215"/>
      <c r="Q146" s="215"/>
      <c r="R146" s="215"/>
      <c r="S146" s="215"/>
      <c r="T146" s="215"/>
      <c r="U146" s="215"/>
      <c r="V146" s="215"/>
      <c r="W146" s="215"/>
      <c r="X146" s="215"/>
      <c r="Y146" s="215"/>
      <c r="Z146" s="215"/>
      <c r="AA146" s="215"/>
      <c r="AB146" s="215"/>
      <c r="AC146" s="215"/>
      <c r="AD146" s="215"/>
      <c r="AE146" s="215"/>
      <c r="AF146" s="215"/>
      <c r="AG146" s="216"/>
      <c r="AJ146" s="214"/>
      <c r="AO146" s="214"/>
      <c r="AQ146" s="214"/>
      <c r="AU146" s="217"/>
      <c r="AV146" s="217"/>
      <c r="AW146" s="217"/>
    </row>
    <row r="147">
      <c r="C147" s="214"/>
      <c r="E147" s="215"/>
      <c r="F147" s="215"/>
      <c r="G147" s="215"/>
      <c r="H147" s="215"/>
      <c r="I147" s="215"/>
      <c r="J147" s="215"/>
      <c r="K147" s="215"/>
      <c r="L147" s="215"/>
      <c r="M147" s="215"/>
      <c r="N147" s="215"/>
      <c r="O147" s="215"/>
      <c r="P147" s="215"/>
      <c r="Q147" s="215"/>
      <c r="R147" s="215"/>
      <c r="S147" s="215"/>
      <c r="T147" s="215"/>
      <c r="U147" s="215"/>
      <c r="V147" s="215"/>
      <c r="W147" s="215"/>
      <c r="X147" s="215"/>
      <c r="Y147" s="215"/>
      <c r="Z147" s="215"/>
      <c r="AA147" s="215"/>
      <c r="AB147" s="215"/>
      <c r="AC147" s="215"/>
      <c r="AD147" s="215"/>
      <c r="AE147" s="215"/>
      <c r="AF147" s="215"/>
      <c r="AG147" s="216"/>
      <c r="AJ147" s="214"/>
      <c r="AO147" s="214"/>
      <c r="AQ147" s="214"/>
      <c r="AU147" s="217"/>
      <c r="AV147" s="217"/>
      <c r="AW147" s="217"/>
    </row>
    <row r="148">
      <c r="C148" s="214"/>
      <c r="E148" s="215"/>
      <c r="F148" s="215"/>
      <c r="G148" s="215"/>
      <c r="H148" s="215"/>
      <c r="I148" s="215"/>
      <c r="J148" s="215"/>
      <c r="K148" s="215"/>
      <c r="L148" s="215"/>
      <c r="M148" s="215"/>
      <c r="N148" s="215"/>
      <c r="O148" s="215"/>
      <c r="P148" s="215"/>
      <c r="Q148" s="215"/>
      <c r="R148" s="215"/>
      <c r="S148" s="215"/>
      <c r="T148" s="215"/>
      <c r="U148" s="215"/>
      <c r="V148" s="215"/>
      <c r="W148" s="215"/>
      <c r="X148" s="215"/>
      <c r="Y148" s="215"/>
      <c r="Z148" s="215"/>
      <c r="AA148" s="215"/>
      <c r="AB148" s="215"/>
      <c r="AC148" s="215"/>
      <c r="AD148" s="215"/>
      <c r="AE148" s="215"/>
      <c r="AF148" s="215"/>
      <c r="AG148" s="216"/>
      <c r="AJ148" s="214"/>
      <c r="AO148" s="214"/>
      <c r="AQ148" s="214"/>
      <c r="AU148" s="217"/>
      <c r="AV148" s="217"/>
      <c r="AW148" s="217"/>
    </row>
    <row r="149">
      <c r="C149" s="214"/>
      <c r="E149" s="215"/>
      <c r="F149" s="215"/>
      <c r="G149" s="215"/>
      <c r="H149" s="215"/>
      <c r="I149" s="215"/>
      <c r="J149" s="215"/>
      <c r="K149" s="215"/>
      <c r="L149" s="215"/>
      <c r="M149" s="215"/>
      <c r="N149" s="215"/>
      <c r="O149" s="215"/>
      <c r="P149" s="215"/>
      <c r="Q149" s="215"/>
      <c r="R149" s="215"/>
      <c r="S149" s="215"/>
      <c r="T149" s="215"/>
      <c r="U149" s="215"/>
      <c r="V149" s="215"/>
      <c r="W149" s="215"/>
      <c r="X149" s="215"/>
      <c r="Y149" s="215"/>
      <c r="Z149" s="215"/>
      <c r="AA149" s="215"/>
      <c r="AB149" s="215"/>
      <c r="AC149" s="215"/>
      <c r="AD149" s="215"/>
      <c r="AE149" s="215"/>
      <c r="AF149" s="215"/>
      <c r="AG149" s="216"/>
      <c r="AJ149" s="214"/>
      <c r="AO149" s="214"/>
      <c r="AQ149" s="214"/>
      <c r="AU149" s="217"/>
      <c r="AV149" s="217"/>
      <c r="AW149" s="217"/>
    </row>
    <row r="150">
      <c r="C150" s="214"/>
      <c r="E150" s="215"/>
      <c r="F150" s="215"/>
      <c r="G150" s="215"/>
      <c r="H150" s="215"/>
      <c r="I150" s="215"/>
      <c r="J150" s="215"/>
      <c r="K150" s="215"/>
      <c r="L150" s="215"/>
      <c r="M150" s="215"/>
      <c r="N150" s="215"/>
      <c r="O150" s="215"/>
      <c r="P150" s="215"/>
      <c r="Q150" s="215"/>
      <c r="R150" s="215"/>
      <c r="S150" s="215"/>
      <c r="T150" s="215"/>
      <c r="U150" s="215"/>
      <c r="V150" s="215"/>
      <c r="W150" s="215"/>
      <c r="X150" s="215"/>
      <c r="Y150" s="215"/>
      <c r="Z150" s="215"/>
      <c r="AA150" s="215"/>
      <c r="AB150" s="215"/>
      <c r="AC150" s="215"/>
      <c r="AD150" s="215"/>
      <c r="AE150" s="215"/>
      <c r="AF150" s="215"/>
      <c r="AG150" s="216"/>
      <c r="AJ150" s="214"/>
      <c r="AO150" s="214"/>
      <c r="AQ150" s="214"/>
      <c r="AU150" s="217"/>
      <c r="AV150" s="217"/>
      <c r="AW150" s="217"/>
    </row>
    <row r="151">
      <c r="C151" s="214"/>
      <c r="E151" s="215"/>
      <c r="F151" s="215"/>
      <c r="G151" s="215"/>
      <c r="H151" s="215"/>
      <c r="I151" s="215"/>
      <c r="J151" s="215"/>
      <c r="K151" s="215"/>
      <c r="L151" s="215"/>
      <c r="M151" s="215"/>
      <c r="N151" s="215"/>
      <c r="O151" s="215"/>
      <c r="P151" s="215"/>
      <c r="Q151" s="215"/>
      <c r="R151" s="215"/>
      <c r="S151" s="215"/>
      <c r="T151" s="215"/>
      <c r="U151" s="215"/>
      <c r="V151" s="215"/>
      <c r="W151" s="215"/>
      <c r="X151" s="215"/>
      <c r="Y151" s="215"/>
      <c r="Z151" s="215"/>
      <c r="AA151" s="215"/>
      <c r="AB151" s="215"/>
      <c r="AC151" s="215"/>
      <c r="AD151" s="215"/>
      <c r="AE151" s="215"/>
      <c r="AF151" s="215"/>
      <c r="AG151" s="216"/>
      <c r="AJ151" s="214"/>
      <c r="AO151" s="214"/>
      <c r="AQ151" s="214"/>
      <c r="AU151" s="217"/>
      <c r="AV151" s="217"/>
      <c r="AW151" s="217"/>
    </row>
    <row r="152">
      <c r="C152" s="214"/>
      <c r="E152" s="215"/>
      <c r="F152" s="215"/>
      <c r="G152" s="215"/>
      <c r="H152" s="215"/>
      <c r="I152" s="215"/>
      <c r="J152" s="215"/>
      <c r="K152" s="215"/>
      <c r="L152" s="215"/>
      <c r="M152" s="215"/>
      <c r="N152" s="215"/>
      <c r="O152" s="215"/>
      <c r="P152" s="215"/>
      <c r="Q152" s="215"/>
      <c r="R152" s="215"/>
      <c r="S152" s="215"/>
      <c r="T152" s="215"/>
      <c r="U152" s="215"/>
      <c r="V152" s="215"/>
      <c r="W152" s="215"/>
      <c r="X152" s="215"/>
      <c r="Y152" s="215"/>
      <c r="Z152" s="215"/>
      <c r="AA152" s="215"/>
      <c r="AB152" s="215"/>
      <c r="AC152" s="215"/>
      <c r="AD152" s="215"/>
      <c r="AE152" s="215"/>
      <c r="AF152" s="215"/>
      <c r="AG152" s="216"/>
      <c r="AJ152" s="214"/>
      <c r="AO152" s="214"/>
      <c r="AQ152" s="214"/>
      <c r="AU152" s="217"/>
      <c r="AV152" s="217"/>
      <c r="AW152" s="217"/>
    </row>
    <row r="153">
      <c r="C153" s="214"/>
      <c r="E153" s="215"/>
      <c r="F153" s="215"/>
      <c r="G153" s="215"/>
      <c r="H153" s="215"/>
      <c r="I153" s="215"/>
      <c r="J153" s="215"/>
      <c r="K153" s="215"/>
      <c r="L153" s="215"/>
      <c r="M153" s="215"/>
      <c r="N153" s="215"/>
      <c r="O153" s="215"/>
      <c r="P153" s="215"/>
      <c r="Q153" s="215"/>
      <c r="R153" s="215"/>
      <c r="S153" s="215"/>
      <c r="T153" s="215"/>
      <c r="U153" s="215"/>
      <c r="V153" s="215"/>
      <c r="W153" s="215"/>
      <c r="X153" s="215"/>
      <c r="Y153" s="215"/>
      <c r="Z153" s="215"/>
      <c r="AA153" s="215"/>
      <c r="AB153" s="215"/>
      <c r="AC153" s="215"/>
      <c r="AD153" s="215"/>
      <c r="AE153" s="215"/>
      <c r="AF153" s="215"/>
      <c r="AG153" s="216"/>
      <c r="AJ153" s="214"/>
      <c r="AO153" s="214"/>
      <c r="AQ153" s="214"/>
      <c r="AU153" s="217"/>
      <c r="AV153" s="217"/>
      <c r="AW153" s="217"/>
    </row>
    <row r="154">
      <c r="C154" s="214"/>
      <c r="E154" s="215"/>
      <c r="F154" s="215"/>
      <c r="G154" s="215"/>
      <c r="H154" s="215"/>
      <c r="I154" s="215"/>
      <c r="J154" s="215"/>
      <c r="K154" s="215"/>
      <c r="L154" s="215"/>
      <c r="M154" s="215"/>
      <c r="N154" s="215"/>
      <c r="O154" s="215"/>
      <c r="P154" s="215"/>
      <c r="Q154" s="215"/>
      <c r="R154" s="215"/>
      <c r="S154" s="215"/>
      <c r="T154" s="215"/>
      <c r="U154" s="215"/>
      <c r="V154" s="215"/>
      <c r="W154" s="215"/>
      <c r="X154" s="215"/>
      <c r="Y154" s="215"/>
      <c r="Z154" s="215"/>
      <c r="AA154" s="215"/>
      <c r="AB154" s="215"/>
      <c r="AC154" s="215"/>
      <c r="AD154" s="215"/>
      <c r="AE154" s="215"/>
      <c r="AF154" s="215"/>
      <c r="AG154" s="216"/>
      <c r="AJ154" s="214"/>
      <c r="AO154" s="214"/>
      <c r="AQ154" s="214"/>
      <c r="AU154" s="217"/>
      <c r="AV154" s="217"/>
      <c r="AW154" s="217"/>
    </row>
    <row r="155">
      <c r="C155" s="214"/>
      <c r="E155" s="215"/>
      <c r="F155" s="215"/>
      <c r="G155" s="215"/>
      <c r="H155" s="215"/>
      <c r="I155" s="215"/>
      <c r="J155" s="215"/>
      <c r="K155" s="215"/>
      <c r="L155" s="215"/>
      <c r="M155" s="215"/>
      <c r="N155" s="215"/>
      <c r="O155" s="215"/>
      <c r="P155" s="215"/>
      <c r="Q155" s="215"/>
      <c r="R155" s="215"/>
      <c r="S155" s="215"/>
      <c r="T155" s="215"/>
      <c r="U155" s="215"/>
      <c r="V155" s="215"/>
      <c r="W155" s="215"/>
      <c r="X155" s="215"/>
      <c r="Y155" s="215"/>
      <c r="Z155" s="215"/>
      <c r="AA155" s="215"/>
      <c r="AB155" s="215"/>
      <c r="AC155" s="215"/>
      <c r="AD155" s="215"/>
      <c r="AE155" s="215"/>
      <c r="AF155" s="215"/>
      <c r="AG155" s="216"/>
      <c r="AJ155" s="214"/>
      <c r="AO155" s="214"/>
      <c r="AQ155" s="214"/>
      <c r="AU155" s="217"/>
      <c r="AV155" s="217"/>
      <c r="AW155" s="217"/>
    </row>
    <row r="156">
      <c r="C156" s="214"/>
      <c r="E156" s="215"/>
      <c r="F156" s="215"/>
      <c r="G156" s="215"/>
      <c r="H156" s="215"/>
      <c r="I156" s="215"/>
      <c r="J156" s="215"/>
      <c r="K156" s="215"/>
      <c r="L156" s="215"/>
      <c r="M156" s="215"/>
      <c r="N156" s="215"/>
      <c r="O156" s="215"/>
      <c r="P156" s="215"/>
      <c r="Q156" s="215"/>
      <c r="R156" s="215"/>
      <c r="S156" s="215"/>
      <c r="T156" s="215"/>
      <c r="U156" s="215"/>
      <c r="V156" s="215"/>
      <c r="W156" s="215"/>
      <c r="X156" s="215"/>
      <c r="Y156" s="215"/>
      <c r="Z156" s="215"/>
      <c r="AA156" s="215"/>
      <c r="AB156" s="215"/>
      <c r="AC156" s="215"/>
      <c r="AD156" s="215"/>
      <c r="AE156" s="215"/>
      <c r="AF156" s="215"/>
      <c r="AG156" s="216"/>
      <c r="AJ156" s="214"/>
      <c r="AO156" s="214"/>
      <c r="AQ156" s="214"/>
      <c r="AU156" s="217"/>
      <c r="AV156" s="217"/>
      <c r="AW156" s="217"/>
    </row>
    <row r="157">
      <c r="C157" s="214"/>
      <c r="E157" s="215"/>
      <c r="F157" s="215"/>
      <c r="G157" s="215"/>
      <c r="H157" s="215"/>
      <c r="I157" s="215"/>
      <c r="J157" s="215"/>
      <c r="K157" s="215"/>
      <c r="L157" s="215"/>
      <c r="M157" s="215"/>
      <c r="N157" s="215"/>
      <c r="O157" s="215"/>
      <c r="P157" s="215"/>
      <c r="Q157" s="215"/>
      <c r="R157" s="215"/>
      <c r="S157" s="215"/>
      <c r="T157" s="215"/>
      <c r="U157" s="215"/>
      <c r="V157" s="215"/>
      <c r="W157" s="215"/>
      <c r="X157" s="215"/>
      <c r="Y157" s="215"/>
      <c r="Z157" s="215"/>
      <c r="AA157" s="215"/>
      <c r="AB157" s="215"/>
      <c r="AC157" s="215"/>
      <c r="AD157" s="215"/>
      <c r="AE157" s="215"/>
      <c r="AF157" s="215"/>
      <c r="AG157" s="216"/>
      <c r="AJ157" s="214"/>
      <c r="AO157" s="214"/>
      <c r="AQ157" s="214"/>
      <c r="AU157" s="217"/>
      <c r="AV157" s="217"/>
      <c r="AW157" s="217"/>
    </row>
    <row r="158">
      <c r="C158" s="214"/>
      <c r="E158" s="215"/>
      <c r="F158" s="215"/>
      <c r="G158" s="215"/>
      <c r="H158" s="215"/>
      <c r="I158" s="215"/>
      <c r="J158" s="215"/>
      <c r="K158" s="215"/>
      <c r="L158" s="215"/>
      <c r="M158" s="215"/>
      <c r="N158" s="215"/>
      <c r="O158" s="215"/>
      <c r="P158" s="215"/>
      <c r="Q158" s="215"/>
      <c r="R158" s="215"/>
      <c r="S158" s="215"/>
      <c r="T158" s="215"/>
      <c r="U158" s="215"/>
      <c r="V158" s="215"/>
      <c r="W158" s="215"/>
      <c r="X158" s="215"/>
      <c r="Y158" s="215"/>
      <c r="Z158" s="215"/>
      <c r="AA158" s="215"/>
      <c r="AB158" s="215"/>
      <c r="AC158" s="215"/>
      <c r="AD158" s="215"/>
      <c r="AE158" s="215"/>
      <c r="AF158" s="215"/>
      <c r="AG158" s="216"/>
      <c r="AJ158" s="214"/>
      <c r="AO158" s="214"/>
      <c r="AQ158" s="214"/>
      <c r="AU158" s="217"/>
      <c r="AV158" s="217"/>
      <c r="AW158" s="217"/>
    </row>
    <row r="159">
      <c r="C159" s="214"/>
      <c r="E159" s="215"/>
      <c r="F159" s="215"/>
      <c r="G159" s="215"/>
      <c r="H159" s="215"/>
      <c r="I159" s="215"/>
      <c r="J159" s="215"/>
      <c r="K159" s="215"/>
      <c r="L159" s="215"/>
      <c r="M159" s="215"/>
      <c r="N159" s="215"/>
      <c r="O159" s="215"/>
      <c r="P159" s="215"/>
      <c r="Q159" s="215"/>
      <c r="R159" s="215"/>
      <c r="S159" s="215"/>
      <c r="T159" s="215"/>
      <c r="U159" s="215"/>
      <c r="V159" s="215"/>
      <c r="W159" s="215"/>
      <c r="X159" s="215"/>
      <c r="Y159" s="215"/>
      <c r="Z159" s="215"/>
      <c r="AA159" s="215"/>
      <c r="AB159" s="215"/>
      <c r="AC159" s="215"/>
      <c r="AD159" s="215"/>
      <c r="AE159" s="215"/>
      <c r="AF159" s="215"/>
      <c r="AG159" s="216"/>
      <c r="AJ159" s="214"/>
      <c r="AO159" s="214"/>
      <c r="AQ159" s="214"/>
      <c r="AU159" s="217"/>
      <c r="AV159" s="217"/>
      <c r="AW159" s="217"/>
    </row>
    <row r="160">
      <c r="C160" s="214"/>
      <c r="E160" s="215"/>
      <c r="F160" s="215"/>
      <c r="G160" s="215"/>
      <c r="H160" s="215"/>
      <c r="I160" s="215"/>
      <c r="J160" s="215"/>
      <c r="K160" s="215"/>
      <c r="L160" s="215"/>
      <c r="M160" s="215"/>
      <c r="N160" s="215"/>
      <c r="O160" s="215"/>
      <c r="P160" s="215"/>
      <c r="Q160" s="215"/>
      <c r="R160" s="215"/>
      <c r="S160" s="215"/>
      <c r="T160" s="215"/>
      <c r="U160" s="215"/>
      <c r="V160" s="215"/>
      <c r="W160" s="215"/>
      <c r="X160" s="215"/>
      <c r="Y160" s="215"/>
      <c r="Z160" s="215"/>
      <c r="AA160" s="215"/>
      <c r="AB160" s="215"/>
      <c r="AC160" s="215"/>
      <c r="AD160" s="215"/>
      <c r="AE160" s="215"/>
      <c r="AF160" s="215"/>
      <c r="AG160" s="216"/>
      <c r="AJ160" s="214"/>
      <c r="AO160" s="214"/>
      <c r="AQ160" s="214"/>
      <c r="AU160" s="217"/>
      <c r="AV160" s="217"/>
      <c r="AW160" s="217"/>
    </row>
    <row r="161">
      <c r="C161" s="214"/>
      <c r="E161" s="215"/>
      <c r="F161" s="215"/>
      <c r="G161" s="215"/>
      <c r="H161" s="215"/>
      <c r="I161" s="215"/>
      <c r="J161" s="215"/>
      <c r="K161" s="215"/>
      <c r="L161" s="215"/>
      <c r="M161" s="215"/>
      <c r="N161" s="215"/>
      <c r="O161" s="215"/>
      <c r="P161" s="215"/>
      <c r="Q161" s="215"/>
      <c r="R161" s="215"/>
      <c r="S161" s="215"/>
      <c r="T161" s="215"/>
      <c r="U161" s="215"/>
      <c r="V161" s="215"/>
      <c r="W161" s="215"/>
      <c r="X161" s="215"/>
      <c r="Y161" s="215"/>
      <c r="Z161" s="215"/>
      <c r="AA161" s="215"/>
      <c r="AB161" s="215"/>
      <c r="AC161" s="215"/>
      <c r="AD161" s="215"/>
      <c r="AE161" s="215"/>
      <c r="AF161" s="215"/>
      <c r="AG161" s="216"/>
      <c r="AJ161" s="214"/>
      <c r="AO161" s="214"/>
      <c r="AQ161" s="214"/>
      <c r="AU161" s="217"/>
      <c r="AV161" s="217"/>
      <c r="AW161" s="217"/>
    </row>
    <row r="162">
      <c r="C162" s="214"/>
      <c r="E162" s="215"/>
      <c r="F162" s="215"/>
      <c r="G162" s="215"/>
      <c r="H162" s="215"/>
      <c r="I162" s="215"/>
      <c r="J162" s="215"/>
      <c r="K162" s="215"/>
      <c r="L162" s="215"/>
      <c r="M162" s="215"/>
      <c r="N162" s="215"/>
      <c r="O162" s="215"/>
      <c r="P162" s="215"/>
      <c r="Q162" s="215"/>
      <c r="R162" s="215"/>
      <c r="S162" s="215"/>
      <c r="T162" s="215"/>
      <c r="U162" s="215"/>
      <c r="V162" s="215"/>
      <c r="W162" s="215"/>
      <c r="X162" s="215"/>
      <c r="Y162" s="215"/>
      <c r="Z162" s="215"/>
      <c r="AA162" s="215"/>
      <c r="AB162" s="215"/>
      <c r="AC162" s="215"/>
      <c r="AD162" s="215"/>
      <c r="AE162" s="215"/>
      <c r="AF162" s="215"/>
      <c r="AG162" s="216"/>
      <c r="AJ162" s="214"/>
      <c r="AO162" s="214"/>
      <c r="AQ162" s="214"/>
      <c r="AU162" s="217"/>
      <c r="AV162" s="217"/>
      <c r="AW162" s="217"/>
    </row>
    <row r="163">
      <c r="C163" s="214"/>
      <c r="E163" s="215"/>
      <c r="F163" s="215"/>
      <c r="G163" s="215"/>
      <c r="H163" s="215"/>
      <c r="I163" s="215"/>
      <c r="J163" s="215"/>
      <c r="K163" s="215"/>
      <c r="L163" s="215"/>
      <c r="M163" s="215"/>
      <c r="N163" s="215"/>
      <c r="O163" s="215"/>
      <c r="P163" s="215"/>
      <c r="Q163" s="215"/>
      <c r="R163" s="215"/>
      <c r="S163" s="215"/>
      <c r="T163" s="215"/>
      <c r="U163" s="215"/>
      <c r="V163" s="215"/>
      <c r="W163" s="215"/>
      <c r="X163" s="215"/>
      <c r="Y163" s="215"/>
      <c r="Z163" s="215"/>
      <c r="AA163" s="215"/>
      <c r="AB163" s="215"/>
      <c r="AC163" s="215"/>
      <c r="AD163" s="215"/>
      <c r="AE163" s="215"/>
      <c r="AF163" s="215"/>
      <c r="AG163" s="216"/>
      <c r="AJ163" s="214"/>
      <c r="AO163" s="214"/>
      <c r="AQ163" s="214"/>
      <c r="AU163" s="217"/>
      <c r="AV163" s="217"/>
      <c r="AW163" s="217"/>
    </row>
    <row r="164">
      <c r="C164" s="214"/>
      <c r="E164" s="215"/>
      <c r="F164" s="215"/>
      <c r="G164" s="215"/>
      <c r="H164" s="215"/>
      <c r="I164" s="215"/>
      <c r="J164" s="215"/>
      <c r="K164" s="215"/>
      <c r="L164" s="215"/>
      <c r="M164" s="215"/>
      <c r="N164" s="215"/>
      <c r="O164" s="215"/>
      <c r="P164" s="215"/>
      <c r="Q164" s="215"/>
      <c r="R164" s="215"/>
      <c r="S164" s="215"/>
      <c r="T164" s="215"/>
      <c r="U164" s="215"/>
      <c r="V164" s="215"/>
      <c r="W164" s="215"/>
      <c r="X164" s="215"/>
      <c r="Y164" s="215"/>
      <c r="Z164" s="215"/>
      <c r="AA164" s="215"/>
      <c r="AB164" s="215"/>
      <c r="AC164" s="215"/>
      <c r="AD164" s="215"/>
      <c r="AE164" s="215"/>
      <c r="AF164" s="215"/>
      <c r="AG164" s="216"/>
      <c r="AJ164" s="214"/>
      <c r="AO164" s="214"/>
      <c r="AQ164" s="214"/>
      <c r="AU164" s="217"/>
      <c r="AV164" s="217"/>
      <c r="AW164" s="217"/>
    </row>
    <row r="165">
      <c r="C165" s="214"/>
      <c r="E165" s="215"/>
      <c r="F165" s="215"/>
      <c r="G165" s="215"/>
      <c r="H165" s="215"/>
      <c r="I165" s="215"/>
      <c r="J165" s="215"/>
      <c r="K165" s="215"/>
      <c r="L165" s="215"/>
      <c r="M165" s="215"/>
      <c r="N165" s="215"/>
      <c r="O165" s="215"/>
      <c r="P165" s="215"/>
      <c r="Q165" s="215"/>
      <c r="R165" s="215"/>
      <c r="S165" s="215"/>
      <c r="T165" s="215"/>
      <c r="U165" s="215"/>
      <c r="V165" s="215"/>
      <c r="W165" s="215"/>
      <c r="X165" s="215"/>
      <c r="Y165" s="215"/>
      <c r="Z165" s="215"/>
      <c r="AA165" s="215"/>
      <c r="AB165" s="215"/>
      <c r="AC165" s="215"/>
      <c r="AD165" s="215"/>
      <c r="AE165" s="215"/>
      <c r="AF165" s="215"/>
      <c r="AG165" s="216"/>
      <c r="AJ165" s="214"/>
      <c r="AO165" s="214"/>
      <c r="AQ165" s="214"/>
      <c r="AU165" s="217"/>
      <c r="AV165" s="217"/>
      <c r="AW165" s="217"/>
    </row>
    <row r="166">
      <c r="C166" s="214"/>
      <c r="E166" s="215"/>
      <c r="F166" s="215"/>
      <c r="G166" s="215"/>
      <c r="H166" s="215"/>
      <c r="I166" s="215"/>
      <c r="J166" s="215"/>
      <c r="K166" s="215"/>
      <c r="L166" s="215"/>
      <c r="M166" s="215"/>
      <c r="N166" s="215"/>
      <c r="O166" s="215"/>
      <c r="P166" s="215"/>
      <c r="Q166" s="215"/>
      <c r="R166" s="215"/>
      <c r="S166" s="215"/>
      <c r="T166" s="215"/>
      <c r="U166" s="215"/>
      <c r="V166" s="215"/>
      <c r="W166" s="215"/>
      <c r="X166" s="215"/>
      <c r="Y166" s="215"/>
      <c r="Z166" s="215"/>
      <c r="AA166" s="215"/>
      <c r="AB166" s="215"/>
      <c r="AC166" s="215"/>
      <c r="AD166" s="215"/>
      <c r="AE166" s="215"/>
      <c r="AF166" s="215"/>
      <c r="AG166" s="216"/>
      <c r="AJ166" s="214"/>
      <c r="AO166" s="214"/>
      <c r="AQ166" s="214"/>
      <c r="AU166" s="217"/>
      <c r="AV166" s="217"/>
      <c r="AW166" s="217"/>
    </row>
    <row r="167">
      <c r="C167" s="214"/>
      <c r="E167" s="215"/>
      <c r="F167" s="215"/>
      <c r="G167" s="215"/>
      <c r="H167" s="215"/>
      <c r="I167" s="215"/>
      <c r="J167" s="215"/>
      <c r="K167" s="215"/>
      <c r="L167" s="215"/>
      <c r="M167" s="215"/>
      <c r="N167" s="215"/>
      <c r="O167" s="215"/>
      <c r="P167" s="215"/>
      <c r="Q167" s="215"/>
      <c r="R167" s="215"/>
      <c r="S167" s="215"/>
      <c r="T167" s="215"/>
      <c r="U167" s="215"/>
      <c r="V167" s="215"/>
      <c r="W167" s="215"/>
      <c r="X167" s="215"/>
      <c r="Y167" s="215"/>
      <c r="Z167" s="215"/>
      <c r="AA167" s="215"/>
      <c r="AB167" s="215"/>
      <c r="AC167" s="215"/>
      <c r="AD167" s="215"/>
      <c r="AE167" s="215"/>
      <c r="AF167" s="215"/>
      <c r="AG167" s="216"/>
      <c r="AJ167" s="214"/>
      <c r="AO167" s="214"/>
      <c r="AQ167" s="214"/>
      <c r="AU167" s="217"/>
      <c r="AV167" s="217"/>
      <c r="AW167" s="217"/>
    </row>
    <row r="168">
      <c r="C168" s="214"/>
      <c r="E168" s="215"/>
      <c r="F168" s="215"/>
      <c r="G168" s="215"/>
      <c r="H168" s="215"/>
      <c r="I168" s="215"/>
      <c r="J168" s="215"/>
      <c r="K168" s="215"/>
      <c r="L168" s="215"/>
      <c r="M168" s="215"/>
      <c r="N168" s="215"/>
      <c r="O168" s="215"/>
      <c r="P168" s="215"/>
      <c r="Q168" s="215"/>
      <c r="R168" s="215"/>
      <c r="S168" s="215"/>
      <c r="T168" s="215"/>
      <c r="U168" s="215"/>
      <c r="V168" s="215"/>
      <c r="W168" s="215"/>
      <c r="X168" s="215"/>
      <c r="Y168" s="215"/>
      <c r="Z168" s="215"/>
      <c r="AA168" s="215"/>
      <c r="AB168" s="215"/>
      <c r="AC168" s="215"/>
      <c r="AD168" s="215"/>
      <c r="AE168" s="215"/>
      <c r="AF168" s="215"/>
      <c r="AG168" s="216"/>
      <c r="AJ168" s="214"/>
      <c r="AO168" s="214"/>
      <c r="AQ168" s="214"/>
      <c r="AU168" s="217"/>
      <c r="AV168" s="217"/>
      <c r="AW168" s="217"/>
    </row>
    <row r="169">
      <c r="C169" s="214"/>
      <c r="E169" s="215"/>
      <c r="F169" s="215"/>
      <c r="G169" s="215"/>
      <c r="H169" s="215"/>
      <c r="I169" s="215"/>
      <c r="J169" s="215"/>
      <c r="K169" s="215"/>
      <c r="L169" s="215"/>
      <c r="M169" s="215"/>
      <c r="N169" s="215"/>
      <c r="O169" s="215"/>
      <c r="P169" s="215"/>
      <c r="Q169" s="215"/>
      <c r="R169" s="215"/>
      <c r="S169" s="215"/>
      <c r="T169" s="215"/>
      <c r="U169" s="215"/>
      <c r="V169" s="215"/>
      <c r="W169" s="215"/>
      <c r="X169" s="215"/>
      <c r="Y169" s="215"/>
      <c r="Z169" s="215"/>
      <c r="AA169" s="215"/>
      <c r="AB169" s="215"/>
      <c r="AC169" s="215"/>
      <c r="AD169" s="215"/>
      <c r="AE169" s="215"/>
      <c r="AF169" s="215"/>
      <c r="AG169" s="216"/>
      <c r="AJ169" s="214"/>
      <c r="AO169" s="214"/>
      <c r="AQ169" s="214"/>
      <c r="AU169" s="217"/>
      <c r="AV169" s="217"/>
      <c r="AW169" s="217"/>
    </row>
    <row r="170">
      <c r="C170" s="214"/>
      <c r="E170" s="215"/>
      <c r="F170" s="215"/>
      <c r="G170" s="215"/>
      <c r="H170" s="215"/>
      <c r="I170" s="215"/>
      <c r="J170" s="215"/>
      <c r="K170" s="215"/>
      <c r="L170" s="215"/>
      <c r="M170" s="215"/>
      <c r="N170" s="215"/>
      <c r="O170" s="215"/>
      <c r="P170" s="215"/>
      <c r="Q170" s="215"/>
      <c r="R170" s="215"/>
      <c r="S170" s="215"/>
      <c r="T170" s="215"/>
      <c r="U170" s="215"/>
      <c r="V170" s="215"/>
      <c r="W170" s="215"/>
      <c r="X170" s="215"/>
      <c r="Y170" s="215"/>
      <c r="Z170" s="215"/>
      <c r="AA170" s="215"/>
      <c r="AB170" s="215"/>
      <c r="AC170" s="215"/>
      <c r="AD170" s="215"/>
      <c r="AE170" s="215"/>
      <c r="AF170" s="215"/>
      <c r="AG170" s="216"/>
      <c r="AJ170" s="214"/>
      <c r="AO170" s="214"/>
      <c r="AQ170" s="214"/>
      <c r="AU170" s="217"/>
      <c r="AV170" s="217"/>
      <c r="AW170" s="217"/>
    </row>
    <row r="171">
      <c r="C171" s="214"/>
      <c r="E171" s="215"/>
      <c r="F171" s="215"/>
      <c r="G171" s="215"/>
      <c r="H171" s="215"/>
      <c r="I171" s="215"/>
      <c r="J171" s="215"/>
      <c r="K171" s="215"/>
      <c r="L171" s="215"/>
      <c r="M171" s="215"/>
      <c r="N171" s="215"/>
      <c r="O171" s="215"/>
      <c r="P171" s="215"/>
      <c r="Q171" s="215"/>
      <c r="R171" s="215"/>
      <c r="S171" s="215"/>
      <c r="T171" s="215"/>
      <c r="U171" s="215"/>
      <c r="V171" s="215"/>
      <c r="W171" s="215"/>
      <c r="X171" s="215"/>
      <c r="Y171" s="215"/>
      <c r="Z171" s="215"/>
      <c r="AA171" s="215"/>
      <c r="AB171" s="215"/>
      <c r="AC171" s="215"/>
      <c r="AD171" s="215"/>
      <c r="AE171" s="215"/>
      <c r="AF171" s="215"/>
      <c r="AG171" s="216"/>
      <c r="AJ171" s="214"/>
      <c r="AO171" s="214"/>
      <c r="AQ171" s="214"/>
      <c r="AU171" s="217"/>
      <c r="AV171" s="217"/>
      <c r="AW171" s="217"/>
    </row>
    <row r="172">
      <c r="C172" s="214"/>
      <c r="E172" s="215"/>
      <c r="F172" s="215"/>
      <c r="G172" s="215"/>
      <c r="H172" s="215"/>
      <c r="I172" s="215"/>
      <c r="J172" s="215"/>
      <c r="K172" s="215"/>
      <c r="L172" s="215"/>
      <c r="M172" s="215"/>
      <c r="N172" s="215"/>
      <c r="O172" s="215"/>
      <c r="P172" s="215"/>
      <c r="Q172" s="215"/>
      <c r="R172" s="215"/>
      <c r="S172" s="215"/>
      <c r="T172" s="215"/>
      <c r="U172" s="215"/>
      <c r="V172" s="215"/>
      <c r="W172" s="215"/>
      <c r="X172" s="215"/>
      <c r="Y172" s="215"/>
      <c r="Z172" s="215"/>
      <c r="AA172" s="215"/>
      <c r="AB172" s="215"/>
      <c r="AC172" s="215"/>
      <c r="AD172" s="215"/>
      <c r="AE172" s="215"/>
      <c r="AF172" s="215"/>
      <c r="AG172" s="216"/>
      <c r="AJ172" s="214"/>
      <c r="AO172" s="214"/>
      <c r="AQ172" s="214"/>
      <c r="AU172" s="217"/>
      <c r="AV172" s="217"/>
      <c r="AW172" s="217"/>
    </row>
    <row r="173">
      <c r="C173" s="214"/>
      <c r="E173" s="215"/>
      <c r="F173" s="215"/>
      <c r="G173" s="215"/>
      <c r="H173" s="215"/>
      <c r="I173" s="215"/>
      <c r="J173" s="215"/>
      <c r="K173" s="215"/>
      <c r="L173" s="215"/>
      <c r="M173" s="215"/>
      <c r="N173" s="215"/>
      <c r="O173" s="215"/>
      <c r="P173" s="215"/>
      <c r="Q173" s="215"/>
      <c r="R173" s="215"/>
      <c r="S173" s="215"/>
      <c r="T173" s="215"/>
      <c r="U173" s="215"/>
      <c r="V173" s="215"/>
      <c r="W173" s="215"/>
      <c r="X173" s="215"/>
      <c r="Y173" s="215"/>
      <c r="Z173" s="215"/>
      <c r="AA173" s="215"/>
      <c r="AB173" s="215"/>
      <c r="AC173" s="215"/>
      <c r="AD173" s="215"/>
      <c r="AE173" s="215"/>
      <c r="AF173" s="215"/>
      <c r="AG173" s="216"/>
      <c r="AJ173" s="214"/>
      <c r="AO173" s="214"/>
      <c r="AQ173" s="214"/>
      <c r="AU173" s="217"/>
      <c r="AV173" s="217"/>
      <c r="AW173" s="217"/>
    </row>
    <row r="174">
      <c r="C174" s="214"/>
      <c r="E174" s="215"/>
      <c r="F174" s="215"/>
      <c r="G174" s="215"/>
      <c r="H174" s="215"/>
      <c r="I174" s="215"/>
      <c r="J174" s="215"/>
      <c r="K174" s="215"/>
      <c r="L174" s="215"/>
      <c r="M174" s="215"/>
      <c r="N174" s="215"/>
      <c r="O174" s="215"/>
      <c r="P174" s="215"/>
      <c r="Q174" s="215"/>
      <c r="R174" s="215"/>
      <c r="S174" s="215"/>
      <c r="T174" s="215"/>
      <c r="U174" s="215"/>
      <c r="V174" s="215"/>
      <c r="W174" s="215"/>
      <c r="X174" s="215"/>
      <c r="Y174" s="215"/>
      <c r="Z174" s="215"/>
      <c r="AA174" s="215"/>
      <c r="AB174" s="215"/>
      <c r="AC174" s="215"/>
      <c r="AD174" s="215"/>
      <c r="AE174" s="215"/>
      <c r="AF174" s="215"/>
      <c r="AG174" s="216"/>
      <c r="AJ174" s="214"/>
      <c r="AO174" s="214"/>
      <c r="AQ174" s="214"/>
      <c r="AU174" s="217"/>
      <c r="AV174" s="217"/>
      <c r="AW174" s="217"/>
    </row>
    <row r="175">
      <c r="C175" s="214"/>
      <c r="E175" s="215"/>
      <c r="F175" s="215"/>
      <c r="G175" s="215"/>
      <c r="H175" s="215"/>
      <c r="I175" s="215"/>
      <c r="J175" s="215"/>
      <c r="K175" s="215"/>
      <c r="L175" s="215"/>
      <c r="M175" s="215"/>
      <c r="N175" s="215"/>
      <c r="O175" s="215"/>
      <c r="P175" s="215"/>
      <c r="Q175" s="215"/>
      <c r="R175" s="215"/>
      <c r="S175" s="215"/>
      <c r="T175" s="215"/>
      <c r="U175" s="215"/>
      <c r="V175" s="215"/>
      <c r="W175" s="215"/>
      <c r="X175" s="215"/>
      <c r="Y175" s="215"/>
      <c r="Z175" s="215"/>
      <c r="AA175" s="215"/>
      <c r="AB175" s="215"/>
      <c r="AC175" s="215"/>
      <c r="AD175" s="215"/>
      <c r="AE175" s="215"/>
      <c r="AF175" s="215"/>
      <c r="AG175" s="216"/>
      <c r="AJ175" s="214"/>
      <c r="AO175" s="214"/>
      <c r="AQ175" s="214"/>
      <c r="AU175" s="217"/>
      <c r="AV175" s="217"/>
      <c r="AW175" s="217"/>
    </row>
    <row r="176">
      <c r="C176" s="214"/>
      <c r="E176" s="215"/>
      <c r="F176" s="215"/>
      <c r="G176" s="215"/>
      <c r="H176" s="215"/>
      <c r="I176" s="215"/>
      <c r="J176" s="215"/>
      <c r="K176" s="215"/>
      <c r="L176" s="215"/>
      <c r="M176" s="215"/>
      <c r="N176" s="215"/>
      <c r="O176" s="215"/>
      <c r="P176" s="215"/>
      <c r="Q176" s="215"/>
      <c r="R176" s="215"/>
      <c r="S176" s="215"/>
      <c r="T176" s="215"/>
      <c r="U176" s="215"/>
      <c r="V176" s="215"/>
      <c r="W176" s="215"/>
      <c r="X176" s="215"/>
      <c r="Y176" s="215"/>
      <c r="Z176" s="215"/>
      <c r="AA176" s="215"/>
      <c r="AB176" s="215"/>
      <c r="AC176" s="215"/>
      <c r="AD176" s="215"/>
      <c r="AE176" s="215"/>
      <c r="AF176" s="215"/>
      <c r="AG176" s="216"/>
      <c r="AJ176" s="214"/>
      <c r="AO176" s="214"/>
      <c r="AQ176" s="214"/>
      <c r="AU176" s="217"/>
      <c r="AV176" s="217"/>
      <c r="AW176" s="217"/>
    </row>
    <row r="177">
      <c r="C177" s="214"/>
      <c r="E177" s="215"/>
      <c r="F177" s="215"/>
      <c r="G177" s="215"/>
      <c r="H177" s="215"/>
      <c r="I177" s="215"/>
      <c r="J177" s="215"/>
      <c r="K177" s="215"/>
      <c r="L177" s="215"/>
      <c r="M177" s="215"/>
      <c r="N177" s="215"/>
      <c r="O177" s="215"/>
      <c r="P177" s="215"/>
      <c r="Q177" s="215"/>
      <c r="R177" s="215"/>
      <c r="S177" s="215"/>
      <c r="T177" s="215"/>
      <c r="U177" s="215"/>
      <c r="V177" s="215"/>
      <c r="W177" s="215"/>
      <c r="X177" s="215"/>
      <c r="Y177" s="215"/>
      <c r="Z177" s="215"/>
      <c r="AA177" s="215"/>
      <c r="AB177" s="215"/>
      <c r="AC177" s="215"/>
      <c r="AD177" s="215"/>
      <c r="AE177" s="215"/>
      <c r="AF177" s="215"/>
      <c r="AG177" s="216"/>
      <c r="AJ177" s="214"/>
      <c r="AO177" s="214"/>
      <c r="AQ177" s="214"/>
      <c r="AU177" s="217"/>
      <c r="AV177" s="217"/>
      <c r="AW177" s="217"/>
    </row>
    <row r="178">
      <c r="C178" s="214"/>
      <c r="E178" s="215"/>
      <c r="F178" s="215"/>
      <c r="G178" s="215"/>
      <c r="H178" s="215"/>
      <c r="I178" s="215"/>
      <c r="J178" s="215"/>
      <c r="K178" s="215"/>
      <c r="L178" s="215"/>
      <c r="M178" s="215"/>
      <c r="N178" s="215"/>
      <c r="O178" s="215"/>
      <c r="P178" s="215"/>
      <c r="Q178" s="215"/>
      <c r="R178" s="215"/>
      <c r="S178" s="215"/>
      <c r="T178" s="215"/>
      <c r="U178" s="215"/>
      <c r="V178" s="215"/>
      <c r="W178" s="215"/>
      <c r="X178" s="215"/>
      <c r="Y178" s="215"/>
      <c r="Z178" s="215"/>
      <c r="AA178" s="215"/>
      <c r="AB178" s="215"/>
      <c r="AC178" s="215"/>
      <c r="AD178" s="215"/>
      <c r="AE178" s="215"/>
      <c r="AF178" s="215"/>
      <c r="AG178" s="216"/>
      <c r="AJ178" s="214"/>
      <c r="AO178" s="214"/>
      <c r="AQ178" s="214"/>
      <c r="AU178" s="217"/>
      <c r="AV178" s="217"/>
      <c r="AW178" s="217"/>
    </row>
    <row r="179">
      <c r="C179" s="214"/>
      <c r="E179" s="215"/>
      <c r="F179" s="215"/>
      <c r="G179" s="215"/>
      <c r="H179" s="215"/>
      <c r="I179" s="215"/>
      <c r="J179" s="215"/>
      <c r="K179" s="215"/>
      <c r="L179" s="215"/>
      <c r="M179" s="215"/>
      <c r="N179" s="215"/>
      <c r="O179" s="215"/>
      <c r="P179" s="215"/>
      <c r="Q179" s="215"/>
      <c r="R179" s="215"/>
      <c r="S179" s="215"/>
      <c r="T179" s="215"/>
      <c r="U179" s="215"/>
      <c r="V179" s="215"/>
      <c r="W179" s="215"/>
      <c r="X179" s="215"/>
      <c r="Y179" s="215"/>
      <c r="Z179" s="215"/>
      <c r="AA179" s="215"/>
      <c r="AB179" s="215"/>
      <c r="AC179" s="215"/>
      <c r="AD179" s="215"/>
      <c r="AE179" s="215"/>
      <c r="AF179" s="215"/>
      <c r="AG179" s="216"/>
      <c r="AJ179" s="214"/>
      <c r="AO179" s="214"/>
      <c r="AQ179" s="214"/>
      <c r="AU179" s="217"/>
      <c r="AV179" s="217"/>
      <c r="AW179" s="217"/>
    </row>
    <row r="180">
      <c r="C180" s="214"/>
      <c r="E180" s="215"/>
      <c r="F180" s="215"/>
      <c r="G180" s="215"/>
      <c r="H180" s="215"/>
      <c r="I180" s="215"/>
      <c r="J180" s="215"/>
      <c r="K180" s="215"/>
      <c r="L180" s="215"/>
      <c r="M180" s="215"/>
      <c r="N180" s="215"/>
      <c r="O180" s="215"/>
      <c r="P180" s="215"/>
      <c r="Q180" s="215"/>
      <c r="R180" s="215"/>
      <c r="S180" s="215"/>
      <c r="T180" s="215"/>
      <c r="U180" s="215"/>
      <c r="V180" s="215"/>
      <c r="W180" s="215"/>
      <c r="X180" s="215"/>
      <c r="Y180" s="215"/>
      <c r="Z180" s="215"/>
      <c r="AA180" s="215"/>
      <c r="AB180" s="215"/>
      <c r="AC180" s="215"/>
      <c r="AD180" s="215"/>
      <c r="AE180" s="215"/>
      <c r="AF180" s="215"/>
      <c r="AG180" s="216"/>
      <c r="AJ180" s="214"/>
      <c r="AO180" s="214"/>
      <c r="AQ180" s="214"/>
      <c r="AU180" s="217"/>
      <c r="AV180" s="217"/>
      <c r="AW180" s="217"/>
    </row>
    <row r="181">
      <c r="C181" s="214"/>
      <c r="E181" s="215"/>
      <c r="F181" s="215"/>
      <c r="G181" s="215"/>
      <c r="H181" s="215"/>
      <c r="I181" s="215"/>
      <c r="J181" s="215"/>
      <c r="K181" s="215"/>
      <c r="L181" s="215"/>
      <c r="M181" s="215"/>
      <c r="N181" s="215"/>
      <c r="O181" s="215"/>
      <c r="P181" s="215"/>
      <c r="Q181" s="215"/>
      <c r="R181" s="215"/>
      <c r="S181" s="215"/>
      <c r="T181" s="215"/>
      <c r="U181" s="215"/>
      <c r="V181" s="215"/>
      <c r="W181" s="215"/>
      <c r="X181" s="215"/>
      <c r="Y181" s="215"/>
      <c r="Z181" s="215"/>
      <c r="AA181" s="215"/>
      <c r="AB181" s="215"/>
      <c r="AC181" s="215"/>
      <c r="AD181" s="215"/>
      <c r="AE181" s="215"/>
      <c r="AF181" s="215"/>
      <c r="AG181" s="216"/>
      <c r="AJ181" s="214"/>
      <c r="AO181" s="214"/>
      <c r="AQ181" s="214"/>
      <c r="AU181" s="217"/>
      <c r="AV181" s="217"/>
      <c r="AW181" s="217"/>
    </row>
    <row r="182">
      <c r="C182" s="214"/>
      <c r="E182" s="215"/>
      <c r="F182" s="215"/>
      <c r="G182" s="215"/>
      <c r="H182" s="215"/>
      <c r="I182" s="215"/>
      <c r="J182" s="215"/>
      <c r="K182" s="215"/>
      <c r="L182" s="215"/>
      <c r="M182" s="215"/>
      <c r="N182" s="215"/>
      <c r="O182" s="215"/>
      <c r="P182" s="215"/>
      <c r="Q182" s="215"/>
      <c r="R182" s="215"/>
      <c r="S182" s="215"/>
      <c r="T182" s="215"/>
      <c r="U182" s="215"/>
      <c r="V182" s="215"/>
      <c r="W182" s="215"/>
      <c r="X182" s="215"/>
      <c r="Y182" s="215"/>
      <c r="Z182" s="215"/>
      <c r="AA182" s="215"/>
      <c r="AB182" s="215"/>
      <c r="AC182" s="215"/>
      <c r="AD182" s="215"/>
      <c r="AE182" s="215"/>
      <c r="AF182" s="215"/>
      <c r="AG182" s="216"/>
      <c r="AJ182" s="214"/>
      <c r="AO182" s="214"/>
      <c r="AQ182" s="214"/>
      <c r="AU182" s="217"/>
      <c r="AV182" s="217"/>
      <c r="AW182" s="217"/>
    </row>
    <row r="183">
      <c r="C183" s="214"/>
      <c r="E183" s="215"/>
      <c r="F183" s="215"/>
      <c r="G183" s="215"/>
      <c r="H183" s="215"/>
      <c r="I183" s="215"/>
      <c r="J183" s="215"/>
      <c r="K183" s="215"/>
      <c r="L183" s="215"/>
      <c r="M183" s="215"/>
      <c r="N183" s="215"/>
      <c r="O183" s="215"/>
      <c r="P183" s="215"/>
      <c r="Q183" s="215"/>
      <c r="R183" s="215"/>
      <c r="S183" s="215"/>
      <c r="T183" s="215"/>
      <c r="U183" s="215"/>
      <c r="V183" s="215"/>
      <c r="W183" s="215"/>
      <c r="X183" s="215"/>
      <c r="Y183" s="215"/>
      <c r="Z183" s="215"/>
      <c r="AA183" s="215"/>
      <c r="AB183" s="215"/>
      <c r="AC183" s="215"/>
      <c r="AD183" s="215"/>
      <c r="AE183" s="215"/>
      <c r="AF183" s="215"/>
      <c r="AG183" s="216"/>
      <c r="AJ183" s="214"/>
      <c r="AO183" s="214"/>
      <c r="AQ183" s="214"/>
      <c r="AU183" s="217"/>
      <c r="AV183" s="217"/>
      <c r="AW183" s="217"/>
    </row>
    <row r="184">
      <c r="C184" s="214"/>
      <c r="E184" s="215"/>
      <c r="F184" s="215"/>
      <c r="G184" s="215"/>
      <c r="H184" s="215"/>
      <c r="I184" s="215"/>
      <c r="J184" s="215"/>
      <c r="K184" s="215"/>
      <c r="L184" s="215"/>
      <c r="M184" s="215"/>
      <c r="N184" s="215"/>
      <c r="O184" s="215"/>
      <c r="P184" s="215"/>
      <c r="Q184" s="215"/>
      <c r="R184" s="215"/>
      <c r="S184" s="215"/>
      <c r="T184" s="215"/>
      <c r="U184" s="215"/>
      <c r="V184" s="215"/>
      <c r="W184" s="215"/>
      <c r="X184" s="215"/>
      <c r="Y184" s="215"/>
      <c r="Z184" s="215"/>
      <c r="AA184" s="215"/>
      <c r="AB184" s="215"/>
      <c r="AC184" s="215"/>
      <c r="AD184" s="215"/>
      <c r="AE184" s="215"/>
      <c r="AF184" s="215"/>
      <c r="AG184" s="216"/>
      <c r="AJ184" s="214"/>
      <c r="AO184" s="214"/>
      <c r="AQ184" s="214"/>
      <c r="AU184" s="217"/>
      <c r="AV184" s="217"/>
      <c r="AW184" s="217"/>
    </row>
    <row r="185">
      <c r="C185" s="214"/>
      <c r="E185" s="215"/>
      <c r="F185" s="215"/>
      <c r="G185" s="215"/>
      <c r="H185" s="215"/>
      <c r="I185" s="215"/>
      <c r="J185" s="215"/>
      <c r="K185" s="215"/>
      <c r="L185" s="215"/>
      <c r="M185" s="215"/>
      <c r="N185" s="215"/>
      <c r="O185" s="215"/>
      <c r="P185" s="215"/>
      <c r="Q185" s="215"/>
      <c r="R185" s="215"/>
      <c r="S185" s="215"/>
      <c r="T185" s="215"/>
      <c r="U185" s="215"/>
      <c r="V185" s="215"/>
      <c r="W185" s="215"/>
      <c r="X185" s="215"/>
      <c r="Y185" s="215"/>
      <c r="Z185" s="215"/>
      <c r="AA185" s="215"/>
      <c r="AB185" s="215"/>
      <c r="AC185" s="215"/>
      <c r="AD185" s="215"/>
      <c r="AE185" s="215"/>
      <c r="AF185" s="215"/>
      <c r="AG185" s="216"/>
      <c r="AJ185" s="214"/>
      <c r="AO185" s="214"/>
      <c r="AQ185" s="214"/>
      <c r="AU185" s="217"/>
      <c r="AV185" s="217"/>
      <c r="AW185" s="217"/>
    </row>
    <row r="186">
      <c r="C186" s="214"/>
      <c r="E186" s="215"/>
      <c r="F186" s="215"/>
      <c r="G186" s="215"/>
      <c r="H186" s="215"/>
      <c r="I186" s="215"/>
      <c r="J186" s="215"/>
      <c r="K186" s="215"/>
      <c r="L186" s="215"/>
      <c r="M186" s="215"/>
      <c r="N186" s="215"/>
      <c r="O186" s="215"/>
      <c r="P186" s="215"/>
      <c r="Q186" s="215"/>
      <c r="R186" s="215"/>
      <c r="S186" s="215"/>
      <c r="T186" s="215"/>
      <c r="U186" s="215"/>
      <c r="V186" s="215"/>
      <c r="W186" s="215"/>
      <c r="X186" s="215"/>
      <c r="Y186" s="215"/>
      <c r="Z186" s="215"/>
      <c r="AA186" s="215"/>
      <c r="AB186" s="215"/>
      <c r="AC186" s="215"/>
      <c r="AD186" s="215"/>
      <c r="AE186" s="215"/>
      <c r="AF186" s="215"/>
      <c r="AG186" s="216"/>
      <c r="AJ186" s="214"/>
      <c r="AO186" s="214"/>
      <c r="AQ186" s="214"/>
      <c r="AU186" s="217"/>
      <c r="AV186" s="217"/>
      <c r="AW186" s="217"/>
    </row>
    <row r="187">
      <c r="C187" s="214"/>
      <c r="E187" s="215"/>
      <c r="F187" s="215"/>
      <c r="G187" s="215"/>
      <c r="H187" s="215"/>
      <c r="I187" s="215"/>
      <c r="J187" s="215"/>
      <c r="K187" s="215"/>
      <c r="L187" s="215"/>
      <c r="M187" s="215"/>
      <c r="N187" s="215"/>
      <c r="O187" s="215"/>
      <c r="P187" s="215"/>
      <c r="Q187" s="215"/>
      <c r="R187" s="215"/>
      <c r="S187" s="215"/>
      <c r="T187" s="215"/>
      <c r="U187" s="215"/>
      <c r="V187" s="215"/>
      <c r="W187" s="215"/>
      <c r="X187" s="215"/>
      <c r="Y187" s="215"/>
      <c r="Z187" s="215"/>
      <c r="AA187" s="215"/>
      <c r="AB187" s="215"/>
      <c r="AC187" s="215"/>
      <c r="AD187" s="215"/>
      <c r="AE187" s="215"/>
      <c r="AF187" s="215"/>
      <c r="AG187" s="216"/>
      <c r="AJ187" s="214"/>
      <c r="AO187" s="214"/>
      <c r="AQ187" s="214"/>
      <c r="AU187" s="217"/>
      <c r="AV187" s="217"/>
      <c r="AW187" s="217"/>
    </row>
    <row r="188">
      <c r="C188" s="214"/>
      <c r="E188" s="215"/>
      <c r="F188" s="215"/>
      <c r="G188" s="215"/>
      <c r="H188" s="215"/>
      <c r="I188" s="215"/>
      <c r="J188" s="215"/>
      <c r="K188" s="215"/>
      <c r="L188" s="215"/>
      <c r="M188" s="215"/>
      <c r="N188" s="215"/>
      <c r="O188" s="215"/>
      <c r="P188" s="215"/>
      <c r="Q188" s="215"/>
      <c r="R188" s="215"/>
      <c r="S188" s="215"/>
      <c r="T188" s="215"/>
      <c r="U188" s="215"/>
      <c r="V188" s="215"/>
      <c r="W188" s="215"/>
      <c r="X188" s="215"/>
      <c r="Y188" s="215"/>
      <c r="Z188" s="215"/>
      <c r="AA188" s="215"/>
      <c r="AB188" s="215"/>
      <c r="AC188" s="215"/>
      <c r="AD188" s="215"/>
      <c r="AE188" s="215"/>
      <c r="AF188" s="215"/>
      <c r="AG188" s="216"/>
      <c r="AJ188" s="214"/>
      <c r="AO188" s="214"/>
      <c r="AQ188" s="214"/>
      <c r="AU188" s="217"/>
      <c r="AV188" s="217"/>
      <c r="AW188" s="217"/>
    </row>
    <row r="189">
      <c r="C189" s="214"/>
      <c r="E189" s="215"/>
      <c r="F189" s="215"/>
      <c r="G189" s="215"/>
      <c r="H189" s="215"/>
      <c r="I189" s="215"/>
      <c r="J189" s="215"/>
      <c r="K189" s="215"/>
      <c r="L189" s="215"/>
      <c r="M189" s="215"/>
      <c r="N189" s="215"/>
      <c r="O189" s="215"/>
      <c r="P189" s="215"/>
      <c r="Q189" s="215"/>
      <c r="R189" s="215"/>
      <c r="S189" s="215"/>
      <c r="T189" s="215"/>
      <c r="U189" s="215"/>
      <c r="V189" s="215"/>
      <c r="W189" s="215"/>
      <c r="X189" s="215"/>
      <c r="Y189" s="215"/>
      <c r="Z189" s="215"/>
      <c r="AA189" s="215"/>
      <c r="AB189" s="215"/>
      <c r="AC189" s="215"/>
      <c r="AD189" s="215"/>
      <c r="AE189" s="215"/>
      <c r="AF189" s="215"/>
      <c r="AG189" s="216"/>
      <c r="AJ189" s="214"/>
      <c r="AO189" s="214"/>
      <c r="AQ189" s="214"/>
      <c r="AU189" s="217"/>
      <c r="AV189" s="217"/>
      <c r="AW189" s="217"/>
    </row>
    <row r="190">
      <c r="C190" s="214"/>
      <c r="E190" s="215"/>
      <c r="F190" s="215"/>
      <c r="G190" s="215"/>
      <c r="H190" s="215"/>
      <c r="I190" s="215"/>
      <c r="J190" s="215"/>
      <c r="K190" s="215"/>
      <c r="L190" s="215"/>
      <c r="M190" s="215"/>
      <c r="N190" s="215"/>
      <c r="O190" s="215"/>
      <c r="P190" s="215"/>
      <c r="Q190" s="215"/>
      <c r="R190" s="215"/>
      <c r="S190" s="215"/>
      <c r="T190" s="215"/>
      <c r="U190" s="215"/>
      <c r="V190" s="215"/>
      <c r="W190" s="215"/>
      <c r="X190" s="215"/>
      <c r="Y190" s="215"/>
      <c r="Z190" s="215"/>
      <c r="AA190" s="215"/>
      <c r="AB190" s="215"/>
      <c r="AC190" s="215"/>
      <c r="AD190" s="215"/>
      <c r="AE190" s="215"/>
      <c r="AF190" s="215"/>
      <c r="AG190" s="216"/>
      <c r="AJ190" s="214"/>
      <c r="AO190" s="214"/>
      <c r="AQ190" s="214"/>
      <c r="AU190" s="217"/>
      <c r="AV190" s="217"/>
      <c r="AW190" s="217"/>
    </row>
    <row r="191">
      <c r="C191" s="214"/>
      <c r="E191" s="215"/>
      <c r="F191" s="215"/>
      <c r="G191" s="215"/>
      <c r="H191" s="215"/>
      <c r="I191" s="215"/>
      <c r="J191" s="215"/>
      <c r="K191" s="215"/>
      <c r="L191" s="215"/>
      <c r="M191" s="215"/>
      <c r="N191" s="215"/>
      <c r="O191" s="215"/>
      <c r="P191" s="215"/>
      <c r="Q191" s="215"/>
      <c r="R191" s="215"/>
      <c r="S191" s="215"/>
      <c r="T191" s="215"/>
      <c r="U191" s="215"/>
      <c r="V191" s="215"/>
      <c r="W191" s="215"/>
      <c r="X191" s="215"/>
      <c r="Y191" s="215"/>
      <c r="Z191" s="215"/>
      <c r="AA191" s="215"/>
      <c r="AB191" s="215"/>
      <c r="AC191" s="215"/>
      <c r="AD191" s="215"/>
      <c r="AE191" s="215"/>
      <c r="AF191" s="215"/>
      <c r="AG191" s="216"/>
      <c r="AJ191" s="214"/>
      <c r="AO191" s="214"/>
      <c r="AQ191" s="214"/>
      <c r="AU191" s="217"/>
      <c r="AV191" s="217"/>
      <c r="AW191" s="217"/>
    </row>
    <row r="192">
      <c r="C192" s="214"/>
      <c r="E192" s="215"/>
      <c r="F192" s="215"/>
      <c r="G192" s="215"/>
      <c r="H192" s="215"/>
      <c r="I192" s="215"/>
      <c r="J192" s="215"/>
      <c r="K192" s="215"/>
      <c r="L192" s="215"/>
      <c r="M192" s="215"/>
      <c r="N192" s="215"/>
      <c r="O192" s="215"/>
      <c r="P192" s="215"/>
      <c r="Q192" s="215"/>
      <c r="R192" s="215"/>
      <c r="S192" s="215"/>
      <c r="T192" s="215"/>
      <c r="U192" s="215"/>
      <c r="V192" s="215"/>
      <c r="W192" s="215"/>
      <c r="X192" s="215"/>
      <c r="Y192" s="215"/>
      <c r="Z192" s="215"/>
      <c r="AA192" s="215"/>
      <c r="AB192" s="215"/>
      <c r="AC192" s="215"/>
      <c r="AD192" s="215"/>
      <c r="AE192" s="215"/>
      <c r="AF192" s="215"/>
      <c r="AG192" s="216"/>
      <c r="AJ192" s="214"/>
      <c r="AO192" s="214"/>
      <c r="AQ192" s="214"/>
      <c r="AU192" s="217"/>
      <c r="AV192" s="217"/>
      <c r="AW192" s="217"/>
    </row>
    <row r="193">
      <c r="C193" s="214"/>
      <c r="E193" s="215"/>
      <c r="F193" s="215"/>
      <c r="G193" s="215"/>
      <c r="H193" s="215"/>
      <c r="I193" s="215"/>
      <c r="J193" s="215"/>
      <c r="K193" s="215"/>
      <c r="L193" s="215"/>
      <c r="M193" s="215"/>
      <c r="N193" s="215"/>
      <c r="O193" s="215"/>
      <c r="P193" s="215"/>
      <c r="Q193" s="215"/>
      <c r="R193" s="215"/>
      <c r="S193" s="215"/>
      <c r="T193" s="215"/>
      <c r="U193" s="215"/>
      <c r="V193" s="215"/>
      <c r="W193" s="215"/>
      <c r="X193" s="215"/>
      <c r="Y193" s="215"/>
      <c r="Z193" s="215"/>
      <c r="AA193" s="215"/>
      <c r="AB193" s="215"/>
      <c r="AC193" s="215"/>
      <c r="AD193" s="215"/>
      <c r="AE193" s="215"/>
      <c r="AF193" s="215"/>
      <c r="AG193" s="216"/>
      <c r="AJ193" s="214"/>
      <c r="AO193" s="214"/>
      <c r="AQ193" s="214"/>
      <c r="AU193" s="217"/>
      <c r="AV193" s="217"/>
      <c r="AW193" s="217"/>
    </row>
    <row r="194">
      <c r="C194" s="214"/>
      <c r="E194" s="215"/>
      <c r="F194" s="215"/>
      <c r="G194" s="215"/>
      <c r="H194" s="215"/>
      <c r="I194" s="215"/>
      <c r="J194" s="215"/>
      <c r="K194" s="215"/>
      <c r="L194" s="215"/>
      <c r="M194" s="215"/>
      <c r="N194" s="215"/>
      <c r="O194" s="215"/>
      <c r="P194" s="215"/>
      <c r="Q194" s="215"/>
      <c r="R194" s="215"/>
      <c r="S194" s="215"/>
      <c r="T194" s="215"/>
      <c r="U194" s="215"/>
      <c r="V194" s="215"/>
      <c r="W194" s="215"/>
      <c r="X194" s="215"/>
      <c r="Y194" s="215"/>
      <c r="Z194" s="215"/>
      <c r="AA194" s="215"/>
      <c r="AB194" s="215"/>
      <c r="AC194" s="215"/>
      <c r="AD194" s="215"/>
      <c r="AE194" s="215"/>
      <c r="AF194" s="215"/>
      <c r="AG194" s="216"/>
      <c r="AJ194" s="214"/>
      <c r="AO194" s="214"/>
      <c r="AQ194" s="214"/>
      <c r="AU194" s="217"/>
      <c r="AV194" s="217"/>
      <c r="AW194" s="217"/>
    </row>
    <row r="195">
      <c r="C195" s="214"/>
      <c r="E195" s="215"/>
      <c r="F195" s="215"/>
      <c r="G195" s="215"/>
      <c r="H195" s="215"/>
      <c r="I195" s="215"/>
      <c r="J195" s="215"/>
      <c r="K195" s="215"/>
      <c r="L195" s="215"/>
      <c r="M195" s="215"/>
      <c r="N195" s="215"/>
      <c r="O195" s="215"/>
      <c r="P195" s="215"/>
      <c r="Q195" s="215"/>
      <c r="R195" s="215"/>
      <c r="S195" s="215"/>
      <c r="T195" s="215"/>
      <c r="U195" s="215"/>
      <c r="V195" s="215"/>
      <c r="W195" s="215"/>
      <c r="X195" s="215"/>
      <c r="Y195" s="215"/>
      <c r="Z195" s="215"/>
      <c r="AA195" s="215"/>
      <c r="AB195" s="215"/>
      <c r="AC195" s="215"/>
      <c r="AD195" s="215"/>
      <c r="AE195" s="215"/>
      <c r="AF195" s="215"/>
      <c r="AG195" s="216"/>
      <c r="AJ195" s="214"/>
      <c r="AO195" s="214"/>
      <c r="AQ195" s="214"/>
      <c r="AU195" s="217"/>
      <c r="AV195" s="217"/>
      <c r="AW195" s="217"/>
    </row>
    <row r="196">
      <c r="C196" s="214"/>
      <c r="E196" s="215"/>
      <c r="F196" s="215"/>
      <c r="G196" s="215"/>
      <c r="H196" s="215"/>
      <c r="I196" s="215"/>
      <c r="J196" s="215"/>
      <c r="K196" s="215"/>
      <c r="L196" s="215"/>
      <c r="M196" s="215"/>
      <c r="N196" s="215"/>
      <c r="O196" s="215"/>
      <c r="P196" s="215"/>
      <c r="Q196" s="215"/>
      <c r="R196" s="215"/>
      <c r="S196" s="215"/>
      <c r="T196" s="215"/>
      <c r="U196" s="215"/>
      <c r="V196" s="215"/>
      <c r="W196" s="215"/>
      <c r="X196" s="215"/>
      <c r="Y196" s="215"/>
      <c r="Z196" s="215"/>
      <c r="AA196" s="215"/>
      <c r="AB196" s="215"/>
      <c r="AC196" s="215"/>
      <c r="AD196" s="215"/>
      <c r="AE196" s="215"/>
      <c r="AF196" s="215"/>
      <c r="AG196" s="216"/>
      <c r="AJ196" s="214"/>
      <c r="AO196" s="214"/>
      <c r="AQ196" s="214"/>
      <c r="AU196" s="217"/>
      <c r="AV196" s="217"/>
      <c r="AW196" s="217"/>
    </row>
    <row r="197">
      <c r="C197" s="214"/>
      <c r="E197" s="215"/>
      <c r="F197" s="215"/>
      <c r="G197" s="215"/>
      <c r="H197" s="215"/>
      <c r="I197" s="215"/>
      <c r="J197" s="215"/>
      <c r="K197" s="215"/>
      <c r="L197" s="215"/>
      <c r="M197" s="215"/>
      <c r="N197" s="215"/>
      <c r="O197" s="215"/>
      <c r="P197" s="215"/>
      <c r="Q197" s="215"/>
      <c r="R197" s="215"/>
      <c r="S197" s="215"/>
      <c r="T197" s="215"/>
      <c r="U197" s="215"/>
      <c r="V197" s="215"/>
      <c r="W197" s="215"/>
      <c r="X197" s="215"/>
      <c r="Y197" s="215"/>
      <c r="Z197" s="215"/>
      <c r="AA197" s="215"/>
      <c r="AB197" s="215"/>
      <c r="AC197" s="215"/>
      <c r="AD197" s="215"/>
      <c r="AE197" s="215"/>
      <c r="AF197" s="215"/>
      <c r="AG197" s="216"/>
      <c r="AJ197" s="214"/>
      <c r="AO197" s="214"/>
      <c r="AQ197" s="214"/>
      <c r="AU197" s="217"/>
      <c r="AV197" s="217"/>
      <c r="AW197" s="217"/>
    </row>
    <row r="198">
      <c r="C198" s="214"/>
      <c r="E198" s="215"/>
      <c r="F198" s="215"/>
      <c r="G198" s="215"/>
      <c r="H198" s="215"/>
      <c r="I198" s="215"/>
      <c r="J198" s="215"/>
      <c r="K198" s="215"/>
      <c r="L198" s="215"/>
      <c r="M198" s="215"/>
      <c r="N198" s="215"/>
      <c r="O198" s="215"/>
      <c r="P198" s="215"/>
      <c r="Q198" s="215"/>
      <c r="R198" s="215"/>
      <c r="S198" s="215"/>
      <c r="T198" s="215"/>
      <c r="U198" s="215"/>
      <c r="V198" s="215"/>
      <c r="W198" s="215"/>
      <c r="X198" s="215"/>
      <c r="Y198" s="215"/>
      <c r="Z198" s="215"/>
      <c r="AA198" s="215"/>
      <c r="AB198" s="215"/>
      <c r="AC198" s="215"/>
      <c r="AD198" s="215"/>
      <c r="AE198" s="215"/>
      <c r="AF198" s="215"/>
      <c r="AG198" s="216"/>
      <c r="AJ198" s="214"/>
      <c r="AO198" s="214"/>
      <c r="AQ198" s="214"/>
      <c r="AU198" s="217"/>
      <c r="AV198" s="217"/>
      <c r="AW198" s="217"/>
    </row>
    <row r="199">
      <c r="C199" s="214"/>
      <c r="E199" s="215"/>
      <c r="F199" s="215"/>
      <c r="G199" s="215"/>
      <c r="H199" s="215"/>
      <c r="I199" s="215"/>
      <c r="J199" s="215"/>
      <c r="K199" s="215"/>
      <c r="L199" s="215"/>
      <c r="M199" s="215"/>
      <c r="N199" s="215"/>
      <c r="O199" s="215"/>
      <c r="P199" s="215"/>
      <c r="Q199" s="215"/>
      <c r="R199" s="215"/>
      <c r="S199" s="215"/>
      <c r="T199" s="215"/>
      <c r="U199" s="215"/>
      <c r="V199" s="215"/>
      <c r="W199" s="215"/>
      <c r="X199" s="215"/>
      <c r="Y199" s="215"/>
      <c r="Z199" s="215"/>
      <c r="AA199" s="215"/>
      <c r="AB199" s="215"/>
      <c r="AC199" s="215"/>
      <c r="AD199" s="215"/>
      <c r="AE199" s="215"/>
      <c r="AF199" s="215"/>
      <c r="AG199" s="216"/>
      <c r="AJ199" s="214"/>
      <c r="AO199" s="214"/>
      <c r="AQ199" s="214"/>
      <c r="AU199" s="217"/>
      <c r="AV199" s="217"/>
      <c r="AW199" s="217"/>
    </row>
    <row r="200">
      <c r="C200" s="214"/>
      <c r="E200" s="215"/>
      <c r="F200" s="215"/>
      <c r="G200" s="215"/>
      <c r="H200" s="215"/>
      <c r="I200" s="215"/>
      <c r="J200" s="215"/>
      <c r="K200" s="215"/>
      <c r="L200" s="215"/>
      <c r="M200" s="215"/>
      <c r="N200" s="215"/>
      <c r="O200" s="215"/>
      <c r="P200" s="215"/>
      <c r="Q200" s="215"/>
      <c r="R200" s="215"/>
      <c r="S200" s="215"/>
      <c r="T200" s="215"/>
      <c r="U200" s="215"/>
      <c r="V200" s="215"/>
      <c r="W200" s="215"/>
      <c r="X200" s="215"/>
      <c r="Y200" s="215"/>
      <c r="Z200" s="215"/>
      <c r="AA200" s="215"/>
      <c r="AB200" s="215"/>
      <c r="AC200" s="215"/>
      <c r="AD200" s="215"/>
      <c r="AE200" s="215"/>
      <c r="AF200" s="215"/>
      <c r="AG200" s="216"/>
      <c r="AJ200" s="214"/>
      <c r="AO200" s="214"/>
      <c r="AQ200" s="214"/>
      <c r="AU200" s="217"/>
      <c r="AV200" s="217"/>
      <c r="AW200" s="217"/>
    </row>
    <row r="201">
      <c r="C201" s="214"/>
      <c r="E201" s="215"/>
      <c r="F201" s="215"/>
      <c r="G201" s="215"/>
      <c r="H201" s="215"/>
      <c r="I201" s="215"/>
      <c r="J201" s="215"/>
      <c r="K201" s="215"/>
      <c r="L201" s="215"/>
      <c r="M201" s="215"/>
      <c r="N201" s="215"/>
      <c r="O201" s="215"/>
      <c r="P201" s="215"/>
      <c r="Q201" s="215"/>
      <c r="R201" s="215"/>
      <c r="S201" s="215"/>
      <c r="T201" s="215"/>
      <c r="U201" s="215"/>
      <c r="V201" s="215"/>
      <c r="W201" s="215"/>
      <c r="X201" s="215"/>
      <c r="Y201" s="215"/>
      <c r="Z201" s="215"/>
      <c r="AA201" s="215"/>
      <c r="AB201" s="215"/>
      <c r="AC201" s="215"/>
      <c r="AD201" s="215"/>
      <c r="AE201" s="215"/>
      <c r="AF201" s="215"/>
      <c r="AG201" s="216"/>
      <c r="AJ201" s="214"/>
      <c r="AO201" s="214"/>
      <c r="AQ201" s="214"/>
      <c r="AU201" s="217"/>
      <c r="AV201" s="217"/>
      <c r="AW201" s="217"/>
    </row>
    <row r="202">
      <c r="C202" s="214"/>
      <c r="E202" s="215"/>
      <c r="F202" s="215"/>
      <c r="G202" s="215"/>
      <c r="H202" s="215"/>
      <c r="I202" s="215"/>
      <c r="J202" s="215"/>
      <c r="K202" s="215"/>
      <c r="L202" s="215"/>
      <c r="M202" s="215"/>
      <c r="N202" s="215"/>
      <c r="O202" s="215"/>
      <c r="P202" s="215"/>
      <c r="Q202" s="215"/>
      <c r="R202" s="215"/>
      <c r="S202" s="215"/>
      <c r="T202" s="215"/>
      <c r="U202" s="215"/>
      <c r="V202" s="215"/>
      <c r="W202" s="215"/>
      <c r="X202" s="215"/>
      <c r="Y202" s="215"/>
      <c r="Z202" s="215"/>
      <c r="AA202" s="215"/>
      <c r="AB202" s="215"/>
      <c r="AC202" s="215"/>
      <c r="AD202" s="215"/>
      <c r="AE202" s="215"/>
      <c r="AF202" s="215"/>
      <c r="AG202" s="216"/>
      <c r="AJ202" s="214"/>
      <c r="AO202" s="214"/>
      <c r="AQ202" s="214"/>
      <c r="AU202" s="217"/>
      <c r="AV202" s="217"/>
      <c r="AW202" s="217"/>
    </row>
    <row r="203">
      <c r="C203" s="214"/>
      <c r="E203" s="215"/>
      <c r="F203" s="215"/>
      <c r="G203" s="215"/>
      <c r="H203" s="215"/>
      <c r="I203" s="215"/>
      <c r="J203" s="215"/>
      <c r="K203" s="215"/>
      <c r="L203" s="215"/>
      <c r="M203" s="215"/>
      <c r="N203" s="215"/>
      <c r="O203" s="215"/>
      <c r="P203" s="215"/>
      <c r="Q203" s="215"/>
      <c r="R203" s="215"/>
      <c r="S203" s="215"/>
      <c r="T203" s="215"/>
      <c r="U203" s="215"/>
      <c r="V203" s="215"/>
      <c r="W203" s="215"/>
      <c r="X203" s="215"/>
      <c r="Y203" s="215"/>
      <c r="Z203" s="215"/>
      <c r="AA203" s="215"/>
      <c r="AB203" s="215"/>
      <c r="AC203" s="215"/>
      <c r="AD203" s="215"/>
      <c r="AE203" s="215"/>
      <c r="AF203" s="215"/>
      <c r="AG203" s="216"/>
      <c r="AJ203" s="214"/>
      <c r="AO203" s="214"/>
      <c r="AQ203" s="214"/>
      <c r="AU203" s="217"/>
      <c r="AV203" s="217"/>
      <c r="AW203" s="217"/>
    </row>
    <row r="204">
      <c r="C204" s="214"/>
      <c r="E204" s="215"/>
      <c r="F204" s="215"/>
      <c r="G204" s="215"/>
      <c r="H204" s="215"/>
      <c r="I204" s="215"/>
      <c r="J204" s="215"/>
      <c r="K204" s="215"/>
      <c r="L204" s="215"/>
      <c r="M204" s="215"/>
      <c r="N204" s="215"/>
      <c r="O204" s="215"/>
      <c r="P204" s="215"/>
      <c r="Q204" s="215"/>
      <c r="R204" s="215"/>
      <c r="S204" s="215"/>
      <c r="T204" s="215"/>
      <c r="U204" s="215"/>
      <c r="V204" s="215"/>
      <c r="W204" s="215"/>
      <c r="X204" s="215"/>
      <c r="Y204" s="215"/>
      <c r="Z204" s="215"/>
      <c r="AA204" s="215"/>
      <c r="AB204" s="215"/>
      <c r="AC204" s="215"/>
      <c r="AD204" s="215"/>
      <c r="AE204" s="215"/>
      <c r="AF204" s="215"/>
      <c r="AG204" s="216"/>
      <c r="AJ204" s="214"/>
      <c r="AO204" s="214"/>
      <c r="AQ204" s="214"/>
      <c r="AU204" s="217"/>
      <c r="AV204" s="217"/>
      <c r="AW204" s="217"/>
    </row>
    <row r="205">
      <c r="C205" s="214"/>
      <c r="E205" s="215"/>
      <c r="F205" s="215"/>
      <c r="G205" s="215"/>
      <c r="H205" s="215"/>
      <c r="I205" s="215"/>
      <c r="J205" s="215"/>
      <c r="K205" s="215"/>
      <c r="L205" s="215"/>
      <c r="M205" s="215"/>
      <c r="N205" s="215"/>
      <c r="O205" s="215"/>
      <c r="P205" s="215"/>
      <c r="Q205" s="215"/>
      <c r="R205" s="215"/>
      <c r="S205" s="215"/>
      <c r="T205" s="215"/>
      <c r="U205" s="215"/>
      <c r="V205" s="215"/>
      <c r="W205" s="215"/>
      <c r="X205" s="215"/>
      <c r="Y205" s="215"/>
      <c r="Z205" s="215"/>
      <c r="AA205" s="215"/>
      <c r="AB205" s="215"/>
      <c r="AC205" s="215"/>
      <c r="AD205" s="215"/>
      <c r="AE205" s="215"/>
      <c r="AF205" s="215"/>
      <c r="AG205" s="216"/>
      <c r="AJ205" s="214"/>
      <c r="AO205" s="214"/>
      <c r="AQ205" s="214"/>
      <c r="AU205" s="217"/>
      <c r="AV205" s="217"/>
      <c r="AW205" s="217"/>
    </row>
    <row r="206">
      <c r="C206" s="214"/>
      <c r="E206" s="215"/>
      <c r="F206" s="215"/>
      <c r="G206" s="215"/>
      <c r="H206" s="215"/>
      <c r="I206" s="215"/>
      <c r="J206" s="215"/>
      <c r="K206" s="215"/>
      <c r="L206" s="215"/>
      <c r="M206" s="215"/>
      <c r="N206" s="215"/>
      <c r="O206" s="215"/>
      <c r="P206" s="215"/>
      <c r="Q206" s="215"/>
      <c r="R206" s="215"/>
      <c r="S206" s="215"/>
      <c r="T206" s="215"/>
      <c r="U206" s="215"/>
      <c r="V206" s="215"/>
      <c r="W206" s="215"/>
      <c r="X206" s="215"/>
      <c r="Y206" s="215"/>
      <c r="Z206" s="215"/>
      <c r="AA206" s="215"/>
      <c r="AB206" s="215"/>
      <c r="AC206" s="215"/>
      <c r="AD206" s="215"/>
      <c r="AE206" s="215"/>
      <c r="AF206" s="215"/>
      <c r="AG206" s="216"/>
      <c r="AJ206" s="214"/>
      <c r="AO206" s="214"/>
      <c r="AQ206" s="214"/>
      <c r="AU206" s="217"/>
      <c r="AV206" s="217"/>
      <c r="AW206" s="217"/>
    </row>
    <row r="207">
      <c r="C207" s="214"/>
      <c r="E207" s="215"/>
      <c r="F207" s="215"/>
      <c r="G207" s="215"/>
      <c r="H207" s="215"/>
      <c r="I207" s="215"/>
      <c r="J207" s="215"/>
      <c r="K207" s="215"/>
      <c r="L207" s="215"/>
      <c r="M207" s="215"/>
      <c r="N207" s="215"/>
      <c r="O207" s="215"/>
      <c r="P207" s="215"/>
      <c r="Q207" s="215"/>
      <c r="R207" s="215"/>
      <c r="S207" s="215"/>
      <c r="T207" s="215"/>
      <c r="U207" s="215"/>
      <c r="V207" s="215"/>
      <c r="W207" s="215"/>
      <c r="X207" s="215"/>
      <c r="Y207" s="215"/>
      <c r="Z207" s="215"/>
      <c r="AA207" s="215"/>
      <c r="AB207" s="215"/>
      <c r="AC207" s="215"/>
      <c r="AD207" s="215"/>
      <c r="AE207" s="215"/>
      <c r="AF207" s="215"/>
      <c r="AG207" s="216"/>
      <c r="AJ207" s="214"/>
      <c r="AO207" s="214"/>
      <c r="AQ207" s="214"/>
      <c r="AU207" s="217"/>
      <c r="AV207" s="217"/>
      <c r="AW207" s="217"/>
    </row>
    <row r="208">
      <c r="C208" s="214"/>
      <c r="E208" s="215"/>
      <c r="F208" s="215"/>
      <c r="G208" s="215"/>
      <c r="H208" s="215"/>
      <c r="I208" s="215"/>
      <c r="J208" s="215"/>
      <c r="K208" s="215"/>
      <c r="L208" s="215"/>
      <c r="M208" s="215"/>
      <c r="N208" s="215"/>
      <c r="O208" s="215"/>
      <c r="P208" s="215"/>
      <c r="Q208" s="215"/>
      <c r="R208" s="215"/>
      <c r="S208" s="215"/>
      <c r="T208" s="215"/>
      <c r="U208" s="215"/>
      <c r="V208" s="215"/>
      <c r="W208" s="215"/>
      <c r="X208" s="215"/>
      <c r="Y208" s="215"/>
      <c r="Z208" s="215"/>
      <c r="AA208" s="215"/>
      <c r="AB208" s="215"/>
      <c r="AC208" s="215"/>
      <c r="AD208" s="215"/>
      <c r="AE208" s="215"/>
      <c r="AF208" s="215"/>
      <c r="AG208" s="216"/>
      <c r="AJ208" s="214"/>
      <c r="AO208" s="214"/>
      <c r="AQ208" s="214"/>
      <c r="AU208" s="217"/>
      <c r="AV208" s="217"/>
      <c r="AW208" s="217"/>
    </row>
    <row r="209">
      <c r="C209" s="214"/>
      <c r="E209" s="215"/>
      <c r="F209" s="215"/>
      <c r="G209" s="215"/>
      <c r="H209" s="215"/>
      <c r="I209" s="215"/>
      <c r="J209" s="215"/>
      <c r="K209" s="215"/>
      <c r="L209" s="215"/>
      <c r="M209" s="215"/>
      <c r="N209" s="215"/>
      <c r="O209" s="215"/>
      <c r="P209" s="215"/>
      <c r="Q209" s="215"/>
      <c r="R209" s="215"/>
      <c r="S209" s="215"/>
      <c r="T209" s="215"/>
      <c r="U209" s="215"/>
      <c r="V209" s="215"/>
      <c r="W209" s="215"/>
      <c r="X209" s="215"/>
      <c r="Y209" s="215"/>
      <c r="Z209" s="215"/>
      <c r="AA209" s="215"/>
      <c r="AB209" s="215"/>
      <c r="AC209" s="215"/>
      <c r="AD209" s="215"/>
      <c r="AE209" s="215"/>
      <c r="AF209" s="215"/>
      <c r="AG209" s="216"/>
      <c r="AJ209" s="214"/>
      <c r="AO209" s="214"/>
      <c r="AQ209" s="214"/>
      <c r="AU209" s="217"/>
      <c r="AV209" s="217"/>
      <c r="AW209" s="217"/>
    </row>
    <row r="210">
      <c r="C210" s="214"/>
      <c r="E210" s="215"/>
      <c r="F210" s="215"/>
      <c r="G210" s="215"/>
      <c r="H210" s="215"/>
      <c r="I210" s="215"/>
      <c r="J210" s="215"/>
      <c r="K210" s="215"/>
      <c r="L210" s="215"/>
      <c r="M210" s="215"/>
      <c r="N210" s="215"/>
      <c r="O210" s="215"/>
      <c r="P210" s="215"/>
      <c r="Q210" s="215"/>
      <c r="R210" s="215"/>
      <c r="S210" s="215"/>
      <c r="T210" s="215"/>
      <c r="U210" s="215"/>
      <c r="V210" s="215"/>
      <c r="W210" s="215"/>
      <c r="X210" s="215"/>
      <c r="Y210" s="215"/>
      <c r="Z210" s="215"/>
      <c r="AA210" s="215"/>
      <c r="AB210" s="215"/>
      <c r="AC210" s="215"/>
      <c r="AD210" s="215"/>
      <c r="AE210" s="215"/>
      <c r="AF210" s="215"/>
      <c r="AG210" s="216"/>
      <c r="AJ210" s="214"/>
      <c r="AO210" s="214"/>
      <c r="AQ210" s="214"/>
      <c r="AU210" s="217"/>
      <c r="AV210" s="217"/>
      <c r="AW210" s="217"/>
    </row>
    <row r="211">
      <c r="C211" s="214"/>
      <c r="E211" s="215"/>
      <c r="F211" s="215"/>
      <c r="G211" s="215"/>
      <c r="H211" s="215"/>
      <c r="I211" s="215"/>
      <c r="J211" s="215"/>
      <c r="K211" s="215"/>
      <c r="L211" s="215"/>
      <c r="M211" s="215"/>
      <c r="N211" s="215"/>
      <c r="O211" s="215"/>
      <c r="P211" s="215"/>
      <c r="Q211" s="215"/>
      <c r="R211" s="215"/>
      <c r="S211" s="215"/>
      <c r="T211" s="215"/>
      <c r="U211" s="215"/>
      <c r="V211" s="215"/>
      <c r="W211" s="215"/>
      <c r="X211" s="215"/>
      <c r="Y211" s="215"/>
      <c r="Z211" s="215"/>
      <c r="AA211" s="215"/>
      <c r="AB211" s="215"/>
      <c r="AC211" s="215"/>
      <c r="AD211" s="215"/>
      <c r="AE211" s="215"/>
      <c r="AF211" s="215"/>
      <c r="AG211" s="216"/>
      <c r="AJ211" s="214"/>
      <c r="AO211" s="214"/>
      <c r="AQ211" s="214"/>
      <c r="AU211" s="217"/>
      <c r="AV211" s="217"/>
      <c r="AW211" s="217"/>
    </row>
    <row r="212">
      <c r="C212" s="214"/>
      <c r="E212" s="215"/>
      <c r="F212" s="215"/>
      <c r="G212" s="215"/>
      <c r="H212" s="215"/>
      <c r="I212" s="215"/>
      <c r="J212" s="215"/>
      <c r="K212" s="215"/>
      <c r="L212" s="215"/>
      <c r="M212" s="215"/>
      <c r="N212" s="215"/>
      <c r="O212" s="215"/>
      <c r="P212" s="215"/>
      <c r="Q212" s="215"/>
      <c r="R212" s="215"/>
      <c r="S212" s="215"/>
      <c r="T212" s="215"/>
      <c r="U212" s="215"/>
      <c r="V212" s="215"/>
      <c r="W212" s="215"/>
      <c r="X212" s="215"/>
      <c r="Y212" s="215"/>
      <c r="Z212" s="215"/>
      <c r="AA212" s="215"/>
      <c r="AB212" s="215"/>
      <c r="AC212" s="215"/>
      <c r="AD212" s="215"/>
      <c r="AE212" s="215"/>
      <c r="AF212" s="215"/>
      <c r="AG212" s="216"/>
      <c r="AJ212" s="214"/>
      <c r="AO212" s="214"/>
      <c r="AQ212" s="214"/>
      <c r="AU212" s="217"/>
      <c r="AV212" s="217"/>
      <c r="AW212" s="217"/>
    </row>
    <row r="213">
      <c r="C213" s="214"/>
      <c r="E213" s="215"/>
      <c r="F213" s="215"/>
      <c r="G213" s="215"/>
      <c r="H213" s="215"/>
      <c r="I213" s="215"/>
      <c r="J213" s="215"/>
      <c r="K213" s="215"/>
      <c r="L213" s="215"/>
      <c r="M213" s="215"/>
      <c r="N213" s="215"/>
      <c r="O213" s="215"/>
      <c r="P213" s="215"/>
      <c r="Q213" s="215"/>
      <c r="R213" s="215"/>
      <c r="S213" s="215"/>
      <c r="T213" s="215"/>
      <c r="U213" s="215"/>
      <c r="V213" s="215"/>
      <c r="W213" s="215"/>
      <c r="X213" s="215"/>
      <c r="Y213" s="215"/>
      <c r="Z213" s="215"/>
      <c r="AA213" s="215"/>
      <c r="AB213" s="215"/>
      <c r="AC213" s="215"/>
      <c r="AD213" s="215"/>
      <c r="AE213" s="215"/>
      <c r="AF213" s="215"/>
      <c r="AG213" s="216"/>
      <c r="AJ213" s="214"/>
      <c r="AO213" s="214"/>
      <c r="AQ213" s="214"/>
      <c r="AU213" s="217"/>
      <c r="AV213" s="217"/>
      <c r="AW213" s="217"/>
    </row>
    <row r="214">
      <c r="C214" s="214"/>
      <c r="E214" s="215"/>
      <c r="F214" s="215"/>
      <c r="G214" s="215"/>
      <c r="H214" s="215"/>
      <c r="I214" s="215"/>
      <c r="J214" s="215"/>
      <c r="K214" s="215"/>
      <c r="L214" s="215"/>
      <c r="M214" s="215"/>
      <c r="N214" s="215"/>
      <c r="O214" s="215"/>
      <c r="P214" s="215"/>
      <c r="Q214" s="215"/>
      <c r="R214" s="215"/>
      <c r="S214" s="215"/>
      <c r="T214" s="215"/>
      <c r="U214" s="215"/>
      <c r="V214" s="215"/>
      <c r="W214" s="215"/>
      <c r="X214" s="215"/>
      <c r="Y214" s="215"/>
      <c r="Z214" s="215"/>
      <c r="AA214" s="215"/>
      <c r="AB214" s="215"/>
      <c r="AC214" s="215"/>
      <c r="AD214" s="215"/>
      <c r="AE214" s="215"/>
      <c r="AF214" s="215"/>
      <c r="AG214" s="216"/>
      <c r="AJ214" s="214"/>
      <c r="AO214" s="214"/>
      <c r="AQ214" s="214"/>
      <c r="AU214" s="217"/>
      <c r="AV214" s="217"/>
      <c r="AW214" s="217"/>
    </row>
    <row r="215">
      <c r="C215" s="214"/>
      <c r="E215" s="215"/>
      <c r="F215" s="215"/>
      <c r="G215" s="215"/>
      <c r="H215" s="215"/>
      <c r="I215" s="215"/>
      <c r="J215" s="215"/>
      <c r="K215" s="215"/>
      <c r="L215" s="215"/>
      <c r="M215" s="215"/>
      <c r="N215" s="215"/>
      <c r="O215" s="215"/>
      <c r="P215" s="215"/>
      <c r="Q215" s="215"/>
      <c r="R215" s="215"/>
      <c r="S215" s="215"/>
      <c r="T215" s="215"/>
      <c r="U215" s="215"/>
      <c r="V215" s="215"/>
      <c r="W215" s="215"/>
      <c r="X215" s="215"/>
      <c r="Y215" s="215"/>
      <c r="Z215" s="215"/>
      <c r="AA215" s="215"/>
      <c r="AB215" s="215"/>
      <c r="AC215" s="215"/>
      <c r="AD215" s="215"/>
      <c r="AE215" s="215"/>
      <c r="AF215" s="215"/>
      <c r="AG215" s="216"/>
      <c r="AJ215" s="214"/>
      <c r="AO215" s="214"/>
      <c r="AQ215" s="214"/>
      <c r="AU215" s="217"/>
      <c r="AV215" s="217"/>
      <c r="AW215" s="217"/>
    </row>
    <row r="216">
      <c r="C216" s="214"/>
      <c r="E216" s="215"/>
      <c r="F216" s="215"/>
      <c r="G216" s="215"/>
      <c r="H216" s="215"/>
      <c r="I216" s="215"/>
      <c r="J216" s="215"/>
      <c r="K216" s="215"/>
      <c r="L216" s="215"/>
      <c r="M216" s="215"/>
      <c r="N216" s="215"/>
      <c r="O216" s="215"/>
      <c r="P216" s="215"/>
      <c r="Q216" s="215"/>
      <c r="R216" s="215"/>
      <c r="S216" s="215"/>
      <c r="T216" s="215"/>
      <c r="U216" s="215"/>
      <c r="V216" s="215"/>
      <c r="W216" s="215"/>
      <c r="X216" s="215"/>
      <c r="Y216" s="215"/>
      <c r="Z216" s="215"/>
      <c r="AA216" s="215"/>
      <c r="AB216" s="215"/>
      <c r="AC216" s="215"/>
      <c r="AD216" s="215"/>
      <c r="AE216" s="215"/>
      <c r="AF216" s="215"/>
      <c r="AG216" s="216"/>
      <c r="AJ216" s="214"/>
      <c r="AO216" s="214"/>
      <c r="AQ216" s="214"/>
      <c r="AU216" s="217"/>
      <c r="AV216" s="217"/>
      <c r="AW216" s="217"/>
    </row>
    <row r="217">
      <c r="C217" s="214"/>
      <c r="E217" s="215"/>
      <c r="F217" s="215"/>
      <c r="G217" s="215"/>
      <c r="H217" s="215"/>
      <c r="I217" s="215"/>
      <c r="J217" s="215"/>
      <c r="K217" s="215"/>
      <c r="L217" s="215"/>
      <c r="M217" s="215"/>
      <c r="N217" s="215"/>
      <c r="O217" s="215"/>
      <c r="P217" s="215"/>
      <c r="Q217" s="215"/>
      <c r="R217" s="215"/>
      <c r="S217" s="215"/>
      <c r="T217" s="215"/>
      <c r="U217" s="215"/>
      <c r="V217" s="215"/>
      <c r="W217" s="215"/>
      <c r="X217" s="215"/>
      <c r="Y217" s="215"/>
      <c r="Z217" s="215"/>
      <c r="AA217" s="215"/>
      <c r="AB217" s="215"/>
      <c r="AC217" s="215"/>
      <c r="AD217" s="215"/>
      <c r="AE217" s="215"/>
      <c r="AF217" s="215"/>
      <c r="AG217" s="216"/>
      <c r="AJ217" s="214"/>
      <c r="AO217" s="214"/>
      <c r="AQ217" s="214"/>
      <c r="AU217" s="217"/>
      <c r="AV217" s="217"/>
      <c r="AW217" s="217"/>
    </row>
    <row r="218">
      <c r="C218" s="214"/>
      <c r="E218" s="215"/>
      <c r="F218" s="215"/>
      <c r="G218" s="215"/>
      <c r="H218" s="215"/>
      <c r="I218" s="215"/>
      <c r="J218" s="215"/>
      <c r="K218" s="215"/>
      <c r="L218" s="215"/>
      <c r="M218" s="215"/>
      <c r="N218" s="215"/>
      <c r="O218" s="215"/>
      <c r="P218" s="215"/>
      <c r="Q218" s="215"/>
      <c r="R218" s="215"/>
      <c r="S218" s="215"/>
      <c r="T218" s="215"/>
      <c r="U218" s="215"/>
      <c r="V218" s="215"/>
      <c r="W218" s="215"/>
      <c r="X218" s="215"/>
      <c r="Y218" s="215"/>
      <c r="Z218" s="215"/>
      <c r="AA218" s="215"/>
      <c r="AB218" s="215"/>
      <c r="AC218" s="215"/>
      <c r="AD218" s="215"/>
      <c r="AE218" s="215"/>
      <c r="AF218" s="215"/>
      <c r="AG218" s="216"/>
      <c r="AJ218" s="214"/>
      <c r="AO218" s="214"/>
      <c r="AQ218" s="214"/>
      <c r="AU218" s="217"/>
      <c r="AV218" s="217"/>
      <c r="AW218" s="217"/>
    </row>
    <row r="219">
      <c r="C219" s="214"/>
      <c r="E219" s="215"/>
      <c r="F219" s="215"/>
      <c r="G219" s="215"/>
      <c r="H219" s="215"/>
      <c r="I219" s="215"/>
      <c r="J219" s="215"/>
      <c r="K219" s="215"/>
      <c r="L219" s="215"/>
      <c r="M219" s="215"/>
      <c r="N219" s="215"/>
      <c r="O219" s="215"/>
      <c r="P219" s="215"/>
      <c r="Q219" s="215"/>
      <c r="R219" s="215"/>
      <c r="S219" s="215"/>
      <c r="T219" s="215"/>
      <c r="U219" s="215"/>
      <c r="V219" s="215"/>
      <c r="W219" s="215"/>
      <c r="X219" s="215"/>
      <c r="Y219" s="215"/>
      <c r="Z219" s="215"/>
      <c r="AA219" s="215"/>
      <c r="AB219" s="215"/>
      <c r="AC219" s="215"/>
      <c r="AD219" s="215"/>
      <c r="AE219" s="215"/>
      <c r="AF219" s="215"/>
      <c r="AG219" s="216"/>
      <c r="AJ219" s="214"/>
      <c r="AO219" s="214"/>
      <c r="AQ219" s="214"/>
      <c r="AU219" s="217"/>
      <c r="AV219" s="217"/>
      <c r="AW219" s="217"/>
    </row>
    <row r="220">
      <c r="C220" s="214"/>
      <c r="E220" s="215"/>
      <c r="F220" s="215"/>
      <c r="G220" s="215"/>
      <c r="H220" s="215"/>
      <c r="I220" s="215"/>
      <c r="J220" s="215"/>
      <c r="K220" s="215"/>
      <c r="L220" s="215"/>
      <c r="M220" s="215"/>
      <c r="N220" s="215"/>
      <c r="O220" s="215"/>
      <c r="P220" s="215"/>
      <c r="Q220" s="215"/>
      <c r="R220" s="215"/>
      <c r="S220" s="215"/>
      <c r="T220" s="215"/>
      <c r="U220" s="215"/>
      <c r="V220" s="215"/>
      <c r="W220" s="215"/>
      <c r="X220" s="215"/>
      <c r="Y220" s="215"/>
      <c r="Z220" s="215"/>
      <c r="AA220" s="215"/>
      <c r="AB220" s="215"/>
      <c r="AC220" s="215"/>
      <c r="AD220" s="215"/>
      <c r="AE220" s="215"/>
      <c r="AF220" s="215"/>
      <c r="AG220" s="216"/>
      <c r="AJ220" s="214"/>
      <c r="AO220" s="214"/>
      <c r="AQ220" s="214"/>
      <c r="AU220" s="217"/>
      <c r="AV220" s="217"/>
      <c r="AW220" s="217"/>
    </row>
    <row r="221">
      <c r="C221" s="214"/>
      <c r="E221" s="215"/>
      <c r="F221" s="215"/>
      <c r="G221" s="215"/>
      <c r="H221" s="215"/>
      <c r="I221" s="215"/>
      <c r="J221" s="215"/>
      <c r="K221" s="215"/>
      <c r="L221" s="215"/>
      <c r="M221" s="215"/>
      <c r="N221" s="215"/>
      <c r="O221" s="215"/>
      <c r="P221" s="215"/>
      <c r="Q221" s="215"/>
      <c r="R221" s="215"/>
      <c r="S221" s="215"/>
      <c r="T221" s="215"/>
      <c r="U221" s="215"/>
      <c r="V221" s="215"/>
      <c r="W221" s="215"/>
      <c r="X221" s="215"/>
      <c r="Y221" s="215"/>
      <c r="Z221" s="215"/>
      <c r="AA221" s="215"/>
      <c r="AB221" s="215"/>
      <c r="AC221" s="215"/>
      <c r="AD221" s="215"/>
      <c r="AE221" s="215"/>
      <c r="AF221" s="215"/>
      <c r="AG221" s="216"/>
      <c r="AJ221" s="214"/>
      <c r="AO221" s="214"/>
      <c r="AQ221" s="214"/>
      <c r="AU221" s="217"/>
      <c r="AV221" s="217"/>
      <c r="AW221" s="217"/>
    </row>
    <row r="222">
      <c r="C222" s="214"/>
      <c r="E222" s="215"/>
      <c r="F222" s="215"/>
      <c r="G222" s="215"/>
      <c r="H222" s="215"/>
      <c r="I222" s="215"/>
      <c r="J222" s="215"/>
      <c r="K222" s="215"/>
      <c r="L222" s="215"/>
      <c r="M222" s="215"/>
      <c r="N222" s="215"/>
      <c r="O222" s="215"/>
      <c r="P222" s="215"/>
      <c r="Q222" s="215"/>
      <c r="R222" s="215"/>
      <c r="S222" s="215"/>
      <c r="T222" s="215"/>
      <c r="U222" s="215"/>
      <c r="V222" s="215"/>
      <c r="W222" s="215"/>
      <c r="X222" s="215"/>
      <c r="Y222" s="215"/>
      <c r="Z222" s="215"/>
      <c r="AA222" s="215"/>
      <c r="AB222" s="215"/>
      <c r="AC222" s="215"/>
      <c r="AD222" s="215"/>
      <c r="AE222" s="215"/>
      <c r="AF222" s="215"/>
      <c r="AG222" s="216"/>
      <c r="AJ222" s="214"/>
      <c r="AO222" s="214"/>
      <c r="AQ222" s="214"/>
      <c r="AU222" s="217"/>
      <c r="AV222" s="217"/>
      <c r="AW222" s="217"/>
    </row>
    <row r="223">
      <c r="C223" s="214"/>
      <c r="E223" s="215"/>
      <c r="F223" s="215"/>
      <c r="G223" s="215"/>
      <c r="H223" s="215"/>
      <c r="I223" s="215"/>
      <c r="J223" s="215"/>
      <c r="K223" s="215"/>
      <c r="L223" s="215"/>
      <c r="M223" s="215"/>
      <c r="N223" s="215"/>
      <c r="O223" s="215"/>
      <c r="P223" s="215"/>
      <c r="Q223" s="215"/>
      <c r="R223" s="215"/>
      <c r="S223" s="215"/>
      <c r="T223" s="215"/>
      <c r="U223" s="215"/>
      <c r="V223" s="215"/>
      <c r="W223" s="215"/>
      <c r="X223" s="215"/>
      <c r="Y223" s="215"/>
      <c r="Z223" s="215"/>
      <c r="AA223" s="215"/>
      <c r="AB223" s="215"/>
      <c r="AC223" s="215"/>
      <c r="AD223" s="215"/>
      <c r="AE223" s="215"/>
      <c r="AF223" s="215"/>
      <c r="AG223" s="216"/>
      <c r="AJ223" s="214"/>
      <c r="AO223" s="214"/>
      <c r="AQ223" s="214"/>
      <c r="AU223" s="217"/>
      <c r="AV223" s="217"/>
      <c r="AW223" s="217"/>
    </row>
    <row r="224">
      <c r="C224" s="214"/>
      <c r="E224" s="215"/>
      <c r="F224" s="215"/>
      <c r="G224" s="215"/>
      <c r="H224" s="215"/>
      <c r="I224" s="215"/>
      <c r="J224" s="215"/>
      <c r="K224" s="215"/>
      <c r="L224" s="215"/>
      <c r="M224" s="215"/>
      <c r="N224" s="215"/>
      <c r="O224" s="215"/>
      <c r="P224" s="215"/>
      <c r="Q224" s="215"/>
      <c r="R224" s="215"/>
      <c r="S224" s="215"/>
      <c r="T224" s="215"/>
      <c r="U224" s="215"/>
      <c r="V224" s="215"/>
      <c r="W224" s="215"/>
      <c r="X224" s="215"/>
      <c r="Y224" s="215"/>
      <c r="Z224" s="215"/>
      <c r="AA224" s="215"/>
      <c r="AB224" s="215"/>
      <c r="AC224" s="215"/>
      <c r="AD224" s="215"/>
      <c r="AE224" s="215"/>
      <c r="AF224" s="215"/>
      <c r="AG224" s="216"/>
      <c r="AJ224" s="214"/>
      <c r="AO224" s="214"/>
      <c r="AQ224" s="214"/>
      <c r="AU224" s="217"/>
      <c r="AV224" s="217"/>
      <c r="AW224" s="217"/>
    </row>
    <row r="225">
      <c r="C225" s="214"/>
      <c r="E225" s="215"/>
      <c r="F225" s="215"/>
      <c r="G225" s="215"/>
      <c r="H225" s="215"/>
      <c r="I225" s="215"/>
      <c r="J225" s="215"/>
      <c r="K225" s="215"/>
      <c r="L225" s="215"/>
      <c r="M225" s="215"/>
      <c r="N225" s="215"/>
      <c r="O225" s="215"/>
      <c r="P225" s="215"/>
      <c r="Q225" s="215"/>
      <c r="R225" s="215"/>
      <c r="S225" s="215"/>
      <c r="T225" s="215"/>
      <c r="U225" s="215"/>
      <c r="V225" s="215"/>
      <c r="W225" s="215"/>
      <c r="X225" s="215"/>
      <c r="Y225" s="215"/>
      <c r="Z225" s="215"/>
      <c r="AA225" s="215"/>
      <c r="AB225" s="215"/>
      <c r="AC225" s="215"/>
      <c r="AD225" s="215"/>
      <c r="AE225" s="215"/>
      <c r="AF225" s="215"/>
      <c r="AG225" s="216"/>
      <c r="AJ225" s="214"/>
      <c r="AO225" s="214"/>
      <c r="AQ225" s="214"/>
      <c r="AU225" s="217"/>
      <c r="AV225" s="217"/>
      <c r="AW225" s="217"/>
    </row>
    <row r="226">
      <c r="C226" s="214"/>
      <c r="E226" s="215"/>
      <c r="F226" s="215"/>
      <c r="G226" s="215"/>
      <c r="H226" s="215"/>
      <c r="I226" s="215"/>
      <c r="J226" s="215"/>
      <c r="K226" s="215"/>
      <c r="L226" s="215"/>
      <c r="M226" s="215"/>
      <c r="N226" s="215"/>
      <c r="O226" s="215"/>
      <c r="P226" s="215"/>
      <c r="Q226" s="215"/>
      <c r="R226" s="215"/>
      <c r="S226" s="215"/>
      <c r="T226" s="215"/>
      <c r="U226" s="215"/>
      <c r="V226" s="215"/>
      <c r="W226" s="215"/>
      <c r="X226" s="215"/>
      <c r="Y226" s="215"/>
      <c r="Z226" s="215"/>
      <c r="AA226" s="215"/>
      <c r="AB226" s="215"/>
      <c r="AC226" s="215"/>
      <c r="AD226" s="215"/>
      <c r="AE226" s="215"/>
      <c r="AF226" s="215"/>
      <c r="AG226" s="216"/>
      <c r="AJ226" s="214"/>
      <c r="AO226" s="214"/>
      <c r="AQ226" s="214"/>
      <c r="AU226" s="217"/>
      <c r="AV226" s="217"/>
      <c r="AW226" s="217"/>
    </row>
    <row r="227">
      <c r="C227" s="214"/>
      <c r="E227" s="215"/>
      <c r="F227" s="215"/>
      <c r="G227" s="215"/>
      <c r="H227" s="215"/>
      <c r="I227" s="215"/>
      <c r="J227" s="215"/>
      <c r="K227" s="215"/>
      <c r="L227" s="215"/>
      <c r="M227" s="215"/>
      <c r="N227" s="215"/>
      <c r="O227" s="215"/>
      <c r="P227" s="215"/>
      <c r="Q227" s="215"/>
      <c r="R227" s="215"/>
      <c r="S227" s="215"/>
      <c r="T227" s="215"/>
      <c r="U227" s="215"/>
      <c r="V227" s="215"/>
      <c r="W227" s="215"/>
      <c r="X227" s="215"/>
      <c r="Y227" s="215"/>
      <c r="Z227" s="215"/>
      <c r="AA227" s="215"/>
      <c r="AB227" s="215"/>
      <c r="AC227" s="215"/>
      <c r="AD227" s="215"/>
      <c r="AE227" s="215"/>
      <c r="AF227" s="215"/>
      <c r="AG227" s="216"/>
      <c r="AJ227" s="214"/>
      <c r="AO227" s="214"/>
      <c r="AQ227" s="214"/>
      <c r="AU227" s="217"/>
      <c r="AV227" s="217"/>
      <c r="AW227" s="217"/>
    </row>
    <row r="228">
      <c r="C228" s="214"/>
      <c r="E228" s="215"/>
      <c r="F228" s="215"/>
      <c r="G228" s="215"/>
      <c r="H228" s="215"/>
      <c r="I228" s="215"/>
      <c r="J228" s="215"/>
      <c r="K228" s="215"/>
      <c r="L228" s="215"/>
      <c r="M228" s="215"/>
      <c r="N228" s="215"/>
      <c r="O228" s="215"/>
      <c r="P228" s="215"/>
      <c r="Q228" s="215"/>
      <c r="R228" s="215"/>
      <c r="S228" s="215"/>
      <c r="T228" s="215"/>
      <c r="U228" s="215"/>
      <c r="V228" s="215"/>
      <c r="W228" s="215"/>
      <c r="X228" s="215"/>
      <c r="Y228" s="215"/>
      <c r="Z228" s="215"/>
      <c r="AA228" s="215"/>
      <c r="AB228" s="215"/>
      <c r="AC228" s="215"/>
      <c r="AD228" s="215"/>
      <c r="AE228" s="215"/>
      <c r="AF228" s="215"/>
      <c r="AG228" s="216"/>
      <c r="AJ228" s="214"/>
      <c r="AO228" s="214"/>
      <c r="AQ228" s="214"/>
      <c r="AU228" s="217"/>
      <c r="AV228" s="217"/>
      <c r="AW228" s="217"/>
    </row>
    <row r="229">
      <c r="C229" s="214"/>
      <c r="E229" s="215"/>
      <c r="F229" s="215"/>
      <c r="G229" s="215"/>
      <c r="H229" s="215"/>
      <c r="I229" s="215"/>
      <c r="J229" s="215"/>
      <c r="K229" s="215"/>
      <c r="L229" s="215"/>
      <c r="M229" s="215"/>
      <c r="N229" s="215"/>
      <c r="O229" s="215"/>
      <c r="P229" s="215"/>
      <c r="Q229" s="215"/>
      <c r="R229" s="215"/>
      <c r="S229" s="215"/>
      <c r="T229" s="215"/>
      <c r="U229" s="215"/>
      <c r="V229" s="215"/>
      <c r="W229" s="215"/>
      <c r="X229" s="215"/>
      <c r="Y229" s="215"/>
      <c r="Z229" s="215"/>
      <c r="AA229" s="215"/>
      <c r="AB229" s="215"/>
      <c r="AC229" s="215"/>
      <c r="AD229" s="215"/>
      <c r="AE229" s="215"/>
      <c r="AF229" s="215"/>
      <c r="AG229" s="216"/>
      <c r="AJ229" s="214"/>
      <c r="AO229" s="214"/>
      <c r="AQ229" s="214"/>
      <c r="AU229" s="217"/>
      <c r="AV229" s="217"/>
      <c r="AW229" s="217"/>
    </row>
    <row r="230">
      <c r="C230" s="214"/>
      <c r="E230" s="215"/>
      <c r="F230" s="215"/>
      <c r="G230" s="215"/>
      <c r="H230" s="215"/>
      <c r="I230" s="215"/>
      <c r="J230" s="215"/>
      <c r="K230" s="215"/>
      <c r="L230" s="215"/>
      <c r="M230" s="215"/>
      <c r="N230" s="215"/>
      <c r="O230" s="215"/>
      <c r="P230" s="215"/>
      <c r="Q230" s="215"/>
      <c r="R230" s="215"/>
      <c r="S230" s="215"/>
      <c r="T230" s="215"/>
      <c r="U230" s="215"/>
      <c r="V230" s="215"/>
      <c r="W230" s="215"/>
      <c r="X230" s="215"/>
      <c r="Y230" s="215"/>
      <c r="Z230" s="215"/>
      <c r="AA230" s="215"/>
      <c r="AB230" s="215"/>
      <c r="AC230" s="215"/>
      <c r="AD230" s="215"/>
      <c r="AE230" s="215"/>
      <c r="AF230" s="215"/>
      <c r="AG230" s="216"/>
      <c r="AJ230" s="214"/>
      <c r="AO230" s="214"/>
      <c r="AQ230" s="214"/>
      <c r="AU230" s="217"/>
      <c r="AV230" s="217"/>
      <c r="AW230" s="217"/>
    </row>
    <row r="231">
      <c r="C231" s="214"/>
      <c r="E231" s="215"/>
      <c r="F231" s="215"/>
      <c r="G231" s="215"/>
      <c r="H231" s="215"/>
      <c r="I231" s="215"/>
      <c r="J231" s="215"/>
      <c r="K231" s="215"/>
      <c r="L231" s="215"/>
      <c r="M231" s="215"/>
      <c r="N231" s="215"/>
      <c r="O231" s="215"/>
      <c r="P231" s="215"/>
      <c r="Q231" s="215"/>
      <c r="R231" s="215"/>
      <c r="S231" s="215"/>
      <c r="T231" s="215"/>
      <c r="U231" s="215"/>
      <c r="V231" s="215"/>
      <c r="W231" s="215"/>
      <c r="X231" s="215"/>
      <c r="Y231" s="215"/>
      <c r="Z231" s="215"/>
      <c r="AA231" s="215"/>
      <c r="AB231" s="215"/>
      <c r="AC231" s="215"/>
      <c r="AD231" s="215"/>
      <c r="AE231" s="215"/>
      <c r="AF231" s="215"/>
      <c r="AG231" s="216"/>
      <c r="AJ231" s="214"/>
      <c r="AO231" s="214"/>
      <c r="AQ231" s="214"/>
      <c r="AU231" s="217"/>
      <c r="AV231" s="217"/>
      <c r="AW231" s="217"/>
    </row>
    <row r="232">
      <c r="C232" s="214"/>
      <c r="E232" s="215"/>
      <c r="F232" s="215"/>
      <c r="G232" s="215"/>
      <c r="H232" s="215"/>
      <c r="I232" s="215"/>
      <c r="J232" s="215"/>
      <c r="K232" s="215"/>
      <c r="L232" s="215"/>
      <c r="M232" s="215"/>
      <c r="N232" s="215"/>
      <c r="O232" s="215"/>
      <c r="P232" s="215"/>
      <c r="Q232" s="215"/>
      <c r="R232" s="215"/>
      <c r="S232" s="215"/>
      <c r="T232" s="215"/>
      <c r="U232" s="215"/>
      <c r="V232" s="215"/>
      <c r="W232" s="215"/>
      <c r="X232" s="215"/>
      <c r="Y232" s="215"/>
      <c r="Z232" s="215"/>
      <c r="AA232" s="215"/>
      <c r="AB232" s="215"/>
      <c r="AC232" s="215"/>
      <c r="AD232" s="215"/>
      <c r="AE232" s="215"/>
      <c r="AF232" s="215"/>
      <c r="AG232" s="216"/>
      <c r="AJ232" s="214"/>
      <c r="AO232" s="214"/>
      <c r="AQ232" s="214"/>
      <c r="AU232" s="217"/>
      <c r="AV232" s="217"/>
      <c r="AW232" s="217"/>
    </row>
    <row r="233">
      <c r="C233" s="214"/>
      <c r="E233" s="215"/>
      <c r="F233" s="215"/>
      <c r="G233" s="215"/>
      <c r="H233" s="215"/>
      <c r="I233" s="215"/>
      <c r="J233" s="215"/>
      <c r="K233" s="215"/>
      <c r="L233" s="215"/>
      <c r="M233" s="215"/>
      <c r="N233" s="215"/>
      <c r="O233" s="215"/>
      <c r="P233" s="215"/>
      <c r="Q233" s="215"/>
      <c r="R233" s="215"/>
      <c r="S233" s="215"/>
      <c r="T233" s="215"/>
      <c r="U233" s="215"/>
      <c r="V233" s="215"/>
      <c r="W233" s="215"/>
      <c r="X233" s="215"/>
      <c r="Y233" s="215"/>
      <c r="Z233" s="215"/>
      <c r="AA233" s="215"/>
      <c r="AB233" s="215"/>
      <c r="AC233" s="215"/>
      <c r="AD233" s="215"/>
      <c r="AE233" s="215"/>
      <c r="AF233" s="215"/>
      <c r="AG233" s="216"/>
      <c r="AJ233" s="214"/>
      <c r="AO233" s="214"/>
      <c r="AQ233" s="214"/>
      <c r="AU233" s="217"/>
      <c r="AV233" s="217"/>
      <c r="AW233" s="217"/>
    </row>
    <row r="234">
      <c r="C234" s="214"/>
      <c r="E234" s="215"/>
      <c r="F234" s="215"/>
      <c r="G234" s="215"/>
      <c r="H234" s="215"/>
      <c r="I234" s="215"/>
      <c r="J234" s="215"/>
      <c r="K234" s="215"/>
      <c r="L234" s="215"/>
      <c r="M234" s="215"/>
      <c r="N234" s="215"/>
      <c r="O234" s="215"/>
      <c r="P234" s="215"/>
      <c r="Q234" s="215"/>
      <c r="R234" s="215"/>
      <c r="S234" s="215"/>
      <c r="T234" s="215"/>
      <c r="U234" s="215"/>
      <c r="V234" s="215"/>
      <c r="W234" s="215"/>
      <c r="X234" s="215"/>
      <c r="Y234" s="215"/>
      <c r="Z234" s="215"/>
      <c r="AA234" s="215"/>
      <c r="AB234" s="215"/>
      <c r="AC234" s="215"/>
      <c r="AD234" s="215"/>
      <c r="AE234" s="215"/>
      <c r="AF234" s="215"/>
      <c r="AG234" s="216"/>
      <c r="AJ234" s="214"/>
      <c r="AO234" s="214"/>
      <c r="AQ234" s="214"/>
      <c r="AU234" s="217"/>
      <c r="AV234" s="217"/>
      <c r="AW234" s="217"/>
    </row>
    <row r="235">
      <c r="C235" s="214"/>
      <c r="E235" s="215"/>
      <c r="F235" s="215"/>
      <c r="G235" s="215"/>
      <c r="H235" s="215"/>
      <c r="I235" s="215"/>
      <c r="J235" s="215"/>
      <c r="K235" s="215"/>
      <c r="L235" s="215"/>
      <c r="M235" s="215"/>
      <c r="N235" s="215"/>
      <c r="O235" s="215"/>
      <c r="P235" s="215"/>
      <c r="Q235" s="215"/>
      <c r="R235" s="215"/>
      <c r="S235" s="215"/>
      <c r="T235" s="215"/>
      <c r="U235" s="215"/>
      <c r="V235" s="215"/>
      <c r="W235" s="215"/>
      <c r="X235" s="215"/>
      <c r="Y235" s="215"/>
      <c r="Z235" s="215"/>
      <c r="AA235" s="215"/>
      <c r="AB235" s="215"/>
      <c r="AC235" s="215"/>
      <c r="AD235" s="215"/>
      <c r="AE235" s="215"/>
      <c r="AF235" s="215"/>
      <c r="AG235" s="216"/>
      <c r="AJ235" s="214"/>
      <c r="AO235" s="214"/>
      <c r="AQ235" s="214"/>
      <c r="AU235" s="217"/>
      <c r="AV235" s="217"/>
      <c r="AW235" s="217"/>
    </row>
    <row r="236">
      <c r="C236" s="214"/>
      <c r="E236" s="215"/>
      <c r="F236" s="215"/>
      <c r="G236" s="215"/>
      <c r="H236" s="215"/>
      <c r="I236" s="215"/>
      <c r="J236" s="215"/>
      <c r="K236" s="215"/>
      <c r="L236" s="215"/>
      <c r="M236" s="215"/>
      <c r="N236" s="215"/>
      <c r="O236" s="215"/>
      <c r="P236" s="215"/>
      <c r="Q236" s="215"/>
      <c r="R236" s="215"/>
      <c r="S236" s="215"/>
      <c r="T236" s="215"/>
      <c r="U236" s="215"/>
      <c r="V236" s="215"/>
      <c r="W236" s="215"/>
      <c r="X236" s="215"/>
      <c r="Y236" s="215"/>
      <c r="Z236" s="215"/>
      <c r="AA236" s="215"/>
      <c r="AB236" s="215"/>
      <c r="AC236" s="215"/>
      <c r="AD236" s="215"/>
      <c r="AE236" s="215"/>
      <c r="AF236" s="215"/>
      <c r="AG236" s="216"/>
      <c r="AJ236" s="214"/>
      <c r="AO236" s="214"/>
      <c r="AQ236" s="214"/>
      <c r="AU236" s="217"/>
      <c r="AV236" s="217"/>
      <c r="AW236" s="217"/>
    </row>
    <row r="237">
      <c r="C237" s="214"/>
      <c r="E237" s="215"/>
      <c r="F237" s="215"/>
      <c r="G237" s="215"/>
      <c r="H237" s="215"/>
      <c r="I237" s="215"/>
      <c r="J237" s="215"/>
      <c r="K237" s="215"/>
      <c r="L237" s="215"/>
      <c r="M237" s="215"/>
      <c r="N237" s="215"/>
      <c r="O237" s="215"/>
      <c r="P237" s="215"/>
      <c r="Q237" s="215"/>
      <c r="R237" s="215"/>
      <c r="S237" s="215"/>
      <c r="T237" s="215"/>
      <c r="U237" s="215"/>
      <c r="V237" s="215"/>
      <c r="W237" s="215"/>
      <c r="X237" s="215"/>
      <c r="Y237" s="215"/>
      <c r="Z237" s="215"/>
      <c r="AA237" s="215"/>
      <c r="AB237" s="215"/>
      <c r="AC237" s="215"/>
      <c r="AD237" s="215"/>
      <c r="AE237" s="215"/>
      <c r="AF237" s="215"/>
      <c r="AG237" s="216"/>
      <c r="AJ237" s="214"/>
      <c r="AO237" s="214"/>
      <c r="AQ237" s="214"/>
      <c r="AU237" s="217"/>
      <c r="AV237" s="217"/>
      <c r="AW237" s="217"/>
    </row>
    <row r="238">
      <c r="C238" s="214"/>
      <c r="E238" s="215"/>
      <c r="F238" s="215"/>
      <c r="G238" s="215"/>
      <c r="H238" s="215"/>
      <c r="I238" s="215"/>
      <c r="J238" s="215"/>
      <c r="K238" s="215"/>
      <c r="L238" s="215"/>
      <c r="M238" s="215"/>
      <c r="N238" s="215"/>
      <c r="O238" s="215"/>
      <c r="P238" s="215"/>
      <c r="Q238" s="215"/>
      <c r="R238" s="215"/>
      <c r="S238" s="215"/>
      <c r="T238" s="215"/>
      <c r="U238" s="215"/>
      <c r="V238" s="215"/>
      <c r="W238" s="215"/>
      <c r="X238" s="215"/>
      <c r="Y238" s="215"/>
      <c r="Z238" s="215"/>
      <c r="AA238" s="215"/>
      <c r="AB238" s="215"/>
      <c r="AC238" s="215"/>
      <c r="AD238" s="215"/>
      <c r="AE238" s="215"/>
      <c r="AF238" s="215"/>
      <c r="AG238" s="216"/>
      <c r="AJ238" s="214"/>
      <c r="AO238" s="214"/>
      <c r="AQ238" s="214"/>
      <c r="AU238" s="217"/>
      <c r="AV238" s="217"/>
      <c r="AW238" s="217"/>
    </row>
    <row r="239">
      <c r="C239" s="214"/>
      <c r="E239" s="215"/>
      <c r="F239" s="215"/>
      <c r="G239" s="215"/>
      <c r="H239" s="215"/>
      <c r="I239" s="215"/>
      <c r="J239" s="215"/>
      <c r="K239" s="215"/>
      <c r="L239" s="215"/>
      <c r="M239" s="215"/>
      <c r="N239" s="215"/>
      <c r="O239" s="215"/>
      <c r="P239" s="215"/>
      <c r="Q239" s="215"/>
      <c r="R239" s="215"/>
      <c r="S239" s="215"/>
      <c r="T239" s="215"/>
      <c r="U239" s="215"/>
      <c r="V239" s="215"/>
      <c r="W239" s="215"/>
      <c r="X239" s="215"/>
      <c r="Y239" s="215"/>
      <c r="Z239" s="215"/>
      <c r="AA239" s="215"/>
      <c r="AB239" s="215"/>
      <c r="AC239" s="215"/>
      <c r="AD239" s="215"/>
      <c r="AE239" s="215"/>
      <c r="AF239" s="215"/>
      <c r="AG239" s="216"/>
      <c r="AJ239" s="214"/>
      <c r="AO239" s="214"/>
      <c r="AQ239" s="214"/>
      <c r="AU239" s="217"/>
      <c r="AV239" s="217"/>
      <c r="AW239" s="217"/>
    </row>
    <row r="240">
      <c r="C240" s="214"/>
      <c r="E240" s="215"/>
      <c r="F240" s="215"/>
      <c r="G240" s="215"/>
      <c r="H240" s="215"/>
      <c r="I240" s="215"/>
      <c r="J240" s="215"/>
      <c r="K240" s="215"/>
      <c r="L240" s="215"/>
      <c r="M240" s="215"/>
      <c r="N240" s="215"/>
      <c r="O240" s="215"/>
      <c r="P240" s="215"/>
      <c r="Q240" s="215"/>
      <c r="R240" s="215"/>
      <c r="S240" s="215"/>
      <c r="T240" s="215"/>
      <c r="U240" s="215"/>
      <c r="V240" s="215"/>
      <c r="W240" s="215"/>
      <c r="X240" s="215"/>
      <c r="Y240" s="215"/>
      <c r="Z240" s="215"/>
      <c r="AA240" s="215"/>
      <c r="AB240" s="215"/>
      <c r="AC240" s="215"/>
      <c r="AD240" s="215"/>
      <c r="AE240" s="215"/>
      <c r="AF240" s="215"/>
      <c r="AG240" s="216"/>
      <c r="AJ240" s="214"/>
      <c r="AO240" s="214"/>
      <c r="AQ240" s="214"/>
      <c r="AU240" s="217"/>
      <c r="AV240" s="217"/>
      <c r="AW240" s="217"/>
    </row>
    <row r="241">
      <c r="C241" s="214"/>
      <c r="E241" s="215"/>
      <c r="F241" s="215"/>
      <c r="G241" s="215"/>
      <c r="H241" s="215"/>
      <c r="I241" s="215"/>
      <c r="J241" s="215"/>
      <c r="K241" s="215"/>
      <c r="L241" s="215"/>
      <c r="M241" s="215"/>
      <c r="N241" s="215"/>
      <c r="O241" s="215"/>
      <c r="P241" s="215"/>
      <c r="Q241" s="215"/>
      <c r="R241" s="215"/>
      <c r="S241" s="215"/>
      <c r="T241" s="215"/>
      <c r="U241" s="215"/>
      <c r="V241" s="215"/>
      <c r="W241" s="215"/>
      <c r="X241" s="215"/>
      <c r="Y241" s="215"/>
      <c r="Z241" s="215"/>
      <c r="AA241" s="215"/>
      <c r="AB241" s="215"/>
      <c r="AC241" s="215"/>
      <c r="AD241" s="215"/>
      <c r="AE241" s="215"/>
      <c r="AF241" s="215"/>
      <c r="AG241" s="216"/>
      <c r="AJ241" s="214"/>
      <c r="AO241" s="214"/>
      <c r="AQ241" s="214"/>
      <c r="AU241" s="217"/>
      <c r="AV241" s="217"/>
      <c r="AW241" s="217"/>
    </row>
    <row r="242">
      <c r="C242" s="214"/>
      <c r="E242" s="215"/>
      <c r="F242" s="215"/>
      <c r="G242" s="215"/>
      <c r="H242" s="215"/>
      <c r="I242" s="215"/>
      <c r="J242" s="215"/>
      <c r="K242" s="215"/>
      <c r="L242" s="215"/>
      <c r="M242" s="215"/>
      <c r="N242" s="215"/>
      <c r="O242" s="215"/>
      <c r="P242" s="215"/>
      <c r="Q242" s="215"/>
      <c r="R242" s="215"/>
      <c r="S242" s="215"/>
      <c r="T242" s="215"/>
      <c r="U242" s="215"/>
      <c r="V242" s="215"/>
      <c r="W242" s="215"/>
      <c r="X242" s="215"/>
      <c r="Y242" s="215"/>
      <c r="Z242" s="215"/>
      <c r="AA242" s="215"/>
      <c r="AB242" s="215"/>
      <c r="AC242" s="215"/>
      <c r="AD242" s="215"/>
      <c r="AE242" s="215"/>
      <c r="AF242" s="215"/>
      <c r="AG242" s="216"/>
      <c r="AJ242" s="214"/>
      <c r="AO242" s="214"/>
      <c r="AQ242" s="214"/>
      <c r="AU242" s="217"/>
      <c r="AV242" s="217"/>
      <c r="AW242" s="217"/>
    </row>
    <row r="243">
      <c r="C243" s="214"/>
      <c r="E243" s="215"/>
      <c r="F243" s="215"/>
      <c r="G243" s="215"/>
      <c r="H243" s="215"/>
      <c r="I243" s="215"/>
      <c r="J243" s="215"/>
      <c r="K243" s="215"/>
      <c r="L243" s="215"/>
      <c r="M243" s="215"/>
      <c r="N243" s="215"/>
      <c r="O243" s="215"/>
      <c r="P243" s="215"/>
      <c r="Q243" s="215"/>
      <c r="R243" s="215"/>
      <c r="S243" s="215"/>
      <c r="T243" s="215"/>
      <c r="U243" s="215"/>
      <c r="V243" s="215"/>
      <c r="W243" s="215"/>
      <c r="X243" s="215"/>
      <c r="Y243" s="215"/>
      <c r="Z243" s="215"/>
      <c r="AA243" s="215"/>
      <c r="AB243" s="215"/>
      <c r="AC243" s="215"/>
      <c r="AD243" s="215"/>
      <c r="AE243" s="215"/>
      <c r="AF243" s="215"/>
      <c r="AG243" s="216"/>
      <c r="AJ243" s="214"/>
      <c r="AO243" s="214"/>
      <c r="AQ243" s="214"/>
      <c r="AU243" s="217"/>
      <c r="AV243" s="217"/>
      <c r="AW243" s="217"/>
    </row>
    <row r="244">
      <c r="C244" s="214"/>
      <c r="E244" s="215"/>
      <c r="F244" s="215"/>
      <c r="G244" s="215"/>
      <c r="H244" s="215"/>
      <c r="I244" s="215"/>
      <c r="J244" s="215"/>
      <c r="K244" s="215"/>
      <c r="L244" s="215"/>
      <c r="M244" s="215"/>
      <c r="N244" s="215"/>
      <c r="O244" s="215"/>
      <c r="P244" s="215"/>
      <c r="Q244" s="215"/>
      <c r="R244" s="215"/>
      <c r="S244" s="215"/>
      <c r="T244" s="215"/>
      <c r="U244" s="215"/>
      <c r="V244" s="215"/>
      <c r="W244" s="215"/>
      <c r="X244" s="215"/>
      <c r="Y244" s="215"/>
      <c r="Z244" s="215"/>
      <c r="AA244" s="215"/>
      <c r="AB244" s="215"/>
      <c r="AC244" s="215"/>
      <c r="AD244" s="215"/>
      <c r="AE244" s="215"/>
      <c r="AF244" s="215"/>
      <c r="AG244" s="216"/>
      <c r="AJ244" s="214"/>
      <c r="AO244" s="214"/>
      <c r="AQ244" s="214"/>
      <c r="AU244" s="217"/>
      <c r="AV244" s="217"/>
      <c r="AW244" s="217"/>
    </row>
    <row r="245">
      <c r="C245" s="214"/>
      <c r="E245" s="215"/>
      <c r="F245" s="215"/>
      <c r="G245" s="215"/>
      <c r="H245" s="215"/>
      <c r="I245" s="215"/>
      <c r="J245" s="215"/>
      <c r="K245" s="215"/>
      <c r="L245" s="215"/>
      <c r="M245" s="215"/>
      <c r="N245" s="215"/>
      <c r="O245" s="215"/>
      <c r="P245" s="215"/>
      <c r="Q245" s="215"/>
      <c r="R245" s="215"/>
      <c r="S245" s="215"/>
      <c r="T245" s="215"/>
      <c r="U245" s="215"/>
      <c r="V245" s="215"/>
      <c r="W245" s="215"/>
      <c r="X245" s="215"/>
      <c r="Y245" s="215"/>
      <c r="Z245" s="215"/>
      <c r="AA245" s="215"/>
      <c r="AB245" s="215"/>
      <c r="AC245" s="215"/>
      <c r="AD245" s="215"/>
      <c r="AE245" s="215"/>
      <c r="AF245" s="215"/>
      <c r="AG245" s="216"/>
      <c r="AJ245" s="214"/>
      <c r="AO245" s="214"/>
      <c r="AQ245" s="214"/>
      <c r="AU245" s="217"/>
      <c r="AV245" s="217"/>
      <c r="AW245" s="217"/>
    </row>
    <row r="246">
      <c r="C246" s="214"/>
      <c r="E246" s="215"/>
      <c r="F246" s="215"/>
      <c r="G246" s="215"/>
      <c r="H246" s="215"/>
      <c r="I246" s="215"/>
      <c r="J246" s="215"/>
      <c r="K246" s="215"/>
      <c r="L246" s="215"/>
      <c r="M246" s="215"/>
      <c r="N246" s="215"/>
      <c r="O246" s="215"/>
      <c r="P246" s="215"/>
      <c r="Q246" s="215"/>
      <c r="R246" s="215"/>
      <c r="S246" s="215"/>
      <c r="T246" s="215"/>
      <c r="U246" s="215"/>
      <c r="V246" s="215"/>
      <c r="W246" s="215"/>
      <c r="X246" s="215"/>
      <c r="Y246" s="215"/>
      <c r="Z246" s="215"/>
      <c r="AA246" s="215"/>
      <c r="AB246" s="215"/>
      <c r="AC246" s="215"/>
      <c r="AD246" s="215"/>
      <c r="AE246" s="215"/>
      <c r="AF246" s="215"/>
      <c r="AG246" s="216"/>
      <c r="AJ246" s="214"/>
      <c r="AO246" s="214"/>
      <c r="AQ246" s="214"/>
      <c r="AU246" s="217"/>
      <c r="AV246" s="217"/>
      <c r="AW246" s="217"/>
    </row>
    <row r="247">
      <c r="C247" s="214"/>
      <c r="E247" s="215"/>
      <c r="F247" s="215"/>
      <c r="G247" s="215"/>
      <c r="H247" s="215"/>
      <c r="I247" s="215"/>
      <c r="J247" s="215"/>
      <c r="K247" s="215"/>
      <c r="L247" s="215"/>
      <c r="M247" s="215"/>
      <c r="N247" s="215"/>
      <c r="O247" s="215"/>
      <c r="P247" s="215"/>
      <c r="Q247" s="215"/>
      <c r="R247" s="215"/>
      <c r="S247" s="215"/>
      <c r="T247" s="215"/>
      <c r="U247" s="215"/>
      <c r="V247" s="215"/>
      <c r="W247" s="215"/>
      <c r="X247" s="215"/>
      <c r="Y247" s="215"/>
      <c r="Z247" s="215"/>
      <c r="AA247" s="215"/>
      <c r="AB247" s="215"/>
      <c r="AC247" s="215"/>
      <c r="AD247" s="215"/>
      <c r="AE247" s="215"/>
      <c r="AF247" s="215"/>
      <c r="AG247" s="216"/>
      <c r="AJ247" s="214"/>
      <c r="AO247" s="214"/>
      <c r="AQ247" s="214"/>
      <c r="AU247" s="217"/>
      <c r="AV247" s="217"/>
      <c r="AW247" s="217"/>
    </row>
    <row r="248">
      <c r="C248" s="214"/>
      <c r="E248" s="215"/>
      <c r="F248" s="215"/>
      <c r="G248" s="215"/>
      <c r="H248" s="215"/>
      <c r="I248" s="215"/>
      <c r="J248" s="215"/>
      <c r="K248" s="215"/>
      <c r="L248" s="215"/>
      <c r="M248" s="215"/>
      <c r="N248" s="215"/>
      <c r="O248" s="215"/>
      <c r="P248" s="215"/>
      <c r="Q248" s="215"/>
      <c r="R248" s="215"/>
      <c r="S248" s="215"/>
      <c r="T248" s="215"/>
      <c r="U248" s="215"/>
      <c r="V248" s="215"/>
      <c r="W248" s="215"/>
      <c r="X248" s="215"/>
      <c r="Y248" s="215"/>
      <c r="Z248" s="215"/>
      <c r="AA248" s="215"/>
      <c r="AB248" s="215"/>
      <c r="AC248" s="215"/>
      <c r="AD248" s="215"/>
      <c r="AE248" s="215"/>
      <c r="AF248" s="215"/>
      <c r="AG248" s="216"/>
      <c r="AJ248" s="214"/>
      <c r="AO248" s="214"/>
      <c r="AQ248" s="214"/>
      <c r="AU248" s="217"/>
      <c r="AV248" s="217"/>
      <c r="AW248" s="217"/>
    </row>
    <row r="249">
      <c r="C249" s="214"/>
      <c r="E249" s="215"/>
      <c r="F249" s="215"/>
      <c r="G249" s="215"/>
      <c r="H249" s="215"/>
      <c r="I249" s="215"/>
      <c r="J249" s="215"/>
      <c r="K249" s="215"/>
      <c r="L249" s="215"/>
      <c r="M249" s="215"/>
      <c r="N249" s="215"/>
      <c r="O249" s="215"/>
      <c r="P249" s="215"/>
      <c r="Q249" s="215"/>
      <c r="R249" s="215"/>
      <c r="S249" s="215"/>
      <c r="T249" s="215"/>
      <c r="U249" s="215"/>
      <c r="V249" s="215"/>
      <c r="W249" s="215"/>
      <c r="X249" s="215"/>
      <c r="Y249" s="215"/>
      <c r="Z249" s="215"/>
      <c r="AA249" s="215"/>
      <c r="AB249" s="215"/>
      <c r="AC249" s="215"/>
      <c r="AD249" s="215"/>
      <c r="AE249" s="215"/>
      <c r="AF249" s="215"/>
      <c r="AG249" s="216"/>
      <c r="AJ249" s="214"/>
      <c r="AO249" s="214"/>
      <c r="AQ249" s="214"/>
      <c r="AU249" s="217"/>
      <c r="AV249" s="217"/>
      <c r="AW249" s="217"/>
    </row>
    <row r="250">
      <c r="C250" s="214"/>
      <c r="E250" s="215"/>
      <c r="F250" s="215"/>
      <c r="G250" s="215"/>
      <c r="H250" s="215"/>
      <c r="I250" s="215"/>
      <c r="J250" s="215"/>
      <c r="K250" s="215"/>
      <c r="L250" s="215"/>
      <c r="M250" s="215"/>
      <c r="N250" s="215"/>
      <c r="O250" s="215"/>
      <c r="P250" s="215"/>
      <c r="Q250" s="215"/>
      <c r="R250" s="215"/>
      <c r="S250" s="215"/>
      <c r="T250" s="215"/>
      <c r="U250" s="215"/>
      <c r="V250" s="215"/>
      <c r="W250" s="215"/>
      <c r="X250" s="215"/>
      <c r="Y250" s="215"/>
      <c r="Z250" s="215"/>
      <c r="AA250" s="215"/>
      <c r="AB250" s="215"/>
      <c r="AC250" s="215"/>
      <c r="AD250" s="215"/>
      <c r="AE250" s="215"/>
      <c r="AF250" s="215"/>
      <c r="AG250" s="216"/>
      <c r="AJ250" s="214"/>
      <c r="AO250" s="214"/>
      <c r="AQ250" s="214"/>
      <c r="AU250" s="217"/>
      <c r="AV250" s="217"/>
      <c r="AW250" s="217"/>
    </row>
    <row r="251">
      <c r="C251" s="214"/>
      <c r="E251" s="215"/>
      <c r="F251" s="215"/>
      <c r="G251" s="215"/>
      <c r="H251" s="215"/>
      <c r="I251" s="215"/>
      <c r="J251" s="215"/>
      <c r="K251" s="215"/>
      <c r="L251" s="215"/>
      <c r="M251" s="215"/>
      <c r="N251" s="215"/>
      <c r="O251" s="215"/>
      <c r="P251" s="215"/>
      <c r="Q251" s="215"/>
      <c r="R251" s="215"/>
      <c r="S251" s="215"/>
      <c r="T251" s="215"/>
      <c r="U251" s="215"/>
      <c r="V251" s="215"/>
      <c r="W251" s="215"/>
      <c r="X251" s="215"/>
      <c r="Y251" s="215"/>
      <c r="Z251" s="215"/>
      <c r="AA251" s="215"/>
      <c r="AB251" s="215"/>
      <c r="AC251" s="215"/>
      <c r="AD251" s="215"/>
      <c r="AE251" s="215"/>
      <c r="AF251" s="215"/>
      <c r="AG251" s="216"/>
      <c r="AJ251" s="214"/>
      <c r="AO251" s="214"/>
      <c r="AQ251" s="214"/>
      <c r="AU251" s="217"/>
      <c r="AV251" s="217"/>
      <c r="AW251" s="217"/>
    </row>
    <row r="252">
      <c r="C252" s="214"/>
      <c r="E252" s="215"/>
      <c r="F252" s="215"/>
      <c r="G252" s="215"/>
      <c r="H252" s="215"/>
      <c r="I252" s="215"/>
      <c r="J252" s="215"/>
      <c r="K252" s="215"/>
      <c r="L252" s="215"/>
      <c r="M252" s="215"/>
      <c r="N252" s="215"/>
      <c r="O252" s="215"/>
      <c r="P252" s="215"/>
      <c r="Q252" s="215"/>
      <c r="R252" s="215"/>
      <c r="S252" s="215"/>
      <c r="T252" s="215"/>
      <c r="U252" s="215"/>
      <c r="V252" s="215"/>
      <c r="W252" s="215"/>
      <c r="X252" s="215"/>
      <c r="Y252" s="215"/>
      <c r="Z252" s="215"/>
      <c r="AA252" s="215"/>
      <c r="AB252" s="215"/>
      <c r="AC252" s="215"/>
      <c r="AD252" s="215"/>
      <c r="AE252" s="215"/>
      <c r="AF252" s="215"/>
      <c r="AG252" s="216"/>
      <c r="AJ252" s="214"/>
      <c r="AO252" s="214"/>
      <c r="AQ252" s="214"/>
      <c r="AU252" s="217"/>
      <c r="AV252" s="217"/>
      <c r="AW252" s="217"/>
    </row>
    <row r="253">
      <c r="C253" s="214"/>
      <c r="E253" s="215"/>
      <c r="F253" s="215"/>
      <c r="G253" s="215"/>
      <c r="H253" s="215"/>
      <c r="I253" s="215"/>
      <c r="J253" s="215"/>
      <c r="K253" s="215"/>
      <c r="L253" s="215"/>
      <c r="M253" s="215"/>
      <c r="N253" s="215"/>
      <c r="O253" s="215"/>
      <c r="P253" s="215"/>
      <c r="Q253" s="215"/>
      <c r="R253" s="215"/>
      <c r="S253" s="215"/>
      <c r="T253" s="215"/>
      <c r="U253" s="215"/>
      <c r="V253" s="215"/>
      <c r="W253" s="215"/>
      <c r="X253" s="215"/>
      <c r="Y253" s="215"/>
      <c r="Z253" s="215"/>
      <c r="AA253" s="215"/>
      <c r="AB253" s="215"/>
      <c r="AC253" s="215"/>
      <c r="AD253" s="215"/>
      <c r="AE253" s="215"/>
      <c r="AF253" s="215"/>
      <c r="AG253" s="216"/>
      <c r="AJ253" s="214"/>
      <c r="AO253" s="214"/>
      <c r="AQ253" s="214"/>
      <c r="AU253" s="217"/>
      <c r="AV253" s="217"/>
      <c r="AW253" s="217"/>
    </row>
    <row r="254">
      <c r="C254" s="214"/>
      <c r="E254" s="215"/>
      <c r="F254" s="215"/>
      <c r="G254" s="215"/>
      <c r="H254" s="215"/>
      <c r="I254" s="215"/>
      <c r="J254" s="215"/>
      <c r="K254" s="215"/>
      <c r="L254" s="215"/>
      <c r="M254" s="215"/>
      <c r="N254" s="215"/>
      <c r="O254" s="215"/>
      <c r="P254" s="215"/>
      <c r="Q254" s="215"/>
      <c r="R254" s="215"/>
      <c r="S254" s="215"/>
      <c r="T254" s="215"/>
      <c r="U254" s="215"/>
      <c r="V254" s="215"/>
      <c r="W254" s="215"/>
      <c r="X254" s="215"/>
      <c r="Y254" s="215"/>
      <c r="Z254" s="215"/>
      <c r="AA254" s="215"/>
      <c r="AB254" s="215"/>
      <c r="AC254" s="215"/>
      <c r="AD254" s="215"/>
      <c r="AE254" s="215"/>
      <c r="AF254" s="215"/>
      <c r="AG254" s="216"/>
      <c r="AJ254" s="214"/>
      <c r="AO254" s="214"/>
      <c r="AQ254" s="214"/>
      <c r="AU254" s="217"/>
      <c r="AV254" s="217"/>
      <c r="AW254" s="217"/>
    </row>
    <row r="255">
      <c r="C255" s="214"/>
      <c r="E255" s="215"/>
      <c r="F255" s="215"/>
      <c r="G255" s="215"/>
      <c r="H255" s="215"/>
      <c r="I255" s="215"/>
      <c r="J255" s="215"/>
      <c r="K255" s="215"/>
      <c r="L255" s="215"/>
      <c r="M255" s="215"/>
      <c r="N255" s="215"/>
      <c r="O255" s="215"/>
      <c r="P255" s="215"/>
      <c r="Q255" s="215"/>
      <c r="R255" s="215"/>
      <c r="S255" s="215"/>
      <c r="T255" s="215"/>
      <c r="U255" s="215"/>
      <c r="V255" s="215"/>
      <c r="W255" s="215"/>
      <c r="X255" s="215"/>
      <c r="Y255" s="215"/>
      <c r="Z255" s="215"/>
      <c r="AA255" s="215"/>
      <c r="AB255" s="215"/>
      <c r="AC255" s="215"/>
      <c r="AD255" s="215"/>
      <c r="AE255" s="215"/>
      <c r="AF255" s="215"/>
      <c r="AG255" s="216"/>
      <c r="AJ255" s="214"/>
      <c r="AO255" s="214"/>
      <c r="AQ255" s="214"/>
      <c r="AU255" s="217"/>
      <c r="AV255" s="217"/>
      <c r="AW255" s="217"/>
    </row>
    <row r="256">
      <c r="C256" s="214"/>
      <c r="E256" s="215"/>
      <c r="F256" s="215"/>
      <c r="G256" s="215"/>
      <c r="H256" s="215"/>
      <c r="I256" s="215"/>
      <c r="J256" s="215"/>
      <c r="K256" s="215"/>
      <c r="L256" s="215"/>
      <c r="M256" s="215"/>
      <c r="N256" s="215"/>
      <c r="O256" s="215"/>
      <c r="P256" s="215"/>
      <c r="Q256" s="215"/>
      <c r="R256" s="215"/>
      <c r="S256" s="215"/>
      <c r="T256" s="215"/>
      <c r="U256" s="215"/>
      <c r="V256" s="215"/>
      <c r="W256" s="215"/>
      <c r="X256" s="215"/>
      <c r="Y256" s="215"/>
      <c r="Z256" s="215"/>
      <c r="AA256" s="215"/>
      <c r="AB256" s="215"/>
      <c r="AC256" s="215"/>
      <c r="AD256" s="215"/>
      <c r="AE256" s="215"/>
      <c r="AF256" s="215"/>
      <c r="AG256" s="216"/>
      <c r="AJ256" s="214"/>
      <c r="AO256" s="214"/>
      <c r="AQ256" s="214"/>
      <c r="AU256" s="217"/>
      <c r="AV256" s="217"/>
      <c r="AW256" s="217"/>
    </row>
    <row r="257">
      <c r="C257" s="214"/>
      <c r="E257" s="215"/>
      <c r="F257" s="215"/>
      <c r="G257" s="215"/>
      <c r="H257" s="215"/>
      <c r="I257" s="215"/>
      <c r="J257" s="215"/>
      <c r="K257" s="215"/>
      <c r="L257" s="215"/>
      <c r="M257" s="215"/>
      <c r="N257" s="215"/>
      <c r="O257" s="215"/>
      <c r="P257" s="215"/>
      <c r="Q257" s="215"/>
      <c r="R257" s="215"/>
      <c r="S257" s="215"/>
      <c r="T257" s="215"/>
      <c r="U257" s="215"/>
      <c r="V257" s="215"/>
      <c r="W257" s="215"/>
      <c r="X257" s="215"/>
      <c r="Y257" s="215"/>
      <c r="Z257" s="215"/>
      <c r="AA257" s="215"/>
      <c r="AB257" s="215"/>
      <c r="AC257" s="215"/>
      <c r="AD257" s="215"/>
      <c r="AE257" s="215"/>
      <c r="AF257" s="215"/>
      <c r="AG257" s="216"/>
      <c r="AJ257" s="214"/>
      <c r="AO257" s="214"/>
      <c r="AQ257" s="214"/>
      <c r="AU257" s="217"/>
      <c r="AV257" s="217"/>
      <c r="AW257" s="217"/>
    </row>
    <row r="258">
      <c r="C258" s="214"/>
      <c r="E258" s="215"/>
      <c r="F258" s="215"/>
      <c r="G258" s="215"/>
      <c r="H258" s="215"/>
      <c r="I258" s="215"/>
      <c r="J258" s="215"/>
      <c r="K258" s="215"/>
      <c r="L258" s="215"/>
      <c r="M258" s="215"/>
      <c r="N258" s="215"/>
      <c r="O258" s="215"/>
      <c r="P258" s="215"/>
      <c r="Q258" s="215"/>
      <c r="R258" s="215"/>
      <c r="S258" s="215"/>
      <c r="T258" s="215"/>
      <c r="U258" s="215"/>
      <c r="V258" s="215"/>
      <c r="W258" s="215"/>
      <c r="X258" s="215"/>
      <c r="Y258" s="215"/>
      <c r="Z258" s="215"/>
      <c r="AA258" s="215"/>
      <c r="AB258" s="215"/>
      <c r="AC258" s="215"/>
      <c r="AD258" s="215"/>
      <c r="AE258" s="215"/>
      <c r="AF258" s="215"/>
      <c r="AG258" s="216"/>
      <c r="AJ258" s="214"/>
      <c r="AO258" s="214"/>
      <c r="AQ258" s="214"/>
      <c r="AU258" s="217"/>
      <c r="AV258" s="217"/>
      <c r="AW258" s="217"/>
    </row>
    <row r="259">
      <c r="C259" s="214"/>
      <c r="E259" s="215"/>
      <c r="F259" s="215"/>
      <c r="G259" s="215"/>
      <c r="H259" s="215"/>
      <c r="I259" s="215"/>
      <c r="J259" s="215"/>
      <c r="K259" s="215"/>
      <c r="L259" s="215"/>
      <c r="M259" s="215"/>
      <c r="N259" s="215"/>
      <c r="O259" s="215"/>
      <c r="P259" s="215"/>
      <c r="Q259" s="215"/>
      <c r="R259" s="215"/>
      <c r="S259" s="215"/>
      <c r="T259" s="215"/>
      <c r="U259" s="215"/>
      <c r="V259" s="215"/>
      <c r="W259" s="215"/>
      <c r="X259" s="215"/>
      <c r="Y259" s="215"/>
      <c r="Z259" s="215"/>
      <c r="AA259" s="215"/>
      <c r="AB259" s="215"/>
      <c r="AC259" s="215"/>
      <c r="AD259" s="215"/>
      <c r="AE259" s="215"/>
      <c r="AF259" s="215"/>
      <c r="AG259" s="216"/>
      <c r="AJ259" s="214"/>
      <c r="AO259" s="214"/>
      <c r="AQ259" s="214"/>
      <c r="AU259" s="217"/>
      <c r="AV259" s="217"/>
      <c r="AW259" s="217"/>
    </row>
    <row r="260">
      <c r="C260" s="214"/>
      <c r="E260" s="215"/>
      <c r="F260" s="215"/>
      <c r="G260" s="215"/>
      <c r="H260" s="215"/>
      <c r="I260" s="215"/>
      <c r="J260" s="215"/>
      <c r="K260" s="215"/>
      <c r="L260" s="215"/>
      <c r="M260" s="215"/>
      <c r="N260" s="215"/>
      <c r="O260" s="215"/>
      <c r="P260" s="215"/>
      <c r="Q260" s="215"/>
      <c r="R260" s="215"/>
      <c r="S260" s="215"/>
      <c r="T260" s="215"/>
      <c r="U260" s="215"/>
      <c r="V260" s="215"/>
      <c r="W260" s="215"/>
      <c r="X260" s="215"/>
      <c r="Y260" s="215"/>
      <c r="Z260" s="215"/>
      <c r="AA260" s="215"/>
      <c r="AB260" s="215"/>
      <c r="AC260" s="215"/>
      <c r="AD260" s="215"/>
      <c r="AE260" s="215"/>
      <c r="AF260" s="215"/>
      <c r="AG260" s="216"/>
      <c r="AJ260" s="214"/>
      <c r="AO260" s="214"/>
      <c r="AQ260" s="214"/>
      <c r="AU260" s="217"/>
      <c r="AV260" s="217"/>
      <c r="AW260" s="217"/>
    </row>
    <row r="261">
      <c r="C261" s="214"/>
      <c r="E261" s="215"/>
      <c r="F261" s="215"/>
      <c r="G261" s="215"/>
      <c r="H261" s="215"/>
      <c r="I261" s="215"/>
      <c r="J261" s="215"/>
      <c r="K261" s="215"/>
      <c r="L261" s="215"/>
      <c r="M261" s="215"/>
      <c r="N261" s="215"/>
      <c r="O261" s="215"/>
      <c r="P261" s="215"/>
      <c r="Q261" s="215"/>
      <c r="R261" s="215"/>
      <c r="S261" s="215"/>
      <c r="T261" s="215"/>
      <c r="U261" s="215"/>
      <c r="V261" s="215"/>
      <c r="W261" s="215"/>
      <c r="X261" s="215"/>
      <c r="Y261" s="215"/>
      <c r="Z261" s="215"/>
      <c r="AA261" s="215"/>
      <c r="AB261" s="215"/>
      <c r="AC261" s="215"/>
      <c r="AD261" s="215"/>
      <c r="AE261" s="215"/>
      <c r="AF261" s="215"/>
      <c r="AG261" s="216"/>
      <c r="AJ261" s="214"/>
      <c r="AO261" s="214"/>
      <c r="AQ261" s="214"/>
      <c r="AU261" s="217"/>
      <c r="AV261" s="217"/>
      <c r="AW261" s="217"/>
    </row>
    <row r="262">
      <c r="C262" s="214"/>
      <c r="E262" s="215"/>
      <c r="F262" s="215"/>
      <c r="G262" s="215"/>
      <c r="H262" s="215"/>
      <c r="I262" s="215"/>
      <c r="J262" s="215"/>
      <c r="K262" s="215"/>
      <c r="L262" s="215"/>
      <c r="M262" s="215"/>
      <c r="N262" s="215"/>
      <c r="O262" s="215"/>
      <c r="P262" s="215"/>
      <c r="Q262" s="215"/>
      <c r="R262" s="215"/>
      <c r="S262" s="215"/>
      <c r="T262" s="215"/>
      <c r="U262" s="215"/>
      <c r="V262" s="215"/>
      <c r="W262" s="215"/>
      <c r="X262" s="215"/>
      <c r="Y262" s="215"/>
      <c r="Z262" s="215"/>
      <c r="AA262" s="215"/>
      <c r="AB262" s="215"/>
      <c r="AC262" s="215"/>
      <c r="AD262" s="215"/>
      <c r="AE262" s="215"/>
      <c r="AF262" s="215"/>
      <c r="AG262" s="216"/>
      <c r="AJ262" s="214"/>
      <c r="AO262" s="214"/>
      <c r="AQ262" s="214"/>
      <c r="AU262" s="217"/>
      <c r="AV262" s="217"/>
      <c r="AW262" s="217"/>
    </row>
    <row r="263">
      <c r="C263" s="214"/>
      <c r="E263" s="215"/>
      <c r="F263" s="215"/>
      <c r="G263" s="215"/>
      <c r="H263" s="215"/>
      <c r="I263" s="215"/>
      <c r="J263" s="215"/>
      <c r="K263" s="215"/>
      <c r="L263" s="215"/>
      <c r="M263" s="215"/>
      <c r="N263" s="215"/>
      <c r="O263" s="215"/>
      <c r="P263" s="215"/>
      <c r="Q263" s="215"/>
      <c r="R263" s="215"/>
      <c r="S263" s="215"/>
      <c r="T263" s="215"/>
      <c r="U263" s="215"/>
      <c r="V263" s="215"/>
      <c r="W263" s="215"/>
      <c r="X263" s="215"/>
      <c r="Y263" s="215"/>
      <c r="Z263" s="215"/>
      <c r="AA263" s="215"/>
      <c r="AB263" s="215"/>
      <c r="AC263" s="215"/>
      <c r="AD263" s="215"/>
      <c r="AE263" s="215"/>
      <c r="AF263" s="215"/>
      <c r="AG263" s="216"/>
      <c r="AJ263" s="214"/>
      <c r="AO263" s="214"/>
      <c r="AQ263" s="214"/>
      <c r="AU263" s="217"/>
      <c r="AV263" s="217"/>
      <c r="AW263" s="217"/>
    </row>
    <row r="264">
      <c r="C264" s="214"/>
      <c r="E264" s="215"/>
      <c r="F264" s="215"/>
      <c r="G264" s="215"/>
      <c r="H264" s="215"/>
      <c r="I264" s="215"/>
      <c r="J264" s="215"/>
      <c r="K264" s="215"/>
      <c r="L264" s="215"/>
      <c r="M264" s="215"/>
      <c r="N264" s="215"/>
      <c r="O264" s="215"/>
      <c r="P264" s="215"/>
      <c r="Q264" s="215"/>
      <c r="R264" s="215"/>
      <c r="S264" s="215"/>
      <c r="T264" s="215"/>
      <c r="U264" s="215"/>
      <c r="V264" s="215"/>
      <c r="W264" s="215"/>
      <c r="X264" s="215"/>
      <c r="Y264" s="215"/>
      <c r="Z264" s="215"/>
      <c r="AA264" s="215"/>
      <c r="AB264" s="215"/>
      <c r="AC264" s="215"/>
      <c r="AD264" s="215"/>
      <c r="AE264" s="215"/>
      <c r="AF264" s="215"/>
      <c r="AG264" s="216"/>
      <c r="AJ264" s="214"/>
      <c r="AO264" s="214"/>
      <c r="AQ264" s="214"/>
      <c r="AU264" s="217"/>
      <c r="AV264" s="217"/>
      <c r="AW264" s="217"/>
    </row>
    <row r="265">
      <c r="C265" s="214"/>
      <c r="E265" s="215"/>
      <c r="F265" s="215"/>
      <c r="G265" s="215"/>
      <c r="H265" s="215"/>
      <c r="I265" s="215"/>
      <c r="J265" s="215"/>
      <c r="K265" s="215"/>
      <c r="L265" s="215"/>
      <c r="M265" s="215"/>
      <c r="N265" s="215"/>
      <c r="O265" s="215"/>
      <c r="P265" s="215"/>
      <c r="Q265" s="215"/>
      <c r="R265" s="215"/>
      <c r="S265" s="215"/>
      <c r="T265" s="215"/>
      <c r="U265" s="215"/>
      <c r="V265" s="215"/>
      <c r="W265" s="215"/>
      <c r="X265" s="215"/>
      <c r="Y265" s="215"/>
      <c r="Z265" s="215"/>
      <c r="AA265" s="215"/>
      <c r="AB265" s="215"/>
      <c r="AC265" s="215"/>
      <c r="AD265" s="215"/>
      <c r="AE265" s="215"/>
      <c r="AF265" s="215"/>
      <c r="AG265" s="216"/>
      <c r="AJ265" s="214"/>
      <c r="AO265" s="214"/>
      <c r="AQ265" s="214"/>
      <c r="AU265" s="217"/>
      <c r="AV265" s="217"/>
      <c r="AW265" s="217"/>
    </row>
    <row r="266">
      <c r="C266" s="214"/>
      <c r="E266" s="215"/>
      <c r="F266" s="215"/>
      <c r="G266" s="215"/>
      <c r="H266" s="215"/>
      <c r="I266" s="215"/>
      <c r="J266" s="215"/>
      <c r="K266" s="215"/>
      <c r="L266" s="215"/>
      <c r="M266" s="215"/>
      <c r="N266" s="215"/>
      <c r="O266" s="215"/>
      <c r="P266" s="215"/>
      <c r="Q266" s="215"/>
      <c r="R266" s="215"/>
      <c r="S266" s="215"/>
      <c r="T266" s="215"/>
      <c r="U266" s="215"/>
      <c r="V266" s="215"/>
      <c r="W266" s="215"/>
      <c r="X266" s="215"/>
      <c r="Y266" s="215"/>
      <c r="Z266" s="215"/>
      <c r="AA266" s="215"/>
      <c r="AB266" s="215"/>
      <c r="AC266" s="215"/>
      <c r="AD266" s="215"/>
      <c r="AE266" s="215"/>
      <c r="AF266" s="215"/>
      <c r="AG266" s="216"/>
      <c r="AJ266" s="214"/>
      <c r="AO266" s="214"/>
      <c r="AQ266" s="214"/>
      <c r="AU266" s="217"/>
      <c r="AV266" s="217"/>
      <c r="AW266" s="217"/>
    </row>
    <row r="267">
      <c r="C267" s="214"/>
      <c r="E267" s="215"/>
      <c r="F267" s="215"/>
      <c r="G267" s="215"/>
      <c r="H267" s="215"/>
      <c r="I267" s="215"/>
      <c r="J267" s="215"/>
      <c r="K267" s="215"/>
      <c r="L267" s="215"/>
      <c r="M267" s="215"/>
      <c r="N267" s="215"/>
      <c r="O267" s="215"/>
      <c r="P267" s="215"/>
      <c r="Q267" s="215"/>
      <c r="R267" s="215"/>
      <c r="S267" s="215"/>
      <c r="T267" s="215"/>
      <c r="U267" s="215"/>
      <c r="V267" s="215"/>
      <c r="W267" s="215"/>
      <c r="X267" s="215"/>
      <c r="Y267" s="215"/>
      <c r="Z267" s="215"/>
      <c r="AA267" s="215"/>
      <c r="AB267" s="215"/>
      <c r="AC267" s="215"/>
      <c r="AD267" s="215"/>
      <c r="AE267" s="215"/>
      <c r="AF267" s="215"/>
      <c r="AG267" s="216"/>
      <c r="AJ267" s="214"/>
      <c r="AO267" s="214"/>
      <c r="AQ267" s="214"/>
      <c r="AU267" s="217"/>
      <c r="AV267" s="217"/>
      <c r="AW267" s="217"/>
    </row>
    <row r="268">
      <c r="C268" s="214"/>
      <c r="E268" s="215"/>
      <c r="F268" s="215"/>
      <c r="G268" s="215"/>
      <c r="H268" s="215"/>
      <c r="I268" s="215"/>
      <c r="J268" s="215"/>
      <c r="K268" s="215"/>
      <c r="L268" s="215"/>
      <c r="M268" s="215"/>
      <c r="N268" s="215"/>
      <c r="O268" s="215"/>
      <c r="P268" s="215"/>
      <c r="Q268" s="215"/>
      <c r="R268" s="215"/>
      <c r="S268" s="215"/>
      <c r="T268" s="215"/>
      <c r="U268" s="215"/>
      <c r="V268" s="215"/>
      <c r="W268" s="215"/>
      <c r="X268" s="215"/>
      <c r="Y268" s="215"/>
      <c r="Z268" s="215"/>
      <c r="AA268" s="215"/>
      <c r="AB268" s="215"/>
      <c r="AC268" s="215"/>
      <c r="AD268" s="215"/>
      <c r="AE268" s="215"/>
      <c r="AF268" s="215"/>
      <c r="AG268" s="216"/>
      <c r="AJ268" s="214"/>
      <c r="AO268" s="214"/>
      <c r="AQ268" s="214"/>
      <c r="AU268" s="217"/>
      <c r="AV268" s="217"/>
      <c r="AW268" s="217"/>
    </row>
    <row r="269">
      <c r="C269" s="214"/>
      <c r="E269" s="215"/>
      <c r="F269" s="215"/>
      <c r="G269" s="215"/>
      <c r="H269" s="215"/>
      <c r="I269" s="215"/>
      <c r="J269" s="215"/>
      <c r="K269" s="215"/>
      <c r="L269" s="215"/>
      <c r="M269" s="215"/>
      <c r="N269" s="215"/>
      <c r="O269" s="215"/>
      <c r="P269" s="215"/>
      <c r="Q269" s="215"/>
      <c r="R269" s="215"/>
      <c r="S269" s="215"/>
      <c r="T269" s="215"/>
      <c r="U269" s="215"/>
      <c r="V269" s="215"/>
      <c r="W269" s="215"/>
      <c r="X269" s="215"/>
      <c r="Y269" s="215"/>
      <c r="Z269" s="215"/>
      <c r="AA269" s="215"/>
      <c r="AB269" s="215"/>
      <c r="AC269" s="215"/>
      <c r="AD269" s="215"/>
      <c r="AE269" s="215"/>
      <c r="AF269" s="215"/>
      <c r="AG269" s="216"/>
      <c r="AJ269" s="214"/>
      <c r="AO269" s="214"/>
      <c r="AQ269" s="214"/>
      <c r="AU269" s="217"/>
      <c r="AV269" s="217"/>
      <c r="AW269" s="217"/>
    </row>
    <row r="270">
      <c r="C270" s="214"/>
      <c r="E270" s="215"/>
      <c r="F270" s="215"/>
      <c r="G270" s="215"/>
      <c r="H270" s="215"/>
      <c r="I270" s="215"/>
      <c r="J270" s="215"/>
      <c r="K270" s="215"/>
      <c r="L270" s="215"/>
      <c r="M270" s="215"/>
      <c r="N270" s="215"/>
      <c r="O270" s="215"/>
      <c r="P270" s="215"/>
      <c r="Q270" s="215"/>
      <c r="R270" s="215"/>
      <c r="S270" s="215"/>
      <c r="T270" s="215"/>
      <c r="U270" s="215"/>
      <c r="V270" s="215"/>
      <c r="W270" s="215"/>
      <c r="X270" s="215"/>
      <c r="Y270" s="215"/>
      <c r="Z270" s="215"/>
      <c r="AA270" s="215"/>
      <c r="AB270" s="215"/>
      <c r="AC270" s="215"/>
      <c r="AD270" s="215"/>
      <c r="AE270" s="215"/>
      <c r="AF270" s="215"/>
      <c r="AG270" s="216"/>
      <c r="AJ270" s="214"/>
      <c r="AO270" s="214"/>
      <c r="AQ270" s="214"/>
      <c r="AU270" s="217"/>
      <c r="AV270" s="217"/>
      <c r="AW270" s="217"/>
    </row>
    <row r="271">
      <c r="C271" s="214"/>
      <c r="E271" s="215"/>
      <c r="F271" s="215"/>
      <c r="G271" s="215"/>
      <c r="H271" s="215"/>
      <c r="I271" s="215"/>
      <c r="J271" s="215"/>
      <c r="K271" s="215"/>
      <c r="L271" s="215"/>
      <c r="M271" s="215"/>
      <c r="N271" s="215"/>
      <c r="O271" s="215"/>
      <c r="P271" s="215"/>
      <c r="Q271" s="215"/>
      <c r="R271" s="215"/>
      <c r="S271" s="215"/>
      <c r="T271" s="215"/>
      <c r="U271" s="215"/>
      <c r="V271" s="215"/>
      <c r="W271" s="215"/>
      <c r="X271" s="215"/>
      <c r="Y271" s="215"/>
      <c r="Z271" s="215"/>
      <c r="AA271" s="215"/>
      <c r="AB271" s="215"/>
      <c r="AC271" s="215"/>
      <c r="AD271" s="215"/>
      <c r="AE271" s="215"/>
      <c r="AF271" s="215"/>
      <c r="AG271" s="216"/>
      <c r="AJ271" s="214"/>
      <c r="AO271" s="214"/>
      <c r="AQ271" s="214"/>
      <c r="AU271" s="217"/>
      <c r="AV271" s="217"/>
      <c r="AW271" s="217"/>
    </row>
    <row r="272">
      <c r="C272" s="214"/>
      <c r="E272" s="215"/>
      <c r="F272" s="215"/>
      <c r="G272" s="215"/>
      <c r="H272" s="215"/>
      <c r="I272" s="215"/>
      <c r="J272" s="215"/>
      <c r="K272" s="215"/>
      <c r="L272" s="215"/>
      <c r="M272" s="215"/>
      <c r="N272" s="215"/>
      <c r="O272" s="215"/>
      <c r="P272" s="215"/>
      <c r="Q272" s="215"/>
      <c r="R272" s="215"/>
      <c r="S272" s="215"/>
      <c r="T272" s="215"/>
      <c r="U272" s="215"/>
      <c r="V272" s="215"/>
      <c r="W272" s="215"/>
      <c r="X272" s="215"/>
      <c r="Y272" s="215"/>
      <c r="Z272" s="215"/>
      <c r="AA272" s="215"/>
      <c r="AB272" s="215"/>
      <c r="AC272" s="215"/>
      <c r="AD272" s="215"/>
      <c r="AE272" s="215"/>
      <c r="AF272" s="215"/>
      <c r="AG272" s="216"/>
      <c r="AJ272" s="214"/>
      <c r="AO272" s="214"/>
      <c r="AQ272" s="214"/>
      <c r="AU272" s="217"/>
      <c r="AV272" s="217"/>
      <c r="AW272" s="217"/>
    </row>
    <row r="273">
      <c r="C273" s="214"/>
      <c r="E273" s="215"/>
      <c r="F273" s="215"/>
      <c r="G273" s="215"/>
      <c r="H273" s="215"/>
      <c r="I273" s="215"/>
      <c r="J273" s="215"/>
      <c r="K273" s="215"/>
      <c r="L273" s="215"/>
      <c r="M273" s="215"/>
      <c r="N273" s="215"/>
      <c r="O273" s="215"/>
      <c r="P273" s="215"/>
      <c r="Q273" s="215"/>
      <c r="R273" s="215"/>
      <c r="S273" s="215"/>
      <c r="T273" s="215"/>
      <c r="U273" s="215"/>
      <c r="V273" s="215"/>
      <c r="W273" s="215"/>
      <c r="X273" s="215"/>
      <c r="Y273" s="215"/>
      <c r="Z273" s="215"/>
      <c r="AA273" s="215"/>
      <c r="AB273" s="215"/>
      <c r="AC273" s="215"/>
      <c r="AD273" s="215"/>
      <c r="AE273" s="215"/>
      <c r="AF273" s="215"/>
      <c r="AG273" s="216"/>
      <c r="AJ273" s="214"/>
      <c r="AO273" s="214"/>
      <c r="AQ273" s="214"/>
      <c r="AU273" s="217"/>
      <c r="AV273" s="217"/>
      <c r="AW273" s="217"/>
    </row>
    <row r="274">
      <c r="C274" s="214"/>
      <c r="E274" s="215"/>
      <c r="F274" s="215"/>
      <c r="G274" s="215"/>
      <c r="H274" s="215"/>
      <c r="I274" s="215"/>
      <c r="J274" s="215"/>
      <c r="K274" s="215"/>
      <c r="L274" s="215"/>
      <c r="M274" s="215"/>
      <c r="N274" s="215"/>
      <c r="O274" s="215"/>
      <c r="P274" s="215"/>
      <c r="Q274" s="215"/>
      <c r="R274" s="215"/>
      <c r="S274" s="215"/>
      <c r="T274" s="215"/>
      <c r="U274" s="215"/>
      <c r="V274" s="215"/>
      <c r="W274" s="215"/>
      <c r="X274" s="215"/>
      <c r="Y274" s="215"/>
      <c r="Z274" s="215"/>
      <c r="AA274" s="215"/>
      <c r="AB274" s="215"/>
      <c r="AC274" s="215"/>
      <c r="AD274" s="215"/>
      <c r="AE274" s="215"/>
      <c r="AF274" s="215"/>
      <c r="AG274" s="216"/>
      <c r="AJ274" s="214"/>
      <c r="AO274" s="214"/>
      <c r="AQ274" s="214"/>
      <c r="AU274" s="217"/>
      <c r="AV274" s="217"/>
      <c r="AW274" s="217"/>
    </row>
    <row r="275">
      <c r="C275" s="214"/>
      <c r="E275" s="215"/>
      <c r="F275" s="215"/>
      <c r="G275" s="215"/>
      <c r="H275" s="215"/>
      <c r="I275" s="215"/>
      <c r="J275" s="215"/>
      <c r="K275" s="215"/>
      <c r="L275" s="215"/>
      <c r="M275" s="215"/>
      <c r="N275" s="215"/>
      <c r="O275" s="215"/>
      <c r="P275" s="215"/>
      <c r="Q275" s="215"/>
      <c r="R275" s="215"/>
      <c r="S275" s="215"/>
      <c r="T275" s="215"/>
      <c r="U275" s="215"/>
      <c r="V275" s="215"/>
      <c r="W275" s="215"/>
      <c r="X275" s="215"/>
      <c r="Y275" s="215"/>
      <c r="Z275" s="215"/>
      <c r="AA275" s="215"/>
      <c r="AB275" s="215"/>
      <c r="AC275" s="215"/>
      <c r="AD275" s="215"/>
      <c r="AE275" s="215"/>
      <c r="AF275" s="215"/>
      <c r="AG275" s="216"/>
      <c r="AJ275" s="214"/>
      <c r="AO275" s="214"/>
      <c r="AQ275" s="214"/>
      <c r="AU275" s="217"/>
      <c r="AV275" s="217"/>
      <c r="AW275" s="217"/>
    </row>
    <row r="276">
      <c r="C276" s="214"/>
      <c r="E276" s="215"/>
      <c r="F276" s="215"/>
      <c r="G276" s="215"/>
      <c r="H276" s="215"/>
      <c r="I276" s="215"/>
      <c r="J276" s="215"/>
      <c r="K276" s="215"/>
      <c r="L276" s="215"/>
      <c r="M276" s="215"/>
      <c r="N276" s="215"/>
      <c r="O276" s="215"/>
      <c r="P276" s="215"/>
      <c r="Q276" s="215"/>
      <c r="R276" s="215"/>
      <c r="S276" s="215"/>
      <c r="T276" s="215"/>
      <c r="U276" s="215"/>
      <c r="V276" s="215"/>
      <c r="W276" s="215"/>
      <c r="X276" s="215"/>
      <c r="Y276" s="215"/>
      <c r="Z276" s="215"/>
      <c r="AA276" s="215"/>
      <c r="AB276" s="215"/>
      <c r="AC276" s="215"/>
      <c r="AD276" s="215"/>
      <c r="AE276" s="215"/>
      <c r="AF276" s="215"/>
      <c r="AG276" s="216"/>
      <c r="AJ276" s="214"/>
      <c r="AO276" s="214"/>
      <c r="AQ276" s="214"/>
      <c r="AU276" s="217"/>
      <c r="AV276" s="217"/>
      <c r="AW276" s="217"/>
    </row>
    <row r="277">
      <c r="C277" s="214"/>
      <c r="E277" s="215"/>
      <c r="F277" s="215"/>
      <c r="G277" s="215"/>
      <c r="H277" s="215"/>
      <c r="I277" s="215"/>
      <c r="J277" s="215"/>
      <c r="K277" s="215"/>
      <c r="L277" s="215"/>
      <c r="M277" s="215"/>
      <c r="N277" s="215"/>
      <c r="O277" s="215"/>
      <c r="P277" s="215"/>
      <c r="Q277" s="215"/>
      <c r="R277" s="215"/>
      <c r="S277" s="215"/>
      <c r="T277" s="215"/>
      <c r="U277" s="215"/>
      <c r="V277" s="215"/>
      <c r="W277" s="215"/>
      <c r="X277" s="215"/>
      <c r="Y277" s="215"/>
      <c r="Z277" s="215"/>
      <c r="AA277" s="215"/>
      <c r="AB277" s="215"/>
      <c r="AC277" s="215"/>
      <c r="AD277" s="215"/>
      <c r="AE277" s="215"/>
      <c r="AF277" s="215"/>
      <c r="AG277" s="216"/>
      <c r="AJ277" s="214"/>
      <c r="AO277" s="214"/>
      <c r="AQ277" s="214"/>
      <c r="AU277" s="217"/>
      <c r="AV277" s="217"/>
      <c r="AW277" s="217"/>
    </row>
    <row r="278">
      <c r="C278" s="214"/>
      <c r="E278" s="215"/>
      <c r="F278" s="215"/>
      <c r="G278" s="215"/>
      <c r="H278" s="215"/>
      <c r="I278" s="215"/>
      <c r="J278" s="215"/>
      <c r="K278" s="215"/>
      <c r="L278" s="215"/>
      <c r="M278" s="215"/>
      <c r="N278" s="215"/>
      <c r="O278" s="215"/>
      <c r="P278" s="215"/>
      <c r="Q278" s="215"/>
      <c r="R278" s="215"/>
      <c r="S278" s="215"/>
      <c r="T278" s="215"/>
      <c r="U278" s="215"/>
      <c r="V278" s="215"/>
      <c r="W278" s="215"/>
      <c r="X278" s="215"/>
      <c r="Y278" s="215"/>
      <c r="Z278" s="215"/>
      <c r="AA278" s="215"/>
      <c r="AB278" s="215"/>
      <c r="AC278" s="215"/>
      <c r="AD278" s="215"/>
      <c r="AE278" s="215"/>
      <c r="AF278" s="215"/>
      <c r="AG278" s="216"/>
      <c r="AJ278" s="214"/>
      <c r="AO278" s="214"/>
      <c r="AQ278" s="214"/>
      <c r="AU278" s="217"/>
      <c r="AV278" s="217"/>
      <c r="AW278" s="217"/>
    </row>
    <row r="279">
      <c r="C279" s="214"/>
      <c r="E279" s="215"/>
      <c r="F279" s="215"/>
      <c r="G279" s="215"/>
      <c r="H279" s="215"/>
      <c r="I279" s="215"/>
      <c r="J279" s="215"/>
      <c r="K279" s="215"/>
      <c r="L279" s="215"/>
      <c r="M279" s="215"/>
      <c r="N279" s="215"/>
      <c r="O279" s="215"/>
      <c r="P279" s="215"/>
      <c r="Q279" s="215"/>
      <c r="R279" s="215"/>
      <c r="S279" s="215"/>
      <c r="T279" s="215"/>
      <c r="U279" s="215"/>
      <c r="V279" s="215"/>
      <c r="W279" s="215"/>
      <c r="X279" s="215"/>
      <c r="Y279" s="215"/>
      <c r="Z279" s="215"/>
      <c r="AA279" s="215"/>
      <c r="AB279" s="215"/>
      <c r="AC279" s="215"/>
      <c r="AD279" s="215"/>
      <c r="AE279" s="215"/>
      <c r="AF279" s="215"/>
      <c r="AG279" s="216"/>
      <c r="AJ279" s="214"/>
      <c r="AO279" s="214"/>
      <c r="AQ279" s="214"/>
      <c r="AU279" s="217"/>
      <c r="AV279" s="217"/>
      <c r="AW279" s="217"/>
    </row>
    <row r="280">
      <c r="C280" s="214"/>
      <c r="E280" s="215"/>
      <c r="F280" s="215"/>
      <c r="G280" s="215"/>
      <c r="H280" s="215"/>
      <c r="I280" s="215"/>
      <c r="J280" s="215"/>
      <c r="K280" s="215"/>
      <c r="L280" s="215"/>
      <c r="M280" s="215"/>
      <c r="N280" s="215"/>
      <c r="O280" s="215"/>
      <c r="P280" s="215"/>
      <c r="Q280" s="215"/>
      <c r="R280" s="215"/>
      <c r="S280" s="215"/>
      <c r="T280" s="215"/>
      <c r="U280" s="215"/>
      <c r="V280" s="215"/>
      <c r="W280" s="215"/>
      <c r="X280" s="215"/>
      <c r="Y280" s="215"/>
      <c r="Z280" s="215"/>
      <c r="AA280" s="215"/>
      <c r="AB280" s="215"/>
      <c r="AC280" s="215"/>
      <c r="AD280" s="215"/>
      <c r="AE280" s="215"/>
      <c r="AF280" s="215"/>
      <c r="AG280" s="216"/>
      <c r="AJ280" s="214"/>
      <c r="AO280" s="214"/>
      <c r="AQ280" s="214"/>
      <c r="AU280" s="217"/>
      <c r="AV280" s="217"/>
      <c r="AW280" s="217"/>
    </row>
    <row r="281">
      <c r="C281" s="214"/>
      <c r="E281" s="215"/>
      <c r="F281" s="215"/>
      <c r="G281" s="215"/>
      <c r="H281" s="215"/>
      <c r="I281" s="215"/>
      <c r="J281" s="215"/>
      <c r="K281" s="215"/>
      <c r="L281" s="215"/>
      <c r="M281" s="215"/>
      <c r="N281" s="215"/>
      <c r="O281" s="215"/>
      <c r="P281" s="215"/>
      <c r="Q281" s="215"/>
      <c r="R281" s="215"/>
      <c r="S281" s="215"/>
      <c r="T281" s="215"/>
      <c r="U281" s="215"/>
      <c r="V281" s="215"/>
      <c r="W281" s="215"/>
      <c r="X281" s="215"/>
      <c r="Y281" s="215"/>
      <c r="Z281" s="215"/>
      <c r="AA281" s="215"/>
      <c r="AB281" s="215"/>
      <c r="AC281" s="215"/>
      <c r="AD281" s="215"/>
      <c r="AE281" s="215"/>
      <c r="AF281" s="215"/>
      <c r="AG281" s="216"/>
      <c r="AJ281" s="214"/>
      <c r="AO281" s="214"/>
      <c r="AQ281" s="214"/>
      <c r="AU281" s="217"/>
      <c r="AV281" s="217"/>
      <c r="AW281" s="217"/>
    </row>
    <row r="282">
      <c r="C282" s="214"/>
      <c r="E282" s="215"/>
      <c r="F282" s="215"/>
      <c r="G282" s="215"/>
      <c r="H282" s="215"/>
      <c r="I282" s="215"/>
      <c r="J282" s="215"/>
      <c r="K282" s="215"/>
      <c r="L282" s="215"/>
      <c r="M282" s="215"/>
      <c r="N282" s="215"/>
      <c r="O282" s="215"/>
      <c r="P282" s="215"/>
      <c r="Q282" s="215"/>
      <c r="R282" s="215"/>
      <c r="S282" s="215"/>
      <c r="T282" s="215"/>
      <c r="U282" s="215"/>
      <c r="V282" s="215"/>
      <c r="W282" s="215"/>
      <c r="X282" s="215"/>
      <c r="Y282" s="215"/>
      <c r="Z282" s="215"/>
      <c r="AA282" s="215"/>
      <c r="AB282" s="215"/>
      <c r="AC282" s="215"/>
      <c r="AD282" s="215"/>
      <c r="AE282" s="215"/>
      <c r="AF282" s="215"/>
      <c r="AG282" s="216"/>
      <c r="AJ282" s="214"/>
      <c r="AO282" s="214"/>
      <c r="AQ282" s="214"/>
      <c r="AU282" s="217"/>
      <c r="AV282" s="217"/>
      <c r="AW282" s="217"/>
    </row>
    <row r="283">
      <c r="C283" s="214"/>
      <c r="E283" s="215"/>
      <c r="F283" s="215"/>
      <c r="G283" s="215"/>
      <c r="H283" s="215"/>
      <c r="I283" s="215"/>
      <c r="J283" s="215"/>
      <c r="K283" s="215"/>
      <c r="L283" s="215"/>
      <c r="M283" s="215"/>
      <c r="N283" s="215"/>
      <c r="O283" s="215"/>
      <c r="P283" s="215"/>
      <c r="Q283" s="215"/>
      <c r="R283" s="215"/>
      <c r="S283" s="215"/>
      <c r="T283" s="215"/>
      <c r="U283" s="215"/>
      <c r="V283" s="215"/>
      <c r="W283" s="215"/>
      <c r="X283" s="215"/>
      <c r="Y283" s="215"/>
      <c r="Z283" s="215"/>
      <c r="AA283" s="215"/>
      <c r="AB283" s="215"/>
      <c r="AC283" s="215"/>
      <c r="AD283" s="215"/>
      <c r="AE283" s="215"/>
      <c r="AF283" s="215"/>
      <c r="AG283" s="216"/>
      <c r="AJ283" s="214"/>
      <c r="AO283" s="214"/>
      <c r="AQ283" s="214"/>
      <c r="AU283" s="217"/>
      <c r="AV283" s="217"/>
      <c r="AW283" s="217"/>
    </row>
    <row r="284">
      <c r="C284" s="214"/>
      <c r="E284" s="215"/>
      <c r="F284" s="215"/>
      <c r="G284" s="215"/>
      <c r="H284" s="215"/>
      <c r="I284" s="215"/>
      <c r="J284" s="215"/>
      <c r="K284" s="215"/>
      <c r="L284" s="215"/>
      <c r="M284" s="215"/>
      <c r="N284" s="215"/>
      <c r="O284" s="215"/>
      <c r="P284" s="215"/>
      <c r="Q284" s="215"/>
      <c r="R284" s="215"/>
      <c r="S284" s="215"/>
      <c r="T284" s="215"/>
      <c r="U284" s="215"/>
      <c r="V284" s="215"/>
      <c r="W284" s="215"/>
      <c r="X284" s="215"/>
      <c r="Y284" s="215"/>
      <c r="Z284" s="215"/>
      <c r="AA284" s="215"/>
      <c r="AB284" s="215"/>
      <c r="AC284" s="215"/>
      <c r="AD284" s="215"/>
      <c r="AE284" s="215"/>
      <c r="AF284" s="215"/>
      <c r="AG284" s="216"/>
      <c r="AJ284" s="214"/>
      <c r="AO284" s="214"/>
      <c r="AQ284" s="214"/>
      <c r="AU284" s="217"/>
      <c r="AV284" s="217"/>
      <c r="AW284" s="217"/>
    </row>
    <row r="285">
      <c r="C285" s="214"/>
      <c r="E285" s="215"/>
      <c r="F285" s="215"/>
      <c r="G285" s="215"/>
      <c r="H285" s="215"/>
      <c r="I285" s="215"/>
      <c r="J285" s="215"/>
      <c r="K285" s="215"/>
      <c r="L285" s="215"/>
      <c r="M285" s="215"/>
      <c r="N285" s="215"/>
      <c r="O285" s="215"/>
      <c r="P285" s="215"/>
      <c r="Q285" s="215"/>
      <c r="R285" s="215"/>
      <c r="S285" s="215"/>
      <c r="T285" s="215"/>
      <c r="U285" s="215"/>
      <c r="V285" s="215"/>
      <c r="W285" s="215"/>
      <c r="X285" s="215"/>
      <c r="Y285" s="215"/>
      <c r="Z285" s="215"/>
      <c r="AA285" s="215"/>
      <c r="AB285" s="215"/>
      <c r="AC285" s="215"/>
      <c r="AD285" s="215"/>
      <c r="AE285" s="215"/>
      <c r="AF285" s="215"/>
      <c r="AG285" s="216"/>
      <c r="AJ285" s="214"/>
      <c r="AO285" s="214"/>
      <c r="AQ285" s="214"/>
      <c r="AU285" s="217"/>
      <c r="AV285" s="217"/>
      <c r="AW285" s="217"/>
    </row>
    <row r="286">
      <c r="C286" s="214"/>
      <c r="E286" s="215"/>
      <c r="F286" s="215"/>
      <c r="G286" s="215"/>
      <c r="H286" s="215"/>
      <c r="I286" s="215"/>
      <c r="J286" s="215"/>
      <c r="K286" s="215"/>
      <c r="L286" s="215"/>
      <c r="M286" s="215"/>
      <c r="N286" s="215"/>
      <c r="O286" s="215"/>
      <c r="P286" s="215"/>
      <c r="Q286" s="215"/>
      <c r="R286" s="215"/>
      <c r="S286" s="215"/>
      <c r="T286" s="215"/>
      <c r="U286" s="215"/>
      <c r="V286" s="215"/>
      <c r="W286" s="215"/>
      <c r="X286" s="215"/>
      <c r="Y286" s="215"/>
      <c r="Z286" s="215"/>
      <c r="AA286" s="215"/>
      <c r="AB286" s="215"/>
      <c r="AC286" s="215"/>
      <c r="AD286" s="215"/>
      <c r="AE286" s="215"/>
      <c r="AF286" s="215"/>
      <c r="AG286" s="216"/>
      <c r="AJ286" s="214"/>
      <c r="AO286" s="214"/>
      <c r="AQ286" s="214"/>
      <c r="AU286" s="217"/>
      <c r="AV286" s="217"/>
      <c r="AW286" s="217"/>
    </row>
    <row r="287">
      <c r="C287" s="214"/>
      <c r="E287" s="215"/>
      <c r="F287" s="215"/>
      <c r="G287" s="215"/>
      <c r="H287" s="215"/>
      <c r="I287" s="215"/>
      <c r="J287" s="215"/>
      <c r="K287" s="215"/>
      <c r="L287" s="215"/>
      <c r="M287" s="215"/>
      <c r="N287" s="215"/>
      <c r="O287" s="215"/>
      <c r="P287" s="215"/>
      <c r="Q287" s="215"/>
      <c r="R287" s="215"/>
      <c r="S287" s="215"/>
      <c r="T287" s="215"/>
      <c r="U287" s="215"/>
      <c r="V287" s="215"/>
      <c r="W287" s="215"/>
      <c r="X287" s="215"/>
      <c r="Y287" s="215"/>
      <c r="Z287" s="215"/>
      <c r="AA287" s="215"/>
      <c r="AB287" s="215"/>
      <c r="AC287" s="215"/>
      <c r="AD287" s="215"/>
      <c r="AE287" s="215"/>
      <c r="AF287" s="215"/>
      <c r="AG287" s="216"/>
      <c r="AJ287" s="214"/>
      <c r="AO287" s="214"/>
      <c r="AQ287" s="214"/>
      <c r="AU287" s="217"/>
      <c r="AV287" s="217"/>
      <c r="AW287" s="217"/>
    </row>
    <row r="288">
      <c r="C288" s="214"/>
      <c r="E288" s="215"/>
      <c r="F288" s="215"/>
      <c r="G288" s="215"/>
      <c r="H288" s="215"/>
      <c r="I288" s="215"/>
      <c r="J288" s="215"/>
      <c r="K288" s="215"/>
      <c r="L288" s="215"/>
      <c r="M288" s="215"/>
      <c r="N288" s="215"/>
      <c r="O288" s="215"/>
      <c r="P288" s="215"/>
      <c r="Q288" s="215"/>
      <c r="R288" s="215"/>
      <c r="S288" s="215"/>
      <c r="T288" s="215"/>
      <c r="U288" s="215"/>
      <c r="V288" s="215"/>
      <c r="W288" s="215"/>
      <c r="X288" s="215"/>
      <c r="Y288" s="215"/>
      <c r="Z288" s="215"/>
      <c r="AA288" s="215"/>
      <c r="AB288" s="215"/>
      <c r="AC288" s="215"/>
      <c r="AD288" s="215"/>
      <c r="AE288" s="215"/>
      <c r="AF288" s="215"/>
      <c r="AG288" s="216"/>
      <c r="AJ288" s="214"/>
      <c r="AO288" s="214"/>
      <c r="AQ288" s="214"/>
      <c r="AU288" s="217"/>
      <c r="AV288" s="217"/>
      <c r="AW288" s="217"/>
    </row>
    <row r="289">
      <c r="C289" s="214"/>
      <c r="E289" s="215"/>
      <c r="F289" s="215"/>
      <c r="G289" s="215"/>
      <c r="H289" s="215"/>
      <c r="I289" s="215"/>
      <c r="J289" s="215"/>
      <c r="K289" s="215"/>
      <c r="L289" s="215"/>
      <c r="M289" s="215"/>
      <c r="N289" s="215"/>
      <c r="O289" s="215"/>
      <c r="P289" s="215"/>
      <c r="Q289" s="215"/>
      <c r="R289" s="215"/>
      <c r="S289" s="215"/>
      <c r="T289" s="215"/>
      <c r="U289" s="215"/>
      <c r="V289" s="215"/>
      <c r="W289" s="215"/>
      <c r="X289" s="215"/>
      <c r="Y289" s="215"/>
      <c r="Z289" s="215"/>
      <c r="AA289" s="215"/>
      <c r="AB289" s="215"/>
      <c r="AC289" s="215"/>
      <c r="AD289" s="215"/>
      <c r="AE289" s="215"/>
      <c r="AF289" s="215"/>
      <c r="AG289" s="216"/>
      <c r="AJ289" s="214"/>
      <c r="AO289" s="214"/>
      <c r="AQ289" s="214"/>
      <c r="AU289" s="217"/>
      <c r="AV289" s="217"/>
      <c r="AW289" s="217"/>
    </row>
    <row r="290">
      <c r="C290" s="214"/>
      <c r="E290" s="215"/>
      <c r="F290" s="215"/>
      <c r="G290" s="215"/>
      <c r="H290" s="215"/>
      <c r="I290" s="215"/>
      <c r="J290" s="215"/>
      <c r="K290" s="215"/>
      <c r="L290" s="215"/>
      <c r="M290" s="215"/>
      <c r="N290" s="215"/>
      <c r="O290" s="215"/>
      <c r="P290" s="215"/>
      <c r="Q290" s="215"/>
      <c r="R290" s="215"/>
      <c r="S290" s="215"/>
      <c r="T290" s="215"/>
      <c r="U290" s="215"/>
      <c r="V290" s="215"/>
      <c r="W290" s="215"/>
      <c r="X290" s="215"/>
      <c r="Y290" s="215"/>
      <c r="Z290" s="215"/>
      <c r="AA290" s="215"/>
      <c r="AB290" s="215"/>
      <c r="AC290" s="215"/>
      <c r="AD290" s="215"/>
      <c r="AE290" s="215"/>
      <c r="AF290" s="215"/>
      <c r="AG290" s="216"/>
      <c r="AJ290" s="214"/>
      <c r="AO290" s="214"/>
      <c r="AQ290" s="214"/>
      <c r="AU290" s="217"/>
      <c r="AV290" s="217"/>
      <c r="AW290" s="217"/>
    </row>
    <row r="291">
      <c r="C291" s="214"/>
      <c r="E291" s="215"/>
      <c r="F291" s="215"/>
      <c r="G291" s="215"/>
      <c r="H291" s="215"/>
      <c r="I291" s="215"/>
      <c r="J291" s="215"/>
      <c r="K291" s="215"/>
      <c r="L291" s="215"/>
      <c r="M291" s="215"/>
      <c r="N291" s="215"/>
      <c r="O291" s="215"/>
      <c r="P291" s="215"/>
      <c r="Q291" s="215"/>
      <c r="R291" s="215"/>
      <c r="S291" s="215"/>
      <c r="T291" s="215"/>
      <c r="U291" s="215"/>
      <c r="V291" s="215"/>
      <c r="W291" s="215"/>
      <c r="X291" s="215"/>
      <c r="Y291" s="215"/>
      <c r="Z291" s="215"/>
      <c r="AA291" s="215"/>
      <c r="AB291" s="215"/>
      <c r="AC291" s="215"/>
      <c r="AD291" s="215"/>
      <c r="AE291" s="215"/>
      <c r="AF291" s="215"/>
      <c r="AG291" s="216"/>
      <c r="AJ291" s="214"/>
      <c r="AO291" s="214"/>
      <c r="AQ291" s="214"/>
      <c r="AU291" s="217"/>
      <c r="AV291" s="217"/>
      <c r="AW291" s="217"/>
    </row>
    <row r="292">
      <c r="C292" s="214"/>
      <c r="E292" s="215"/>
      <c r="F292" s="215"/>
      <c r="G292" s="215"/>
      <c r="H292" s="215"/>
      <c r="I292" s="215"/>
      <c r="J292" s="215"/>
      <c r="K292" s="215"/>
      <c r="L292" s="215"/>
      <c r="M292" s="215"/>
      <c r="N292" s="215"/>
      <c r="O292" s="215"/>
      <c r="P292" s="215"/>
      <c r="Q292" s="215"/>
      <c r="R292" s="215"/>
      <c r="S292" s="215"/>
      <c r="T292" s="215"/>
      <c r="U292" s="215"/>
      <c r="V292" s="215"/>
      <c r="W292" s="215"/>
      <c r="X292" s="215"/>
      <c r="Y292" s="215"/>
      <c r="Z292" s="215"/>
      <c r="AA292" s="215"/>
      <c r="AB292" s="215"/>
      <c r="AC292" s="215"/>
      <c r="AD292" s="215"/>
      <c r="AE292" s="215"/>
      <c r="AF292" s="215"/>
      <c r="AG292" s="216"/>
      <c r="AJ292" s="214"/>
      <c r="AO292" s="214"/>
      <c r="AQ292" s="214"/>
      <c r="AU292" s="217"/>
      <c r="AV292" s="217"/>
      <c r="AW292" s="217"/>
    </row>
    <row r="293">
      <c r="C293" s="214"/>
      <c r="E293" s="215"/>
      <c r="F293" s="215"/>
      <c r="G293" s="215"/>
      <c r="H293" s="215"/>
      <c r="I293" s="215"/>
      <c r="J293" s="215"/>
      <c r="K293" s="215"/>
      <c r="L293" s="215"/>
      <c r="M293" s="215"/>
      <c r="N293" s="215"/>
      <c r="O293" s="215"/>
      <c r="P293" s="215"/>
      <c r="Q293" s="215"/>
      <c r="R293" s="215"/>
      <c r="S293" s="215"/>
      <c r="T293" s="215"/>
      <c r="U293" s="215"/>
      <c r="V293" s="215"/>
      <c r="W293" s="215"/>
      <c r="X293" s="215"/>
      <c r="Y293" s="215"/>
      <c r="Z293" s="215"/>
      <c r="AA293" s="215"/>
      <c r="AB293" s="215"/>
      <c r="AC293" s="215"/>
      <c r="AD293" s="215"/>
      <c r="AE293" s="215"/>
      <c r="AF293" s="215"/>
      <c r="AG293" s="216"/>
      <c r="AJ293" s="214"/>
      <c r="AO293" s="214"/>
      <c r="AQ293" s="214"/>
      <c r="AU293" s="217"/>
      <c r="AV293" s="217"/>
      <c r="AW293" s="217"/>
    </row>
    <row r="294">
      <c r="C294" s="214"/>
      <c r="E294" s="215"/>
      <c r="F294" s="215"/>
      <c r="G294" s="215"/>
      <c r="H294" s="215"/>
      <c r="I294" s="215"/>
      <c r="J294" s="215"/>
      <c r="K294" s="215"/>
      <c r="L294" s="215"/>
      <c r="M294" s="215"/>
      <c r="N294" s="215"/>
      <c r="O294" s="215"/>
      <c r="P294" s="215"/>
      <c r="Q294" s="215"/>
      <c r="R294" s="215"/>
      <c r="S294" s="215"/>
      <c r="T294" s="215"/>
      <c r="U294" s="215"/>
      <c r="V294" s="215"/>
      <c r="W294" s="215"/>
      <c r="X294" s="215"/>
      <c r="Y294" s="215"/>
      <c r="Z294" s="215"/>
      <c r="AA294" s="215"/>
      <c r="AB294" s="215"/>
      <c r="AC294" s="215"/>
      <c r="AD294" s="215"/>
      <c r="AE294" s="215"/>
      <c r="AF294" s="215"/>
      <c r="AG294" s="216"/>
      <c r="AJ294" s="214"/>
      <c r="AO294" s="214"/>
      <c r="AQ294" s="214"/>
      <c r="AU294" s="217"/>
      <c r="AV294" s="217"/>
      <c r="AW294" s="217"/>
    </row>
    <row r="295">
      <c r="C295" s="214"/>
      <c r="E295" s="215"/>
      <c r="F295" s="215"/>
      <c r="G295" s="215"/>
      <c r="H295" s="215"/>
      <c r="I295" s="215"/>
      <c r="J295" s="215"/>
      <c r="K295" s="215"/>
      <c r="L295" s="215"/>
      <c r="M295" s="215"/>
      <c r="N295" s="215"/>
      <c r="O295" s="215"/>
      <c r="P295" s="215"/>
      <c r="Q295" s="215"/>
      <c r="R295" s="215"/>
      <c r="S295" s="215"/>
      <c r="T295" s="215"/>
      <c r="U295" s="215"/>
      <c r="V295" s="215"/>
      <c r="W295" s="215"/>
      <c r="X295" s="215"/>
      <c r="Y295" s="215"/>
      <c r="Z295" s="215"/>
      <c r="AA295" s="215"/>
      <c r="AB295" s="215"/>
      <c r="AC295" s="215"/>
      <c r="AD295" s="215"/>
      <c r="AE295" s="215"/>
      <c r="AF295" s="215"/>
      <c r="AG295" s="216"/>
      <c r="AJ295" s="214"/>
      <c r="AO295" s="214"/>
      <c r="AQ295" s="214"/>
      <c r="AU295" s="217"/>
      <c r="AV295" s="217"/>
      <c r="AW295" s="217"/>
    </row>
    <row r="296">
      <c r="C296" s="214"/>
      <c r="E296" s="215"/>
      <c r="F296" s="215"/>
      <c r="G296" s="215"/>
      <c r="H296" s="215"/>
      <c r="I296" s="215"/>
      <c r="J296" s="215"/>
      <c r="K296" s="215"/>
      <c r="L296" s="215"/>
      <c r="M296" s="215"/>
      <c r="N296" s="215"/>
      <c r="O296" s="215"/>
      <c r="P296" s="215"/>
      <c r="Q296" s="215"/>
      <c r="R296" s="215"/>
      <c r="S296" s="215"/>
      <c r="T296" s="215"/>
      <c r="U296" s="215"/>
      <c r="V296" s="215"/>
      <c r="W296" s="215"/>
      <c r="X296" s="215"/>
      <c r="Y296" s="215"/>
      <c r="Z296" s="215"/>
      <c r="AA296" s="215"/>
      <c r="AB296" s="215"/>
      <c r="AC296" s="215"/>
      <c r="AD296" s="215"/>
      <c r="AE296" s="215"/>
      <c r="AF296" s="215"/>
      <c r="AG296" s="216"/>
      <c r="AJ296" s="214"/>
      <c r="AO296" s="214"/>
      <c r="AQ296" s="214"/>
      <c r="AU296" s="217"/>
      <c r="AV296" s="217"/>
      <c r="AW296" s="217"/>
    </row>
    <row r="297">
      <c r="C297" s="214"/>
      <c r="E297" s="215"/>
      <c r="F297" s="215"/>
      <c r="G297" s="215"/>
      <c r="H297" s="215"/>
      <c r="I297" s="215"/>
      <c r="J297" s="215"/>
      <c r="K297" s="215"/>
      <c r="L297" s="215"/>
      <c r="M297" s="215"/>
      <c r="N297" s="215"/>
      <c r="O297" s="215"/>
      <c r="P297" s="215"/>
      <c r="Q297" s="215"/>
      <c r="R297" s="215"/>
      <c r="S297" s="215"/>
      <c r="T297" s="215"/>
      <c r="U297" s="215"/>
      <c r="V297" s="215"/>
      <c r="W297" s="215"/>
      <c r="X297" s="215"/>
      <c r="Y297" s="215"/>
      <c r="Z297" s="215"/>
      <c r="AA297" s="215"/>
      <c r="AB297" s="215"/>
      <c r="AC297" s="215"/>
      <c r="AD297" s="215"/>
      <c r="AE297" s="215"/>
      <c r="AF297" s="215"/>
      <c r="AG297" s="216"/>
      <c r="AJ297" s="214"/>
      <c r="AO297" s="214"/>
      <c r="AQ297" s="214"/>
      <c r="AU297" s="217"/>
      <c r="AV297" s="217"/>
      <c r="AW297" s="217"/>
    </row>
    <row r="298">
      <c r="C298" s="214"/>
      <c r="E298" s="215"/>
      <c r="F298" s="215"/>
      <c r="G298" s="215"/>
      <c r="H298" s="215"/>
      <c r="I298" s="215"/>
      <c r="J298" s="215"/>
      <c r="K298" s="215"/>
      <c r="L298" s="215"/>
      <c r="M298" s="215"/>
      <c r="N298" s="215"/>
      <c r="O298" s="215"/>
      <c r="P298" s="215"/>
      <c r="Q298" s="215"/>
      <c r="R298" s="215"/>
      <c r="S298" s="215"/>
      <c r="T298" s="215"/>
      <c r="U298" s="215"/>
      <c r="V298" s="215"/>
      <c r="W298" s="215"/>
      <c r="X298" s="215"/>
      <c r="Y298" s="215"/>
      <c r="Z298" s="215"/>
      <c r="AA298" s="215"/>
      <c r="AB298" s="215"/>
      <c r="AC298" s="215"/>
      <c r="AD298" s="215"/>
      <c r="AE298" s="215"/>
      <c r="AF298" s="215"/>
      <c r="AG298" s="216"/>
      <c r="AJ298" s="214"/>
      <c r="AO298" s="214"/>
      <c r="AQ298" s="214"/>
      <c r="AU298" s="217"/>
      <c r="AV298" s="217"/>
      <c r="AW298" s="217"/>
    </row>
    <row r="299">
      <c r="C299" s="214"/>
      <c r="E299" s="215"/>
      <c r="F299" s="215"/>
      <c r="G299" s="215"/>
      <c r="H299" s="215"/>
      <c r="I299" s="215"/>
      <c r="J299" s="215"/>
      <c r="K299" s="215"/>
      <c r="L299" s="215"/>
      <c r="M299" s="215"/>
      <c r="N299" s="215"/>
      <c r="O299" s="215"/>
      <c r="P299" s="215"/>
      <c r="Q299" s="215"/>
      <c r="R299" s="215"/>
      <c r="S299" s="215"/>
      <c r="T299" s="215"/>
      <c r="U299" s="215"/>
      <c r="V299" s="215"/>
      <c r="W299" s="215"/>
      <c r="X299" s="215"/>
      <c r="Y299" s="215"/>
      <c r="Z299" s="215"/>
      <c r="AA299" s="215"/>
      <c r="AB299" s="215"/>
      <c r="AC299" s="215"/>
      <c r="AD299" s="215"/>
      <c r="AE299" s="215"/>
      <c r="AF299" s="215"/>
      <c r="AG299" s="216"/>
      <c r="AJ299" s="214"/>
      <c r="AO299" s="214"/>
      <c r="AQ299" s="214"/>
      <c r="AU299" s="217"/>
      <c r="AV299" s="217"/>
      <c r="AW299" s="217"/>
    </row>
    <row r="300">
      <c r="C300" s="214"/>
      <c r="E300" s="215"/>
      <c r="F300" s="215"/>
      <c r="G300" s="215"/>
      <c r="H300" s="215"/>
      <c r="I300" s="215"/>
      <c r="J300" s="215"/>
      <c r="K300" s="215"/>
      <c r="L300" s="215"/>
      <c r="M300" s="215"/>
      <c r="N300" s="215"/>
      <c r="O300" s="215"/>
      <c r="P300" s="215"/>
      <c r="Q300" s="215"/>
      <c r="R300" s="215"/>
      <c r="S300" s="215"/>
      <c r="T300" s="215"/>
      <c r="U300" s="215"/>
      <c r="V300" s="215"/>
      <c r="W300" s="215"/>
      <c r="X300" s="215"/>
      <c r="Y300" s="215"/>
      <c r="Z300" s="215"/>
      <c r="AA300" s="215"/>
      <c r="AB300" s="215"/>
      <c r="AC300" s="215"/>
      <c r="AD300" s="215"/>
      <c r="AE300" s="215"/>
      <c r="AF300" s="215"/>
      <c r="AG300" s="216"/>
      <c r="AJ300" s="214"/>
      <c r="AO300" s="214"/>
      <c r="AQ300" s="214"/>
      <c r="AU300" s="217"/>
      <c r="AV300" s="217"/>
      <c r="AW300" s="217"/>
    </row>
    <row r="301">
      <c r="C301" s="214"/>
      <c r="E301" s="215"/>
      <c r="F301" s="215"/>
      <c r="G301" s="215"/>
      <c r="H301" s="215"/>
      <c r="I301" s="215"/>
      <c r="J301" s="215"/>
      <c r="K301" s="215"/>
      <c r="L301" s="215"/>
      <c r="M301" s="215"/>
      <c r="N301" s="215"/>
      <c r="O301" s="215"/>
      <c r="P301" s="215"/>
      <c r="Q301" s="215"/>
      <c r="R301" s="215"/>
      <c r="S301" s="215"/>
      <c r="T301" s="215"/>
      <c r="U301" s="215"/>
      <c r="V301" s="215"/>
      <c r="W301" s="215"/>
      <c r="X301" s="215"/>
      <c r="Y301" s="215"/>
      <c r="Z301" s="215"/>
      <c r="AA301" s="215"/>
      <c r="AB301" s="215"/>
      <c r="AC301" s="215"/>
      <c r="AD301" s="215"/>
      <c r="AE301" s="215"/>
      <c r="AF301" s="215"/>
      <c r="AG301" s="216"/>
      <c r="AJ301" s="214"/>
      <c r="AO301" s="214"/>
      <c r="AQ301" s="214"/>
      <c r="AU301" s="217"/>
      <c r="AV301" s="217"/>
      <c r="AW301" s="217"/>
    </row>
    <row r="302">
      <c r="C302" s="214"/>
      <c r="E302" s="215"/>
      <c r="F302" s="215"/>
      <c r="G302" s="215"/>
      <c r="H302" s="215"/>
      <c r="I302" s="215"/>
      <c r="J302" s="215"/>
      <c r="K302" s="215"/>
      <c r="L302" s="215"/>
      <c r="M302" s="215"/>
      <c r="N302" s="215"/>
      <c r="O302" s="215"/>
      <c r="P302" s="215"/>
      <c r="Q302" s="215"/>
      <c r="R302" s="215"/>
      <c r="S302" s="215"/>
      <c r="T302" s="215"/>
      <c r="U302" s="215"/>
      <c r="V302" s="215"/>
      <c r="W302" s="215"/>
      <c r="X302" s="215"/>
      <c r="Y302" s="215"/>
      <c r="Z302" s="215"/>
      <c r="AA302" s="215"/>
      <c r="AB302" s="215"/>
      <c r="AC302" s="215"/>
      <c r="AD302" s="215"/>
      <c r="AE302" s="215"/>
      <c r="AF302" s="215"/>
      <c r="AG302" s="216"/>
      <c r="AJ302" s="214"/>
      <c r="AO302" s="214"/>
      <c r="AQ302" s="214"/>
      <c r="AU302" s="217"/>
      <c r="AV302" s="217"/>
      <c r="AW302" s="217"/>
    </row>
    <row r="303">
      <c r="C303" s="214"/>
      <c r="E303" s="215"/>
      <c r="F303" s="215"/>
      <c r="G303" s="215"/>
      <c r="H303" s="215"/>
      <c r="I303" s="215"/>
      <c r="J303" s="215"/>
      <c r="K303" s="215"/>
      <c r="L303" s="215"/>
      <c r="M303" s="215"/>
      <c r="N303" s="215"/>
      <c r="O303" s="215"/>
      <c r="P303" s="215"/>
      <c r="Q303" s="215"/>
      <c r="R303" s="215"/>
      <c r="S303" s="215"/>
      <c r="T303" s="215"/>
      <c r="U303" s="215"/>
      <c r="V303" s="215"/>
      <c r="W303" s="215"/>
      <c r="X303" s="215"/>
      <c r="Y303" s="215"/>
      <c r="Z303" s="215"/>
      <c r="AA303" s="215"/>
      <c r="AB303" s="215"/>
      <c r="AC303" s="215"/>
      <c r="AD303" s="215"/>
      <c r="AE303" s="215"/>
      <c r="AF303" s="215"/>
      <c r="AG303" s="216"/>
      <c r="AJ303" s="214"/>
      <c r="AO303" s="214"/>
      <c r="AQ303" s="214"/>
      <c r="AU303" s="217"/>
      <c r="AV303" s="217"/>
      <c r="AW303" s="217"/>
    </row>
    <row r="304">
      <c r="C304" s="214"/>
      <c r="E304" s="215"/>
      <c r="F304" s="215"/>
      <c r="G304" s="215"/>
      <c r="H304" s="215"/>
      <c r="I304" s="215"/>
      <c r="J304" s="215"/>
      <c r="K304" s="215"/>
      <c r="L304" s="215"/>
      <c r="M304" s="215"/>
      <c r="N304" s="215"/>
      <c r="O304" s="215"/>
      <c r="P304" s="215"/>
      <c r="Q304" s="215"/>
      <c r="R304" s="215"/>
      <c r="S304" s="215"/>
      <c r="T304" s="215"/>
      <c r="U304" s="215"/>
      <c r="V304" s="215"/>
      <c r="W304" s="215"/>
      <c r="X304" s="215"/>
      <c r="Y304" s="215"/>
      <c r="Z304" s="215"/>
      <c r="AA304" s="215"/>
      <c r="AB304" s="215"/>
      <c r="AC304" s="215"/>
      <c r="AD304" s="215"/>
      <c r="AE304" s="215"/>
      <c r="AF304" s="215"/>
      <c r="AG304" s="216"/>
      <c r="AJ304" s="214"/>
      <c r="AO304" s="214"/>
      <c r="AQ304" s="214"/>
      <c r="AU304" s="217"/>
      <c r="AV304" s="217"/>
      <c r="AW304" s="217"/>
    </row>
    <row r="305">
      <c r="C305" s="214"/>
      <c r="E305" s="215"/>
      <c r="F305" s="215"/>
      <c r="G305" s="215"/>
      <c r="H305" s="215"/>
      <c r="I305" s="215"/>
      <c r="J305" s="215"/>
      <c r="K305" s="215"/>
      <c r="L305" s="215"/>
      <c r="M305" s="215"/>
      <c r="N305" s="215"/>
      <c r="O305" s="215"/>
      <c r="P305" s="215"/>
      <c r="Q305" s="215"/>
      <c r="R305" s="215"/>
      <c r="S305" s="215"/>
      <c r="T305" s="215"/>
      <c r="U305" s="215"/>
      <c r="V305" s="215"/>
      <c r="W305" s="215"/>
      <c r="X305" s="215"/>
      <c r="Y305" s="215"/>
      <c r="Z305" s="215"/>
      <c r="AA305" s="215"/>
      <c r="AB305" s="215"/>
      <c r="AC305" s="215"/>
      <c r="AD305" s="215"/>
      <c r="AE305" s="215"/>
      <c r="AF305" s="215"/>
      <c r="AG305" s="216"/>
      <c r="AJ305" s="214"/>
      <c r="AO305" s="214"/>
      <c r="AQ305" s="214"/>
      <c r="AU305" s="217"/>
      <c r="AV305" s="217"/>
      <c r="AW305" s="217"/>
    </row>
    <row r="306">
      <c r="C306" s="214"/>
      <c r="E306" s="215"/>
      <c r="F306" s="215"/>
      <c r="G306" s="215"/>
      <c r="H306" s="215"/>
      <c r="I306" s="215"/>
      <c r="J306" s="215"/>
      <c r="K306" s="215"/>
      <c r="L306" s="215"/>
      <c r="M306" s="215"/>
      <c r="N306" s="215"/>
      <c r="O306" s="215"/>
      <c r="P306" s="215"/>
      <c r="Q306" s="215"/>
      <c r="R306" s="215"/>
      <c r="S306" s="215"/>
      <c r="T306" s="215"/>
      <c r="U306" s="215"/>
      <c r="V306" s="215"/>
      <c r="W306" s="215"/>
      <c r="X306" s="215"/>
      <c r="Y306" s="215"/>
      <c r="Z306" s="215"/>
      <c r="AA306" s="215"/>
      <c r="AB306" s="215"/>
      <c r="AC306" s="215"/>
      <c r="AD306" s="215"/>
      <c r="AE306" s="215"/>
      <c r="AF306" s="215"/>
      <c r="AG306" s="216"/>
      <c r="AJ306" s="214"/>
      <c r="AO306" s="214"/>
      <c r="AQ306" s="214"/>
      <c r="AU306" s="217"/>
      <c r="AV306" s="217"/>
      <c r="AW306" s="217"/>
    </row>
    <row r="307">
      <c r="C307" s="214"/>
      <c r="E307" s="215"/>
      <c r="F307" s="215"/>
      <c r="G307" s="215"/>
      <c r="H307" s="215"/>
      <c r="I307" s="215"/>
      <c r="J307" s="215"/>
      <c r="K307" s="215"/>
      <c r="L307" s="215"/>
      <c r="M307" s="215"/>
      <c r="N307" s="215"/>
      <c r="O307" s="215"/>
      <c r="P307" s="215"/>
      <c r="Q307" s="215"/>
      <c r="R307" s="215"/>
      <c r="S307" s="215"/>
      <c r="T307" s="215"/>
      <c r="U307" s="215"/>
      <c r="V307" s="215"/>
      <c r="W307" s="215"/>
      <c r="X307" s="215"/>
      <c r="Y307" s="215"/>
      <c r="Z307" s="215"/>
      <c r="AA307" s="215"/>
      <c r="AB307" s="215"/>
      <c r="AC307" s="215"/>
      <c r="AD307" s="215"/>
      <c r="AE307" s="215"/>
      <c r="AF307" s="215"/>
      <c r="AG307" s="216"/>
      <c r="AJ307" s="214"/>
      <c r="AO307" s="214"/>
      <c r="AQ307" s="214"/>
      <c r="AU307" s="217"/>
      <c r="AV307" s="217"/>
      <c r="AW307" s="217"/>
    </row>
    <row r="308">
      <c r="C308" s="214"/>
      <c r="E308" s="215"/>
      <c r="F308" s="215"/>
      <c r="G308" s="215"/>
      <c r="H308" s="215"/>
      <c r="I308" s="215"/>
      <c r="J308" s="215"/>
      <c r="K308" s="215"/>
      <c r="L308" s="215"/>
      <c r="M308" s="215"/>
      <c r="N308" s="215"/>
      <c r="O308" s="215"/>
      <c r="P308" s="215"/>
      <c r="Q308" s="215"/>
      <c r="R308" s="215"/>
      <c r="S308" s="215"/>
      <c r="T308" s="215"/>
      <c r="U308" s="215"/>
      <c r="V308" s="215"/>
      <c r="W308" s="215"/>
      <c r="X308" s="215"/>
      <c r="Y308" s="215"/>
      <c r="Z308" s="215"/>
      <c r="AA308" s="215"/>
      <c r="AB308" s="215"/>
      <c r="AC308" s="215"/>
      <c r="AD308" s="215"/>
      <c r="AE308" s="215"/>
      <c r="AF308" s="215"/>
      <c r="AG308" s="216"/>
      <c r="AJ308" s="214"/>
      <c r="AO308" s="214"/>
      <c r="AQ308" s="214"/>
      <c r="AU308" s="217"/>
      <c r="AV308" s="217"/>
      <c r="AW308" s="217"/>
    </row>
    <row r="309">
      <c r="C309" s="214"/>
      <c r="E309" s="215"/>
      <c r="F309" s="215"/>
      <c r="G309" s="215"/>
      <c r="H309" s="215"/>
      <c r="I309" s="215"/>
      <c r="J309" s="215"/>
      <c r="K309" s="215"/>
      <c r="L309" s="215"/>
      <c r="M309" s="215"/>
      <c r="N309" s="215"/>
      <c r="O309" s="215"/>
      <c r="P309" s="215"/>
      <c r="Q309" s="215"/>
      <c r="R309" s="215"/>
      <c r="S309" s="215"/>
      <c r="T309" s="215"/>
      <c r="U309" s="215"/>
      <c r="V309" s="215"/>
      <c r="W309" s="215"/>
      <c r="X309" s="215"/>
      <c r="Y309" s="215"/>
      <c r="Z309" s="215"/>
      <c r="AA309" s="215"/>
      <c r="AB309" s="215"/>
      <c r="AC309" s="215"/>
      <c r="AD309" s="215"/>
      <c r="AE309" s="215"/>
      <c r="AF309" s="215"/>
      <c r="AG309" s="216"/>
      <c r="AJ309" s="214"/>
      <c r="AO309" s="214"/>
      <c r="AQ309" s="214"/>
      <c r="AU309" s="217"/>
      <c r="AV309" s="217"/>
      <c r="AW309" s="217"/>
    </row>
    <row r="310">
      <c r="C310" s="214"/>
      <c r="E310" s="215"/>
      <c r="F310" s="215"/>
      <c r="G310" s="215"/>
      <c r="H310" s="215"/>
      <c r="I310" s="215"/>
      <c r="J310" s="215"/>
      <c r="K310" s="215"/>
      <c r="L310" s="215"/>
      <c r="M310" s="215"/>
      <c r="N310" s="215"/>
      <c r="O310" s="215"/>
      <c r="P310" s="215"/>
      <c r="Q310" s="215"/>
      <c r="R310" s="215"/>
      <c r="S310" s="215"/>
      <c r="T310" s="215"/>
      <c r="U310" s="215"/>
      <c r="V310" s="215"/>
      <c r="W310" s="215"/>
      <c r="X310" s="215"/>
      <c r="Y310" s="215"/>
      <c r="Z310" s="215"/>
      <c r="AA310" s="215"/>
      <c r="AB310" s="215"/>
      <c r="AC310" s="215"/>
      <c r="AD310" s="215"/>
      <c r="AE310" s="215"/>
      <c r="AF310" s="215"/>
      <c r="AG310" s="216"/>
      <c r="AJ310" s="214"/>
      <c r="AO310" s="214"/>
      <c r="AQ310" s="214"/>
      <c r="AU310" s="217"/>
      <c r="AV310" s="217"/>
      <c r="AW310" s="217"/>
    </row>
    <row r="311">
      <c r="C311" s="214"/>
      <c r="E311" s="215"/>
      <c r="F311" s="215"/>
      <c r="G311" s="215"/>
      <c r="H311" s="215"/>
      <c r="I311" s="215"/>
      <c r="J311" s="215"/>
      <c r="K311" s="215"/>
      <c r="L311" s="215"/>
      <c r="M311" s="215"/>
      <c r="N311" s="215"/>
      <c r="O311" s="215"/>
      <c r="P311" s="215"/>
      <c r="Q311" s="215"/>
      <c r="R311" s="215"/>
      <c r="S311" s="215"/>
      <c r="T311" s="215"/>
      <c r="U311" s="215"/>
      <c r="V311" s="215"/>
      <c r="W311" s="215"/>
      <c r="X311" s="215"/>
      <c r="Y311" s="215"/>
      <c r="Z311" s="215"/>
      <c r="AA311" s="215"/>
      <c r="AB311" s="215"/>
      <c r="AC311" s="215"/>
      <c r="AD311" s="215"/>
      <c r="AE311" s="215"/>
      <c r="AF311" s="215"/>
      <c r="AG311" s="216"/>
      <c r="AJ311" s="214"/>
      <c r="AO311" s="214"/>
      <c r="AQ311" s="214"/>
      <c r="AU311" s="217"/>
      <c r="AV311" s="217"/>
      <c r="AW311" s="217"/>
    </row>
    <row r="312">
      <c r="C312" s="214"/>
      <c r="E312" s="215"/>
      <c r="F312" s="215"/>
      <c r="G312" s="215"/>
      <c r="H312" s="215"/>
      <c r="I312" s="215"/>
      <c r="J312" s="215"/>
      <c r="K312" s="215"/>
      <c r="L312" s="215"/>
      <c r="M312" s="215"/>
      <c r="N312" s="215"/>
      <c r="O312" s="215"/>
      <c r="P312" s="215"/>
      <c r="Q312" s="215"/>
      <c r="R312" s="215"/>
      <c r="S312" s="215"/>
      <c r="T312" s="215"/>
      <c r="U312" s="215"/>
      <c r="V312" s="215"/>
      <c r="W312" s="215"/>
      <c r="X312" s="215"/>
      <c r="Y312" s="215"/>
      <c r="Z312" s="215"/>
      <c r="AA312" s="215"/>
      <c r="AB312" s="215"/>
      <c r="AC312" s="215"/>
      <c r="AD312" s="215"/>
      <c r="AE312" s="215"/>
      <c r="AF312" s="215"/>
      <c r="AG312" s="216"/>
      <c r="AJ312" s="214"/>
      <c r="AO312" s="214"/>
      <c r="AQ312" s="214"/>
      <c r="AU312" s="217"/>
      <c r="AV312" s="217"/>
      <c r="AW312" s="217"/>
    </row>
    <row r="313">
      <c r="C313" s="214"/>
      <c r="E313" s="215"/>
      <c r="F313" s="215"/>
      <c r="G313" s="215"/>
      <c r="H313" s="215"/>
      <c r="I313" s="215"/>
      <c r="J313" s="215"/>
      <c r="K313" s="215"/>
      <c r="L313" s="215"/>
      <c r="M313" s="215"/>
      <c r="N313" s="215"/>
      <c r="O313" s="215"/>
      <c r="P313" s="215"/>
      <c r="Q313" s="215"/>
      <c r="R313" s="215"/>
      <c r="S313" s="215"/>
      <c r="T313" s="215"/>
      <c r="U313" s="215"/>
      <c r="V313" s="215"/>
      <c r="W313" s="215"/>
      <c r="X313" s="215"/>
      <c r="Y313" s="215"/>
      <c r="Z313" s="215"/>
      <c r="AA313" s="215"/>
      <c r="AB313" s="215"/>
      <c r="AC313" s="215"/>
      <c r="AD313" s="215"/>
      <c r="AE313" s="215"/>
      <c r="AF313" s="215"/>
      <c r="AG313" s="216"/>
      <c r="AJ313" s="214"/>
      <c r="AO313" s="214"/>
      <c r="AQ313" s="214"/>
      <c r="AU313" s="217"/>
      <c r="AV313" s="217"/>
      <c r="AW313" s="217"/>
    </row>
    <row r="314">
      <c r="C314" s="214"/>
      <c r="E314" s="215"/>
      <c r="F314" s="215"/>
      <c r="G314" s="215"/>
      <c r="H314" s="215"/>
      <c r="I314" s="215"/>
      <c r="J314" s="215"/>
      <c r="K314" s="215"/>
      <c r="L314" s="215"/>
      <c r="M314" s="215"/>
      <c r="N314" s="215"/>
      <c r="O314" s="215"/>
      <c r="P314" s="215"/>
      <c r="Q314" s="215"/>
      <c r="R314" s="215"/>
      <c r="S314" s="215"/>
      <c r="T314" s="215"/>
      <c r="U314" s="215"/>
      <c r="V314" s="215"/>
      <c r="W314" s="215"/>
      <c r="X314" s="215"/>
      <c r="Y314" s="215"/>
      <c r="Z314" s="215"/>
      <c r="AA314" s="215"/>
      <c r="AB314" s="215"/>
      <c r="AC314" s="215"/>
      <c r="AD314" s="215"/>
      <c r="AE314" s="215"/>
      <c r="AF314" s="215"/>
      <c r="AG314" s="216"/>
      <c r="AJ314" s="214"/>
      <c r="AO314" s="214"/>
      <c r="AQ314" s="214"/>
      <c r="AU314" s="217"/>
      <c r="AV314" s="217"/>
      <c r="AW314" s="217"/>
    </row>
    <row r="315">
      <c r="C315" s="214"/>
      <c r="E315" s="215"/>
      <c r="F315" s="215"/>
      <c r="G315" s="215"/>
      <c r="H315" s="215"/>
      <c r="I315" s="215"/>
      <c r="J315" s="215"/>
      <c r="K315" s="215"/>
      <c r="L315" s="215"/>
      <c r="M315" s="215"/>
      <c r="N315" s="215"/>
      <c r="O315" s="215"/>
      <c r="P315" s="215"/>
      <c r="Q315" s="215"/>
      <c r="R315" s="215"/>
      <c r="S315" s="215"/>
      <c r="T315" s="215"/>
      <c r="U315" s="215"/>
      <c r="V315" s="215"/>
      <c r="W315" s="215"/>
      <c r="X315" s="215"/>
      <c r="Y315" s="215"/>
      <c r="Z315" s="215"/>
      <c r="AA315" s="215"/>
      <c r="AB315" s="215"/>
      <c r="AC315" s="215"/>
      <c r="AD315" s="215"/>
      <c r="AE315" s="215"/>
      <c r="AF315" s="215"/>
      <c r="AG315" s="216"/>
      <c r="AJ315" s="214"/>
      <c r="AO315" s="214"/>
      <c r="AQ315" s="214"/>
      <c r="AU315" s="217"/>
      <c r="AV315" s="217"/>
      <c r="AW315" s="217"/>
    </row>
    <row r="316">
      <c r="C316" s="214"/>
      <c r="E316" s="215"/>
      <c r="F316" s="215"/>
      <c r="G316" s="215"/>
      <c r="H316" s="215"/>
      <c r="I316" s="215"/>
      <c r="J316" s="215"/>
      <c r="K316" s="215"/>
      <c r="L316" s="215"/>
      <c r="M316" s="215"/>
      <c r="N316" s="215"/>
      <c r="O316" s="215"/>
      <c r="P316" s="215"/>
      <c r="Q316" s="215"/>
      <c r="R316" s="215"/>
      <c r="S316" s="215"/>
      <c r="T316" s="215"/>
      <c r="U316" s="215"/>
      <c r="V316" s="215"/>
      <c r="W316" s="215"/>
      <c r="X316" s="215"/>
      <c r="Y316" s="215"/>
      <c r="Z316" s="215"/>
      <c r="AA316" s="215"/>
      <c r="AB316" s="215"/>
      <c r="AC316" s="215"/>
      <c r="AD316" s="215"/>
      <c r="AE316" s="215"/>
      <c r="AF316" s="215"/>
      <c r="AG316" s="216"/>
      <c r="AJ316" s="214"/>
      <c r="AO316" s="214"/>
      <c r="AQ316" s="214"/>
      <c r="AU316" s="217"/>
      <c r="AV316" s="217"/>
      <c r="AW316" s="217"/>
    </row>
    <row r="317">
      <c r="C317" s="214"/>
      <c r="E317" s="215"/>
      <c r="F317" s="215"/>
      <c r="G317" s="215"/>
      <c r="H317" s="215"/>
      <c r="I317" s="215"/>
      <c r="J317" s="215"/>
      <c r="K317" s="215"/>
      <c r="L317" s="215"/>
      <c r="M317" s="215"/>
      <c r="N317" s="215"/>
      <c r="O317" s="215"/>
      <c r="P317" s="215"/>
      <c r="Q317" s="215"/>
      <c r="R317" s="215"/>
      <c r="S317" s="215"/>
      <c r="T317" s="215"/>
      <c r="U317" s="215"/>
      <c r="V317" s="215"/>
      <c r="W317" s="215"/>
      <c r="X317" s="215"/>
      <c r="Y317" s="215"/>
      <c r="Z317" s="215"/>
      <c r="AA317" s="215"/>
      <c r="AB317" s="215"/>
      <c r="AC317" s="215"/>
      <c r="AD317" s="215"/>
      <c r="AE317" s="215"/>
      <c r="AF317" s="215"/>
      <c r="AG317" s="216"/>
      <c r="AJ317" s="214"/>
      <c r="AO317" s="214"/>
      <c r="AQ317" s="214"/>
      <c r="AU317" s="217"/>
      <c r="AV317" s="217"/>
      <c r="AW317" s="217"/>
    </row>
    <row r="318">
      <c r="C318" s="214"/>
      <c r="E318" s="215"/>
      <c r="F318" s="215"/>
      <c r="G318" s="215"/>
      <c r="H318" s="215"/>
      <c r="I318" s="215"/>
      <c r="J318" s="215"/>
      <c r="K318" s="215"/>
      <c r="L318" s="215"/>
      <c r="M318" s="215"/>
      <c r="N318" s="215"/>
      <c r="O318" s="215"/>
      <c r="P318" s="215"/>
      <c r="Q318" s="215"/>
      <c r="R318" s="215"/>
      <c r="S318" s="215"/>
      <c r="T318" s="215"/>
      <c r="U318" s="215"/>
      <c r="V318" s="215"/>
      <c r="W318" s="215"/>
      <c r="X318" s="215"/>
      <c r="Y318" s="215"/>
      <c r="Z318" s="215"/>
      <c r="AA318" s="215"/>
      <c r="AB318" s="215"/>
      <c r="AC318" s="215"/>
      <c r="AD318" s="215"/>
      <c r="AE318" s="215"/>
      <c r="AF318" s="215"/>
      <c r="AG318" s="216"/>
      <c r="AJ318" s="214"/>
      <c r="AO318" s="214"/>
      <c r="AQ318" s="214"/>
      <c r="AU318" s="217"/>
      <c r="AV318" s="217"/>
      <c r="AW318" s="217"/>
    </row>
    <row r="319">
      <c r="C319" s="214"/>
      <c r="E319" s="215"/>
      <c r="F319" s="215"/>
      <c r="G319" s="215"/>
      <c r="H319" s="215"/>
      <c r="I319" s="215"/>
      <c r="J319" s="215"/>
      <c r="K319" s="215"/>
      <c r="L319" s="215"/>
      <c r="M319" s="215"/>
      <c r="N319" s="215"/>
      <c r="O319" s="215"/>
      <c r="P319" s="215"/>
      <c r="Q319" s="215"/>
      <c r="R319" s="215"/>
      <c r="S319" s="215"/>
      <c r="T319" s="215"/>
      <c r="U319" s="215"/>
      <c r="V319" s="215"/>
      <c r="W319" s="215"/>
      <c r="X319" s="215"/>
      <c r="Y319" s="215"/>
      <c r="Z319" s="215"/>
      <c r="AA319" s="215"/>
      <c r="AB319" s="215"/>
      <c r="AC319" s="215"/>
      <c r="AD319" s="215"/>
      <c r="AE319" s="215"/>
      <c r="AF319" s="215"/>
      <c r="AG319" s="216"/>
      <c r="AJ319" s="214"/>
      <c r="AO319" s="214"/>
      <c r="AQ319" s="214"/>
      <c r="AU319" s="217"/>
      <c r="AV319" s="217"/>
      <c r="AW319" s="217"/>
    </row>
    <row r="320">
      <c r="C320" s="214"/>
      <c r="E320" s="215"/>
      <c r="F320" s="215"/>
      <c r="G320" s="215"/>
      <c r="H320" s="215"/>
      <c r="I320" s="215"/>
      <c r="J320" s="215"/>
      <c r="K320" s="215"/>
      <c r="L320" s="215"/>
      <c r="M320" s="215"/>
      <c r="N320" s="215"/>
      <c r="O320" s="215"/>
      <c r="P320" s="215"/>
      <c r="Q320" s="215"/>
      <c r="R320" s="215"/>
      <c r="S320" s="215"/>
      <c r="T320" s="215"/>
      <c r="U320" s="215"/>
      <c r="V320" s="215"/>
      <c r="W320" s="215"/>
      <c r="X320" s="215"/>
      <c r="Y320" s="215"/>
      <c r="Z320" s="215"/>
      <c r="AA320" s="215"/>
      <c r="AB320" s="215"/>
      <c r="AC320" s="215"/>
      <c r="AD320" s="215"/>
      <c r="AE320" s="215"/>
      <c r="AF320" s="215"/>
      <c r="AG320" s="216"/>
      <c r="AJ320" s="214"/>
      <c r="AO320" s="214"/>
      <c r="AQ320" s="214"/>
      <c r="AU320" s="217"/>
      <c r="AV320" s="217"/>
      <c r="AW320" s="217"/>
    </row>
    <row r="321">
      <c r="C321" s="214"/>
      <c r="E321" s="215"/>
      <c r="F321" s="215"/>
      <c r="G321" s="215"/>
      <c r="H321" s="215"/>
      <c r="I321" s="215"/>
      <c r="J321" s="215"/>
      <c r="K321" s="215"/>
      <c r="L321" s="215"/>
      <c r="M321" s="215"/>
      <c r="N321" s="215"/>
      <c r="O321" s="215"/>
      <c r="P321" s="215"/>
      <c r="Q321" s="215"/>
      <c r="R321" s="215"/>
      <c r="S321" s="215"/>
      <c r="T321" s="215"/>
      <c r="U321" s="215"/>
      <c r="V321" s="215"/>
      <c r="W321" s="215"/>
      <c r="X321" s="215"/>
      <c r="Y321" s="215"/>
      <c r="Z321" s="215"/>
      <c r="AA321" s="215"/>
      <c r="AB321" s="215"/>
      <c r="AC321" s="215"/>
      <c r="AD321" s="215"/>
      <c r="AE321" s="215"/>
      <c r="AF321" s="215"/>
      <c r="AG321" s="216"/>
      <c r="AJ321" s="214"/>
      <c r="AO321" s="214"/>
      <c r="AQ321" s="214"/>
      <c r="AU321" s="217"/>
      <c r="AV321" s="217"/>
      <c r="AW321" s="217"/>
    </row>
    <row r="322">
      <c r="C322" s="214"/>
      <c r="E322" s="215"/>
      <c r="F322" s="215"/>
      <c r="G322" s="215"/>
      <c r="H322" s="215"/>
      <c r="I322" s="215"/>
      <c r="J322" s="215"/>
      <c r="K322" s="215"/>
      <c r="L322" s="215"/>
      <c r="M322" s="215"/>
      <c r="N322" s="215"/>
      <c r="O322" s="215"/>
      <c r="P322" s="215"/>
      <c r="Q322" s="215"/>
      <c r="R322" s="215"/>
      <c r="S322" s="215"/>
      <c r="T322" s="215"/>
      <c r="U322" s="215"/>
      <c r="V322" s="215"/>
      <c r="W322" s="215"/>
      <c r="X322" s="215"/>
      <c r="Y322" s="215"/>
      <c r="Z322" s="215"/>
      <c r="AA322" s="215"/>
      <c r="AB322" s="215"/>
      <c r="AC322" s="215"/>
      <c r="AD322" s="215"/>
      <c r="AE322" s="215"/>
      <c r="AF322" s="215"/>
      <c r="AG322" s="216"/>
      <c r="AJ322" s="214"/>
      <c r="AO322" s="214"/>
      <c r="AQ322" s="214"/>
      <c r="AU322" s="217"/>
      <c r="AV322" s="217"/>
      <c r="AW322" s="217"/>
    </row>
    <row r="323">
      <c r="C323" s="214"/>
      <c r="E323" s="215"/>
      <c r="F323" s="215"/>
      <c r="G323" s="215"/>
      <c r="H323" s="215"/>
      <c r="I323" s="215"/>
      <c r="J323" s="215"/>
      <c r="K323" s="215"/>
      <c r="L323" s="215"/>
      <c r="M323" s="215"/>
      <c r="N323" s="215"/>
      <c r="O323" s="215"/>
      <c r="P323" s="215"/>
      <c r="Q323" s="215"/>
      <c r="R323" s="215"/>
      <c r="S323" s="215"/>
      <c r="T323" s="215"/>
      <c r="U323" s="215"/>
      <c r="V323" s="215"/>
      <c r="W323" s="215"/>
      <c r="X323" s="215"/>
      <c r="Y323" s="215"/>
      <c r="Z323" s="215"/>
      <c r="AA323" s="215"/>
      <c r="AB323" s="215"/>
      <c r="AC323" s="215"/>
      <c r="AD323" s="215"/>
      <c r="AE323" s="215"/>
      <c r="AF323" s="215"/>
      <c r="AG323" s="216"/>
      <c r="AJ323" s="214"/>
      <c r="AO323" s="214"/>
      <c r="AQ323" s="214"/>
      <c r="AU323" s="217"/>
      <c r="AV323" s="217"/>
      <c r="AW323" s="217"/>
    </row>
    <row r="324">
      <c r="C324" s="214"/>
      <c r="E324" s="215"/>
      <c r="F324" s="215"/>
      <c r="G324" s="215"/>
      <c r="H324" s="215"/>
      <c r="I324" s="215"/>
      <c r="J324" s="215"/>
      <c r="K324" s="215"/>
      <c r="L324" s="215"/>
      <c r="M324" s="215"/>
      <c r="N324" s="215"/>
      <c r="O324" s="215"/>
      <c r="P324" s="215"/>
      <c r="Q324" s="215"/>
      <c r="R324" s="215"/>
      <c r="S324" s="215"/>
      <c r="T324" s="215"/>
      <c r="U324" s="215"/>
      <c r="V324" s="215"/>
      <c r="W324" s="215"/>
      <c r="X324" s="215"/>
      <c r="Y324" s="215"/>
      <c r="Z324" s="215"/>
      <c r="AA324" s="215"/>
      <c r="AB324" s="215"/>
      <c r="AC324" s="215"/>
      <c r="AD324" s="215"/>
      <c r="AE324" s="215"/>
      <c r="AF324" s="215"/>
      <c r="AG324" s="216"/>
      <c r="AJ324" s="214"/>
      <c r="AO324" s="214"/>
      <c r="AQ324" s="214"/>
      <c r="AU324" s="217"/>
      <c r="AV324" s="217"/>
      <c r="AW324" s="217"/>
    </row>
    <row r="325">
      <c r="C325" s="214"/>
      <c r="E325" s="215"/>
      <c r="F325" s="215"/>
      <c r="G325" s="215"/>
      <c r="H325" s="215"/>
      <c r="I325" s="215"/>
      <c r="J325" s="215"/>
      <c r="K325" s="215"/>
      <c r="L325" s="215"/>
      <c r="M325" s="215"/>
      <c r="N325" s="215"/>
      <c r="O325" s="215"/>
      <c r="P325" s="215"/>
      <c r="Q325" s="215"/>
      <c r="R325" s="215"/>
      <c r="S325" s="215"/>
      <c r="T325" s="215"/>
      <c r="U325" s="215"/>
      <c r="V325" s="215"/>
      <c r="W325" s="215"/>
      <c r="X325" s="215"/>
      <c r="Y325" s="215"/>
      <c r="Z325" s="215"/>
      <c r="AA325" s="215"/>
      <c r="AB325" s="215"/>
      <c r="AC325" s="215"/>
      <c r="AD325" s="215"/>
      <c r="AE325" s="215"/>
      <c r="AF325" s="215"/>
      <c r="AG325" s="216"/>
      <c r="AJ325" s="214"/>
      <c r="AO325" s="214"/>
      <c r="AQ325" s="214"/>
      <c r="AU325" s="217"/>
      <c r="AV325" s="217"/>
      <c r="AW325" s="217"/>
    </row>
    <row r="326">
      <c r="C326" s="214"/>
      <c r="E326" s="215"/>
      <c r="F326" s="215"/>
      <c r="G326" s="215"/>
      <c r="H326" s="215"/>
      <c r="I326" s="215"/>
      <c r="J326" s="215"/>
      <c r="K326" s="215"/>
      <c r="L326" s="215"/>
      <c r="M326" s="215"/>
      <c r="N326" s="215"/>
      <c r="O326" s="215"/>
      <c r="P326" s="215"/>
      <c r="Q326" s="215"/>
      <c r="R326" s="215"/>
      <c r="S326" s="215"/>
      <c r="T326" s="215"/>
      <c r="U326" s="215"/>
      <c r="V326" s="215"/>
      <c r="W326" s="215"/>
      <c r="X326" s="215"/>
      <c r="Y326" s="215"/>
      <c r="Z326" s="215"/>
      <c r="AA326" s="215"/>
      <c r="AB326" s="215"/>
      <c r="AC326" s="215"/>
      <c r="AD326" s="215"/>
      <c r="AE326" s="215"/>
      <c r="AF326" s="215"/>
      <c r="AG326" s="216"/>
      <c r="AJ326" s="214"/>
      <c r="AO326" s="214"/>
      <c r="AQ326" s="214"/>
      <c r="AU326" s="217"/>
      <c r="AV326" s="217"/>
      <c r="AW326" s="217"/>
    </row>
    <row r="327">
      <c r="C327" s="214"/>
      <c r="E327" s="215"/>
      <c r="F327" s="215"/>
      <c r="G327" s="215"/>
      <c r="H327" s="215"/>
      <c r="I327" s="215"/>
      <c r="J327" s="215"/>
      <c r="K327" s="215"/>
      <c r="L327" s="215"/>
      <c r="M327" s="215"/>
      <c r="N327" s="215"/>
      <c r="O327" s="215"/>
      <c r="P327" s="215"/>
      <c r="Q327" s="215"/>
      <c r="R327" s="215"/>
      <c r="S327" s="215"/>
      <c r="T327" s="215"/>
      <c r="U327" s="215"/>
      <c r="V327" s="215"/>
      <c r="W327" s="215"/>
      <c r="X327" s="215"/>
      <c r="Y327" s="215"/>
      <c r="Z327" s="215"/>
      <c r="AA327" s="215"/>
      <c r="AB327" s="215"/>
      <c r="AC327" s="215"/>
      <c r="AD327" s="215"/>
      <c r="AE327" s="215"/>
      <c r="AF327" s="215"/>
      <c r="AG327" s="216"/>
      <c r="AJ327" s="214"/>
      <c r="AO327" s="214"/>
      <c r="AQ327" s="214"/>
      <c r="AU327" s="217"/>
      <c r="AV327" s="217"/>
      <c r="AW327" s="217"/>
    </row>
    <row r="328">
      <c r="C328" s="214"/>
      <c r="E328" s="215"/>
      <c r="F328" s="215"/>
      <c r="G328" s="215"/>
      <c r="H328" s="215"/>
      <c r="I328" s="215"/>
      <c r="J328" s="215"/>
      <c r="K328" s="215"/>
      <c r="L328" s="215"/>
      <c r="M328" s="215"/>
      <c r="N328" s="215"/>
      <c r="O328" s="215"/>
      <c r="P328" s="215"/>
      <c r="Q328" s="215"/>
      <c r="R328" s="215"/>
      <c r="S328" s="215"/>
      <c r="T328" s="215"/>
      <c r="U328" s="215"/>
      <c r="V328" s="215"/>
      <c r="W328" s="215"/>
      <c r="X328" s="215"/>
      <c r="Y328" s="215"/>
      <c r="Z328" s="215"/>
      <c r="AA328" s="215"/>
      <c r="AB328" s="215"/>
      <c r="AC328" s="215"/>
      <c r="AD328" s="215"/>
      <c r="AE328" s="215"/>
      <c r="AF328" s="215"/>
      <c r="AG328" s="216"/>
      <c r="AJ328" s="214"/>
      <c r="AO328" s="214"/>
      <c r="AQ328" s="214"/>
      <c r="AU328" s="217"/>
      <c r="AV328" s="217"/>
      <c r="AW328" s="217"/>
    </row>
    <row r="329">
      <c r="C329" s="214"/>
      <c r="E329" s="215"/>
      <c r="F329" s="215"/>
      <c r="G329" s="215"/>
      <c r="H329" s="215"/>
      <c r="I329" s="215"/>
      <c r="J329" s="215"/>
      <c r="K329" s="215"/>
      <c r="L329" s="215"/>
      <c r="M329" s="215"/>
      <c r="N329" s="215"/>
      <c r="O329" s="215"/>
      <c r="P329" s="215"/>
      <c r="Q329" s="215"/>
      <c r="R329" s="215"/>
      <c r="S329" s="215"/>
      <c r="T329" s="215"/>
      <c r="U329" s="215"/>
      <c r="V329" s="215"/>
      <c r="W329" s="215"/>
      <c r="X329" s="215"/>
      <c r="Y329" s="215"/>
      <c r="Z329" s="215"/>
      <c r="AA329" s="215"/>
      <c r="AB329" s="215"/>
      <c r="AC329" s="215"/>
      <c r="AD329" s="215"/>
      <c r="AE329" s="215"/>
      <c r="AF329" s="215"/>
      <c r="AG329" s="216"/>
      <c r="AJ329" s="214"/>
      <c r="AO329" s="214"/>
      <c r="AQ329" s="214"/>
      <c r="AU329" s="217"/>
      <c r="AV329" s="217"/>
      <c r="AW329" s="217"/>
    </row>
    <row r="330">
      <c r="C330" s="214"/>
      <c r="E330" s="215"/>
      <c r="F330" s="215"/>
      <c r="G330" s="215"/>
      <c r="H330" s="215"/>
      <c r="I330" s="215"/>
      <c r="J330" s="215"/>
      <c r="K330" s="215"/>
      <c r="L330" s="215"/>
      <c r="M330" s="215"/>
      <c r="N330" s="215"/>
      <c r="O330" s="215"/>
      <c r="P330" s="215"/>
      <c r="Q330" s="215"/>
      <c r="R330" s="215"/>
      <c r="S330" s="215"/>
      <c r="T330" s="215"/>
      <c r="U330" s="215"/>
      <c r="V330" s="215"/>
      <c r="W330" s="215"/>
      <c r="X330" s="215"/>
      <c r="Y330" s="215"/>
      <c r="Z330" s="215"/>
      <c r="AA330" s="215"/>
      <c r="AB330" s="215"/>
      <c r="AC330" s="215"/>
      <c r="AD330" s="215"/>
      <c r="AE330" s="215"/>
      <c r="AF330" s="215"/>
      <c r="AG330" s="216"/>
      <c r="AJ330" s="214"/>
      <c r="AO330" s="214"/>
      <c r="AQ330" s="214"/>
      <c r="AU330" s="217"/>
      <c r="AV330" s="217"/>
      <c r="AW330" s="217"/>
    </row>
    <row r="331">
      <c r="C331" s="214"/>
      <c r="E331" s="215"/>
      <c r="F331" s="215"/>
      <c r="G331" s="215"/>
      <c r="H331" s="215"/>
      <c r="I331" s="215"/>
      <c r="J331" s="215"/>
      <c r="K331" s="215"/>
      <c r="L331" s="215"/>
      <c r="M331" s="215"/>
      <c r="N331" s="215"/>
      <c r="O331" s="215"/>
      <c r="P331" s="215"/>
      <c r="Q331" s="215"/>
      <c r="R331" s="215"/>
      <c r="S331" s="215"/>
      <c r="T331" s="215"/>
      <c r="U331" s="215"/>
      <c r="V331" s="215"/>
      <c r="W331" s="215"/>
      <c r="X331" s="215"/>
      <c r="Y331" s="215"/>
      <c r="Z331" s="215"/>
      <c r="AA331" s="215"/>
      <c r="AB331" s="215"/>
      <c r="AC331" s="215"/>
      <c r="AD331" s="215"/>
      <c r="AE331" s="215"/>
      <c r="AF331" s="215"/>
      <c r="AG331" s="216"/>
      <c r="AJ331" s="214"/>
      <c r="AO331" s="214"/>
      <c r="AQ331" s="214"/>
      <c r="AU331" s="217"/>
      <c r="AV331" s="217"/>
      <c r="AW331" s="217"/>
    </row>
    <row r="332">
      <c r="C332" s="214"/>
      <c r="E332" s="215"/>
      <c r="F332" s="215"/>
      <c r="G332" s="215"/>
      <c r="H332" s="215"/>
      <c r="I332" s="215"/>
      <c r="J332" s="215"/>
      <c r="K332" s="215"/>
      <c r="L332" s="215"/>
      <c r="M332" s="215"/>
      <c r="N332" s="215"/>
      <c r="O332" s="215"/>
      <c r="P332" s="215"/>
      <c r="Q332" s="215"/>
      <c r="R332" s="215"/>
      <c r="S332" s="215"/>
      <c r="T332" s="215"/>
      <c r="U332" s="215"/>
      <c r="V332" s="215"/>
      <c r="W332" s="215"/>
      <c r="X332" s="215"/>
      <c r="Y332" s="215"/>
      <c r="Z332" s="215"/>
      <c r="AA332" s="215"/>
      <c r="AB332" s="215"/>
      <c r="AC332" s="215"/>
      <c r="AD332" s="215"/>
      <c r="AE332" s="215"/>
      <c r="AF332" s="215"/>
      <c r="AG332" s="216"/>
      <c r="AJ332" s="214"/>
      <c r="AO332" s="214"/>
      <c r="AQ332" s="214"/>
      <c r="AU332" s="217"/>
      <c r="AV332" s="217"/>
      <c r="AW332" s="217"/>
    </row>
    <row r="333">
      <c r="C333" s="214"/>
      <c r="E333" s="215"/>
      <c r="F333" s="215"/>
      <c r="G333" s="215"/>
      <c r="H333" s="215"/>
      <c r="I333" s="215"/>
      <c r="J333" s="215"/>
      <c r="K333" s="215"/>
      <c r="L333" s="215"/>
      <c r="M333" s="215"/>
      <c r="N333" s="215"/>
      <c r="O333" s="215"/>
      <c r="P333" s="215"/>
      <c r="Q333" s="215"/>
      <c r="R333" s="215"/>
      <c r="S333" s="215"/>
      <c r="T333" s="215"/>
      <c r="U333" s="215"/>
      <c r="V333" s="215"/>
      <c r="W333" s="215"/>
      <c r="X333" s="215"/>
      <c r="Y333" s="215"/>
      <c r="Z333" s="215"/>
      <c r="AA333" s="215"/>
      <c r="AB333" s="215"/>
      <c r="AC333" s="215"/>
      <c r="AD333" s="215"/>
      <c r="AE333" s="215"/>
      <c r="AF333" s="215"/>
      <c r="AG333" s="216"/>
      <c r="AJ333" s="214"/>
      <c r="AO333" s="214"/>
      <c r="AQ333" s="214"/>
      <c r="AU333" s="217"/>
      <c r="AV333" s="217"/>
      <c r="AW333" s="217"/>
    </row>
    <row r="334">
      <c r="C334" s="214"/>
      <c r="E334" s="215"/>
      <c r="F334" s="215"/>
      <c r="G334" s="215"/>
      <c r="H334" s="215"/>
      <c r="I334" s="215"/>
      <c r="J334" s="215"/>
      <c r="K334" s="215"/>
      <c r="L334" s="215"/>
      <c r="M334" s="215"/>
      <c r="N334" s="215"/>
      <c r="O334" s="215"/>
      <c r="P334" s="215"/>
      <c r="Q334" s="215"/>
      <c r="R334" s="215"/>
      <c r="S334" s="215"/>
      <c r="T334" s="215"/>
      <c r="U334" s="215"/>
      <c r="V334" s="215"/>
      <c r="W334" s="215"/>
      <c r="X334" s="215"/>
      <c r="Y334" s="215"/>
      <c r="Z334" s="215"/>
      <c r="AA334" s="215"/>
      <c r="AB334" s="215"/>
      <c r="AC334" s="215"/>
      <c r="AD334" s="215"/>
      <c r="AE334" s="215"/>
      <c r="AF334" s="215"/>
      <c r="AG334" s="216"/>
      <c r="AJ334" s="214"/>
      <c r="AO334" s="214"/>
      <c r="AQ334" s="214"/>
      <c r="AU334" s="217"/>
      <c r="AV334" s="217"/>
      <c r="AW334" s="217"/>
    </row>
    <row r="335">
      <c r="C335" s="214"/>
      <c r="E335" s="215"/>
      <c r="F335" s="215"/>
      <c r="G335" s="215"/>
      <c r="H335" s="215"/>
      <c r="I335" s="215"/>
      <c r="J335" s="215"/>
      <c r="K335" s="215"/>
      <c r="L335" s="215"/>
      <c r="M335" s="215"/>
      <c r="N335" s="215"/>
      <c r="O335" s="215"/>
      <c r="P335" s="215"/>
      <c r="Q335" s="215"/>
      <c r="R335" s="215"/>
      <c r="S335" s="215"/>
      <c r="T335" s="215"/>
      <c r="U335" s="215"/>
      <c r="V335" s="215"/>
      <c r="W335" s="215"/>
      <c r="X335" s="215"/>
      <c r="Y335" s="215"/>
      <c r="Z335" s="215"/>
      <c r="AA335" s="215"/>
      <c r="AB335" s="215"/>
      <c r="AC335" s="215"/>
      <c r="AD335" s="215"/>
      <c r="AE335" s="215"/>
      <c r="AF335" s="215"/>
      <c r="AG335" s="216"/>
      <c r="AJ335" s="214"/>
      <c r="AO335" s="214"/>
      <c r="AQ335" s="214"/>
      <c r="AU335" s="217"/>
      <c r="AV335" s="217"/>
      <c r="AW335" s="217"/>
    </row>
    <row r="336">
      <c r="C336" s="214"/>
      <c r="E336" s="215"/>
      <c r="F336" s="215"/>
      <c r="G336" s="215"/>
      <c r="H336" s="215"/>
      <c r="I336" s="215"/>
      <c r="J336" s="215"/>
      <c r="K336" s="215"/>
      <c r="L336" s="215"/>
      <c r="M336" s="215"/>
      <c r="N336" s="215"/>
      <c r="O336" s="215"/>
      <c r="P336" s="215"/>
      <c r="Q336" s="215"/>
      <c r="R336" s="215"/>
      <c r="S336" s="215"/>
      <c r="T336" s="215"/>
      <c r="U336" s="215"/>
      <c r="V336" s="215"/>
      <c r="W336" s="215"/>
      <c r="X336" s="215"/>
      <c r="Y336" s="215"/>
      <c r="Z336" s="215"/>
      <c r="AA336" s="215"/>
      <c r="AB336" s="215"/>
      <c r="AC336" s="215"/>
      <c r="AD336" s="215"/>
      <c r="AE336" s="215"/>
      <c r="AF336" s="215"/>
      <c r="AG336" s="216"/>
      <c r="AJ336" s="214"/>
      <c r="AO336" s="214"/>
      <c r="AQ336" s="214"/>
      <c r="AU336" s="217"/>
      <c r="AV336" s="217"/>
      <c r="AW336" s="217"/>
    </row>
    <row r="337">
      <c r="C337" s="214"/>
      <c r="E337" s="215"/>
      <c r="F337" s="215"/>
      <c r="G337" s="215"/>
      <c r="H337" s="215"/>
      <c r="I337" s="215"/>
      <c r="J337" s="215"/>
      <c r="K337" s="215"/>
      <c r="L337" s="215"/>
      <c r="M337" s="215"/>
      <c r="N337" s="215"/>
      <c r="O337" s="215"/>
      <c r="P337" s="215"/>
      <c r="Q337" s="215"/>
      <c r="R337" s="215"/>
      <c r="S337" s="215"/>
      <c r="T337" s="215"/>
      <c r="U337" s="215"/>
      <c r="V337" s="215"/>
      <c r="W337" s="215"/>
      <c r="X337" s="215"/>
      <c r="Y337" s="215"/>
      <c r="Z337" s="215"/>
      <c r="AA337" s="215"/>
      <c r="AB337" s="215"/>
      <c r="AC337" s="215"/>
      <c r="AD337" s="215"/>
      <c r="AE337" s="215"/>
      <c r="AF337" s="215"/>
      <c r="AG337" s="216"/>
      <c r="AJ337" s="214"/>
      <c r="AO337" s="214"/>
      <c r="AQ337" s="214"/>
      <c r="AU337" s="217"/>
      <c r="AV337" s="217"/>
      <c r="AW337" s="217"/>
    </row>
    <row r="338">
      <c r="C338" s="214"/>
      <c r="E338" s="215"/>
      <c r="F338" s="215"/>
      <c r="G338" s="215"/>
      <c r="H338" s="215"/>
      <c r="I338" s="215"/>
      <c r="J338" s="215"/>
      <c r="K338" s="215"/>
      <c r="L338" s="215"/>
      <c r="M338" s="215"/>
      <c r="N338" s="215"/>
      <c r="O338" s="215"/>
      <c r="P338" s="215"/>
      <c r="Q338" s="215"/>
      <c r="R338" s="215"/>
      <c r="S338" s="215"/>
      <c r="T338" s="215"/>
      <c r="U338" s="215"/>
      <c r="V338" s="215"/>
      <c r="W338" s="215"/>
      <c r="X338" s="215"/>
      <c r="Y338" s="215"/>
      <c r="Z338" s="215"/>
      <c r="AA338" s="215"/>
      <c r="AB338" s="215"/>
      <c r="AC338" s="215"/>
      <c r="AD338" s="215"/>
      <c r="AE338" s="215"/>
      <c r="AF338" s="215"/>
      <c r="AG338" s="216"/>
      <c r="AJ338" s="214"/>
      <c r="AO338" s="214"/>
      <c r="AQ338" s="214"/>
      <c r="AU338" s="217"/>
      <c r="AV338" s="217"/>
      <c r="AW338" s="217"/>
    </row>
    <row r="339">
      <c r="C339" s="214"/>
      <c r="E339" s="215"/>
      <c r="F339" s="215"/>
      <c r="G339" s="215"/>
      <c r="H339" s="215"/>
      <c r="I339" s="215"/>
      <c r="J339" s="215"/>
      <c r="K339" s="215"/>
      <c r="L339" s="215"/>
      <c r="M339" s="215"/>
      <c r="N339" s="215"/>
      <c r="O339" s="215"/>
      <c r="P339" s="215"/>
      <c r="Q339" s="215"/>
      <c r="R339" s="215"/>
      <c r="S339" s="215"/>
      <c r="T339" s="215"/>
      <c r="U339" s="215"/>
      <c r="V339" s="215"/>
      <c r="W339" s="215"/>
      <c r="X339" s="215"/>
      <c r="Y339" s="215"/>
      <c r="Z339" s="215"/>
      <c r="AA339" s="215"/>
      <c r="AB339" s="215"/>
      <c r="AC339" s="215"/>
      <c r="AD339" s="215"/>
      <c r="AE339" s="215"/>
      <c r="AF339" s="215"/>
      <c r="AG339" s="216"/>
      <c r="AJ339" s="214"/>
      <c r="AO339" s="214"/>
      <c r="AQ339" s="214"/>
      <c r="AU339" s="217"/>
      <c r="AV339" s="217"/>
      <c r="AW339" s="217"/>
    </row>
    <row r="340">
      <c r="C340" s="214"/>
      <c r="E340" s="215"/>
      <c r="F340" s="215"/>
      <c r="G340" s="215"/>
      <c r="H340" s="215"/>
      <c r="I340" s="215"/>
      <c r="J340" s="215"/>
      <c r="K340" s="215"/>
      <c r="L340" s="215"/>
      <c r="M340" s="215"/>
      <c r="N340" s="215"/>
      <c r="O340" s="215"/>
      <c r="P340" s="215"/>
      <c r="Q340" s="215"/>
      <c r="R340" s="215"/>
      <c r="S340" s="215"/>
      <c r="T340" s="215"/>
      <c r="U340" s="215"/>
      <c r="V340" s="215"/>
      <c r="W340" s="215"/>
      <c r="X340" s="215"/>
      <c r="Y340" s="215"/>
      <c r="Z340" s="215"/>
      <c r="AA340" s="215"/>
      <c r="AB340" s="215"/>
      <c r="AC340" s="215"/>
      <c r="AD340" s="215"/>
      <c r="AE340" s="215"/>
      <c r="AF340" s="215"/>
      <c r="AG340" s="216"/>
      <c r="AJ340" s="214"/>
      <c r="AO340" s="214"/>
      <c r="AQ340" s="214"/>
      <c r="AU340" s="217"/>
      <c r="AV340" s="217"/>
      <c r="AW340" s="217"/>
    </row>
    <row r="341">
      <c r="C341" s="214"/>
      <c r="E341" s="215"/>
      <c r="F341" s="215"/>
      <c r="G341" s="215"/>
      <c r="H341" s="215"/>
      <c r="I341" s="215"/>
      <c r="J341" s="215"/>
      <c r="K341" s="215"/>
      <c r="L341" s="215"/>
      <c r="M341" s="215"/>
      <c r="N341" s="215"/>
      <c r="O341" s="215"/>
      <c r="P341" s="215"/>
      <c r="Q341" s="215"/>
      <c r="R341" s="215"/>
      <c r="S341" s="215"/>
      <c r="T341" s="215"/>
      <c r="U341" s="215"/>
      <c r="V341" s="215"/>
      <c r="W341" s="215"/>
      <c r="X341" s="215"/>
      <c r="Y341" s="215"/>
      <c r="Z341" s="215"/>
      <c r="AA341" s="215"/>
      <c r="AB341" s="215"/>
      <c r="AC341" s="215"/>
      <c r="AD341" s="215"/>
      <c r="AE341" s="215"/>
      <c r="AF341" s="215"/>
      <c r="AG341" s="216"/>
      <c r="AJ341" s="214"/>
      <c r="AO341" s="214"/>
      <c r="AQ341" s="214"/>
      <c r="AU341" s="217"/>
      <c r="AV341" s="217"/>
      <c r="AW341" s="217"/>
    </row>
    <row r="342">
      <c r="C342" s="214"/>
      <c r="E342" s="215"/>
      <c r="F342" s="215"/>
      <c r="G342" s="215"/>
      <c r="H342" s="215"/>
      <c r="I342" s="215"/>
      <c r="J342" s="215"/>
      <c r="K342" s="215"/>
      <c r="L342" s="215"/>
      <c r="M342" s="215"/>
      <c r="N342" s="215"/>
      <c r="O342" s="215"/>
      <c r="P342" s="215"/>
      <c r="Q342" s="215"/>
      <c r="R342" s="215"/>
      <c r="S342" s="215"/>
      <c r="T342" s="215"/>
      <c r="U342" s="215"/>
      <c r="V342" s="215"/>
      <c r="W342" s="215"/>
      <c r="X342" s="215"/>
      <c r="Y342" s="215"/>
      <c r="Z342" s="215"/>
      <c r="AA342" s="215"/>
      <c r="AB342" s="215"/>
      <c r="AC342" s="215"/>
      <c r="AD342" s="215"/>
      <c r="AE342" s="215"/>
      <c r="AF342" s="215"/>
      <c r="AG342" s="216"/>
      <c r="AJ342" s="214"/>
      <c r="AO342" s="214"/>
      <c r="AQ342" s="214"/>
      <c r="AU342" s="217"/>
      <c r="AV342" s="217"/>
      <c r="AW342" s="217"/>
    </row>
    <row r="343">
      <c r="C343" s="214"/>
      <c r="E343" s="215"/>
      <c r="F343" s="215"/>
      <c r="G343" s="215"/>
      <c r="H343" s="215"/>
      <c r="I343" s="215"/>
      <c r="J343" s="215"/>
      <c r="K343" s="215"/>
      <c r="L343" s="215"/>
      <c r="M343" s="215"/>
      <c r="N343" s="215"/>
      <c r="O343" s="215"/>
      <c r="P343" s="215"/>
      <c r="Q343" s="215"/>
      <c r="R343" s="215"/>
      <c r="S343" s="215"/>
      <c r="T343" s="215"/>
      <c r="U343" s="215"/>
      <c r="V343" s="215"/>
      <c r="W343" s="215"/>
      <c r="X343" s="215"/>
      <c r="Y343" s="215"/>
      <c r="Z343" s="215"/>
      <c r="AA343" s="215"/>
      <c r="AB343" s="215"/>
      <c r="AC343" s="215"/>
      <c r="AD343" s="215"/>
      <c r="AE343" s="215"/>
      <c r="AF343" s="215"/>
      <c r="AG343" s="216"/>
      <c r="AJ343" s="214"/>
      <c r="AO343" s="214"/>
      <c r="AQ343" s="214"/>
      <c r="AU343" s="217"/>
      <c r="AV343" s="217"/>
      <c r="AW343" s="217"/>
    </row>
    <row r="344">
      <c r="C344" s="214"/>
      <c r="E344" s="215"/>
      <c r="F344" s="215"/>
      <c r="G344" s="215"/>
      <c r="H344" s="215"/>
      <c r="I344" s="215"/>
      <c r="J344" s="215"/>
      <c r="K344" s="215"/>
      <c r="L344" s="215"/>
      <c r="M344" s="215"/>
      <c r="N344" s="215"/>
      <c r="O344" s="215"/>
      <c r="P344" s="215"/>
      <c r="Q344" s="215"/>
      <c r="R344" s="215"/>
      <c r="S344" s="215"/>
      <c r="T344" s="215"/>
      <c r="U344" s="215"/>
      <c r="V344" s="215"/>
      <c r="W344" s="215"/>
      <c r="X344" s="215"/>
      <c r="Y344" s="215"/>
      <c r="Z344" s="215"/>
      <c r="AA344" s="215"/>
      <c r="AB344" s="215"/>
      <c r="AC344" s="215"/>
      <c r="AD344" s="215"/>
      <c r="AE344" s="215"/>
      <c r="AF344" s="215"/>
      <c r="AG344" s="216"/>
      <c r="AJ344" s="214"/>
      <c r="AO344" s="214"/>
      <c r="AQ344" s="214"/>
      <c r="AU344" s="217"/>
      <c r="AV344" s="217"/>
      <c r="AW344" s="217"/>
    </row>
    <row r="345">
      <c r="C345" s="214"/>
      <c r="E345" s="215"/>
      <c r="F345" s="215"/>
      <c r="G345" s="215"/>
      <c r="H345" s="215"/>
      <c r="I345" s="215"/>
      <c r="J345" s="215"/>
      <c r="K345" s="215"/>
      <c r="L345" s="215"/>
      <c r="M345" s="215"/>
      <c r="N345" s="215"/>
      <c r="O345" s="215"/>
      <c r="P345" s="215"/>
      <c r="Q345" s="215"/>
      <c r="R345" s="215"/>
      <c r="S345" s="215"/>
      <c r="T345" s="215"/>
      <c r="U345" s="215"/>
      <c r="V345" s="215"/>
      <c r="W345" s="215"/>
      <c r="X345" s="215"/>
      <c r="Y345" s="215"/>
      <c r="Z345" s="215"/>
      <c r="AA345" s="215"/>
      <c r="AB345" s="215"/>
      <c r="AC345" s="215"/>
      <c r="AD345" s="215"/>
      <c r="AE345" s="215"/>
      <c r="AF345" s="215"/>
      <c r="AG345" s="216"/>
      <c r="AJ345" s="214"/>
      <c r="AO345" s="214"/>
      <c r="AQ345" s="214"/>
      <c r="AU345" s="217"/>
      <c r="AV345" s="217"/>
      <c r="AW345" s="217"/>
    </row>
    <row r="346">
      <c r="C346" s="214"/>
      <c r="E346" s="215"/>
      <c r="F346" s="215"/>
      <c r="G346" s="215"/>
      <c r="H346" s="215"/>
      <c r="I346" s="215"/>
      <c r="J346" s="215"/>
      <c r="K346" s="215"/>
      <c r="L346" s="215"/>
      <c r="M346" s="215"/>
      <c r="N346" s="215"/>
      <c r="O346" s="215"/>
      <c r="P346" s="215"/>
      <c r="Q346" s="215"/>
      <c r="R346" s="215"/>
      <c r="S346" s="215"/>
      <c r="T346" s="215"/>
      <c r="U346" s="215"/>
      <c r="V346" s="215"/>
      <c r="W346" s="215"/>
      <c r="X346" s="215"/>
      <c r="Y346" s="215"/>
      <c r="Z346" s="215"/>
      <c r="AA346" s="215"/>
      <c r="AB346" s="215"/>
      <c r="AC346" s="215"/>
      <c r="AD346" s="215"/>
      <c r="AE346" s="215"/>
      <c r="AF346" s="215"/>
      <c r="AG346" s="216"/>
      <c r="AJ346" s="214"/>
      <c r="AO346" s="214"/>
      <c r="AQ346" s="214"/>
      <c r="AU346" s="217"/>
      <c r="AV346" s="217"/>
      <c r="AW346" s="217"/>
    </row>
    <row r="347">
      <c r="C347" s="214"/>
      <c r="E347" s="215"/>
      <c r="F347" s="215"/>
      <c r="G347" s="215"/>
      <c r="H347" s="215"/>
      <c r="I347" s="215"/>
      <c r="J347" s="215"/>
      <c r="K347" s="215"/>
      <c r="L347" s="215"/>
      <c r="M347" s="215"/>
      <c r="N347" s="215"/>
      <c r="O347" s="215"/>
      <c r="P347" s="215"/>
      <c r="Q347" s="215"/>
      <c r="R347" s="215"/>
      <c r="S347" s="215"/>
      <c r="T347" s="215"/>
      <c r="U347" s="215"/>
      <c r="V347" s="215"/>
      <c r="W347" s="215"/>
      <c r="X347" s="215"/>
      <c r="Y347" s="215"/>
      <c r="Z347" s="215"/>
      <c r="AA347" s="215"/>
      <c r="AB347" s="215"/>
      <c r="AC347" s="215"/>
      <c r="AD347" s="215"/>
      <c r="AE347" s="215"/>
      <c r="AF347" s="215"/>
      <c r="AG347" s="216"/>
      <c r="AJ347" s="214"/>
      <c r="AO347" s="214"/>
      <c r="AQ347" s="214"/>
      <c r="AU347" s="217"/>
      <c r="AV347" s="217"/>
      <c r="AW347" s="217"/>
    </row>
    <row r="348">
      <c r="C348" s="214"/>
      <c r="E348" s="215"/>
      <c r="F348" s="215"/>
      <c r="G348" s="215"/>
      <c r="H348" s="215"/>
      <c r="I348" s="215"/>
      <c r="J348" s="215"/>
      <c r="K348" s="215"/>
      <c r="L348" s="215"/>
      <c r="M348" s="215"/>
      <c r="N348" s="215"/>
      <c r="O348" s="215"/>
      <c r="P348" s="215"/>
      <c r="Q348" s="215"/>
      <c r="R348" s="215"/>
      <c r="S348" s="215"/>
      <c r="T348" s="215"/>
      <c r="U348" s="215"/>
      <c r="V348" s="215"/>
      <c r="W348" s="215"/>
      <c r="X348" s="215"/>
      <c r="Y348" s="215"/>
      <c r="Z348" s="215"/>
      <c r="AA348" s="215"/>
      <c r="AB348" s="215"/>
      <c r="AC348" s="215"/>
      <c r="AD348" s="215"/>
      <c r="AE348" s="215"/>
      <c r="AF348" s="215"/>
      <c r="AG348" s="216"/>
      <c r="AJ348" s="214"/>
      <c r="AO348" s="214"/>
      <c r="AQ348" s="214"/>
      <c r="AU348" s="217"/>
      <c r="AV348" s="217"/>
      <c r="AW348" s="217"/>
    </row>
    <row r="349">
      <c r="C349" s="214"/>
      <c r="E349" s="215"/>
      <c r="F349" s="215"/>
      <c r="G349" s="215"/>
      <c r="H349" s="215"/>
      <c r="I349" s="215"/>
      <c r="J349" s="215"/>
      <c r="K349" s="215"/>
      <c r="L349" s="215"/>
      <c r="M349" s="215"/>
      <c r="N349" s="215"/>
      <c r="O349" s="215"/>
      <c r="P349" s="215"/>
      <c r="Q349" s="215"/>
      <c r="R349" s="215"/>
      <c r="S349" s="215"/>
      <c r="T349" s="215"/>
      <c r="U349" s="215"/>
      <c r="V349" s="215"/>
      <c r="W349" s="215"/>
      <c r="X349" s="215"/>
      <c r="Y349" s="215"/>
      <c r="Z349" s="215"/>
      <c r="AA349" s="215"/>
      <c r="AB349" s="215"/>
      <c r="AC349" s="215"/>
      <c r="AD349" s="215"/>
      <c r="AE349" s="215"/>
      <c r="AF349" s="215"/>
      <c r="AG349" s="216"/>
      <c r="AJ349" s="214"/>
      <c r="AO349" s="214"/>
      <c r="AQ349" s="214"/>
      <c r="AU349" s="217"/>
      <c r="AV349" s="217"/>
      <c r="AW349" s="217"/>
    </row>
    <row r="350">
      <c r="C350" s="214"/>
      <c r="E350" s="215"/>
      <c r="F350" s="215"/>
      <c r="G350" s="215"/>
      <c r="H350" s="215"/>
      <c r="I350" s="215"/>
      <c r="J350" s="215"/>
      <c r="K350" s="215"/>
      <c r="L350" s="215"/>
      <c r="M350" s="215"/>
      <c r="N350" s="215"/>
      <c r="O350" s="215"/>
      <c r="P350" s="215"/>
      <c r="Q350" s="215"/>
      <c r="R350" s="215"/>
      <c r="S350" s="215"/>
      <c r="T350" s="215"/>
      <c r="U350" s="215"/>
      <c r="V350" s="215"/>
      <c r="W350" s="215"/>
      <c r="X350" s="215"/>
      <c r="Y350" s="215"/>
      <c r="Z350" s="215"/>
      <c r="AA350" s="215"/>
      <c r="AB350" s="215"/>
      <c r="AC350" s="215"/>
      <c r="AD350" s="215"/>
      <c r="AE350" s="215"/>
      <c r="AF350" s="215"/>
      <c r="AG350" s="216"/>
      <c r="AJ350" s="214"/>
      <c r="AO350" s="214"/>
      <c r="AQ350" s="214"/>
      <c r="AU350" s="217"/>
      <c r="AV350" s="217"/>
      <c r="AW350" s="217"/>
    </row>
    <row r="351">
      <c r="C351" s="214"/>
      <c r="E351" s="215"/>
      <c r="F351" s="215"/>
      <c r="G351" s="215"/>
      <c r="H351" s="215"/>
      <c r="I351" s="215"/>
      <c r="J351" s="215"/>
      <c r="K351" s="215"/>
      <c r="L351" s="215"/>
      <c r="M351" s="215"/>
      <c r="N351" s="215"/>
      <c r="O351" s="215"/>
      <c r="P351" s="215"/>
      <c r="Q351" s="215"/>
      <c r="R351" s="215"/>
      <c r="S351" s="215"/>
      <c r="T351" s="215"/>
      <c r="U351" s="215"/>
      <c r="V351" s="215"/>
      <c r="W351" s="215"/>
      <c r="X351" s="215"/>
      <c r="Y351" s="215"/>
      <c r="Z351" s="215"/>
      <c r="AA351" s="215"/>
      <c r="AB351" s="215"/>
      <c r="AC351" s="215"/>
      <c r="AD351" s="215"/>
      <c r="AE351" s="215"/>
      <c r="AF351" s="215"/>
      <c r="AG351" s="216"/>
      <c r="AJ351" s="214"/>
      <c r="AO351" s="214"/>
      <c r="AQ351" s="214"/>
      <c r="AU351" s="217"/>
      <c r="AV351" s="217"/>
      <c r="AW351" s="217"/>
    </row>
    <row r="352">
      <c r="C352" s="214"/>
      <c r="E352" s="215"/>
      <c r="F352" s="215"/>
      <c r="G352" s="215"/>
      <c r="H352" s="215"/>
      <c r="I352" s="215"/>
      <c r="J352" s="215"/>
      <c r="K352" s="215"/>
      <c r="L352" s="215"/>
      <c r="M352" s="215"/>
      <c r="N352" s="215"/>
      <c r="O352" s="215"/>
      <c r="P352" s="215"/>
      <c r="Q352" s="215"/>
      <c r="R352" s="215"/>
      <c r="S352" s="215"/>
      <c r="T352" s="215"/>
      <c r="U352" s="215"/>
      <c r="V352" s="215"/>
      <c r="W352" s="215"/>
      <c r="X352" s="215"/>
      <c r="Y352" s="215"/>
      <c r="Z352" s="215"/>
      <c r="AA352" s="215"/>
      <c r="AB352" s="215"/>
      <c r="AC352" s="215"/>
      <c r="AD352" s="215"/>
      <c r="AE352" s="215"/>
      <c r="AF352" s="215"/>
      <c r="AG352" s="216"/>
      <c r="AJ352" s="214"/>
      <c r="AO352" s="214"/>
      <c r="AQ352" s="214"/>
      <c r="AU352" s="217"/>
      <c r="AV352" s="217"/>
      <c r="AW352" s="217"/>
    </row>
    <row r="353">
      <c r="C353" s="214"/>
      <c r="E353" s="215"/>
      <c r="F353" s="215"/>
      <c r="G353" s="215"/>
      <c r="H353" s="215"/>
      <c r="I353" s="215"/>
      <c r="J353" s="215"/>
      <c r="K353" s="215"/>
      <c r="L353" s="215"/>
      <c r="M353" s="215"/>
      <c r="N353" s="215"/>
      <c r="O353" s="215"/>
      <c r="P353" s="215"/>
      <c r="Q353" s="215"/>
      <c r="R353" s="215"/>
      <c r="S353" s="215"/>
      <c r="T353" s="215"/>
      <c r="U353" s="215"/>
      <c r="V353" s="215"/>
      <c r="W353" s="215"/>
      <c r="X353" s="215"/>
      <c r="Y353" s="215"/>
      <c r="Z353" s="215"/>
      <c r="AA353" s="215"/>
      <c r="AB353" s="215"/>
      <c r="AC353" s="215"/>
      <c r="AD353" s="215"/>
      <c r="AE353" s="215"/>
      <c r="AF353" s="215"/>
      <c r="AG353" s="216"/>
      <c r="AJ353" s="214"/>
      <c r="AO353" s="214"/>
      <c r="AQ353" s="214"/>
      <c r="AU353" s="217"/>
      <c r="AV353" s="217"/>
      <c r="AW353" s="217"/>
    </row>
    <row r="354">
      <c r="C354" s="214"/>
      <c r="E354" s="215"/>
      <c r="F354" s="215"/>
      <c r="G354" s="215"/>
      <c r="H354" s="215"/>
      <c r="I354" s="215"/>
      <c r="J354" s="215"/>
      <c r="K354" s="215"/>
      <c r="L354" s="215"/>
      <c r="M354" s="215"/>
      <c r="N354" s="215"/>
      <c r="O354" s="215"/>
      <c r="P354" s="215"/>
      <c r="Q354" s="215"/>
      <c r="R354" s="215"/>
      <c r="S354" s="215"/>
      <c r="T354" s="215"/>
      <c r="U354" s="215"/>
      <c r="V354" s="215"/>
      <c r="W354" s="215"/>
      <c r="X354" s="215"/>
      <c r="Y354" s="215"/>
      <c r="Z354" s="215"/>
      <c r="AA354" s="215"/>
      <c r="AB354" s="215"/>
      <c r="AC354" s="215"/>
      <c r="AD354" s="215"/>
      <c r="AE354" s="215"/>
      <c r="AF354" s="215"/>
      <c r="AG354" s="216"/>
      <c r="AJ354" s="214"/>
      <c r="AO354" s="214"/>
      <c r="AQ354" s="214"/>
      <c r="AU354" s="217"/>
      <c r="AV354" s="217"/>
      <c r="AW354" s="217"/>
    </row>
    <row r="355">
      <c r="C355" s="214"/>
      <c r="E355" s="215"/>
      <c r="F355" s="215"/>
      <c r="G355" s="215"/>
      <c r="H355" s="215"/>
      <c r="I355" s="215"/>
      <c r="J355" s="215"/>
      <c r="K355" s="215"/>
      <c r="L355" s="215"/>
      <c r="M355" s="215"/>
      <c r="N355" s="215"/>
      <c r="O355" s="215"/>
      <c r="P355" s="215"/>
      <c r="Q355" s="215"/>
      <c r="R355" s="215"/>
      <c r="S355" s="215"/>
      <c r="T355" s="215"/>
      <c r="U355" s="215"/>
      <c r="V355" s="215"/>
      <c r="W355" s="215"/>
      <c r="X355" s="215"/>
      <c r="Y355" s="215"/>
      <c r="Z355" s="215"/>
      <c r="AA355" s="215"/>
      <c r="AB355" s="215"/>
      <c r="AC355" s="215"/>
      <c r="AD355" s="215"/>
      <c r="AE355" s="215"/>
      <c r="AF355" s="215"/>
      <c r="AG355" s="216"/>
      <c r="AJ355" s="214"/>
      <c r="AO355" s="214"/>
      <c r="AQ355" s="214"/>
      <c r="AU355" s="217"/>
      <c r="AV355" s="217"/>
      <c r="AW355" s="217"/>
    </row>
    <row r="356">
      <c r="C356" s="214"/>
      <c r="E356" s="215"/>
      <c r="F356" s="215"/>
      <c r="G356" s="215"/>
      <c r="H356" s="215"/>
      <c r="I356" s="215"/>
      <c r="J356" s="215"/>
      <c r="K356" s="215"/>
      <c r="L356" s="215"/>
      <c r="M356" s="215"/>
      <c r="N356" s="215"/>
      <c r="O356" s="215"/>
      <c r="P356" s="215"/>
      <c r="Q356" s="215"/>
      <c r="R356" s="215"/>
      <c r="S356" s="215"/>
      <c r="T356" s="215"/>
      <c r="U356" s="215"/>
      <c r="V356" s="215"/>
      <c r="W356" s="215"/>
      <c r="X356" s="215"/>
      <c r="Y356" s="215"/>
      <c r="Z356" s="215"/>
      <c r="AA356" s="215"/>
      <c r="AB356" s="215"/>
      <c r="AC356" s="215"/>
      <c r="AD356" s="215"/>
      <c r="AE356" s="215"/>
      <c r="AF356" s="215"/>
      <c r="AG356" s="216"/>
      <c r="AJ356" s="214"/>
      <c r="AO356" s="214"/>
      <c r="AQ356" s="214"/>
      <c r="AU356" s="217"/>
      <c r="AV356" s="217"/>
      <c r="AW356" s="217"/>
    </row>
    <row r="357">
      <c r="C357" s="214"/>
      <c r="E357" s="215"/>
      <c r="F357" s="215"/>
      <c r="G357" s="215"/>
      <c r="H357" s="215"/>
      <c r="I357" s="215"/>
      <c r="J357" s="215"/>
      <c r="K357" s="215"/>
      <c r="L357" s="215"/>
      <c r="M357" s="215"/>
      <c r="N357" s="215"/>
      <c r="O357" s="215"/>
      <c r="P357" s="215"/>
      <c r="Q357" s="215"/>
      <c r="R357" s="215"/>
      <c r="S357" s="215"/>
      <c r="T357" s="215"/>
      <c r="U357" s="215"/>
      <c r="V357" s="215"/>
      <c r="W357" s="215"/>
      <c r="X357" s="215"/>
      <c r="Y357" s="215"/>
      <c r="Z357" s="215"/>
      <c r="AA357" s="215"/>
      <c r="AB357" s="215"/>
      <c r="AC357" s="215"/>
      <c r="AD357" s="215"/>
      <c r="AE357" s="215"/>
      <c r="AF357" s="215"/>
      <c r="AG357" s="216"/>
      <c r="AJ357" s="214"/>
      <c r="AO357" s="214"/>
      <c r="AQ357" s="214"/>
      <c r="AU357" s="217"/>
      <c r="AV357" s="217"/>
      <c r="AW357" s="217"/>
    </row>
    <row r="358">
      <c r="C358" s="214"/>
      <c r="E358" s="215"/>
      <c r="F358" s="215"/>
      <c r="G358" s="215"/>
      <c r="H358" s="215"/>
      <c r="I358" s="215"/>
      <c r="J358" s="215"/>
      <c r="K358" s="215"/>
      <c r="L358" s="215"/>
      <c r="M358" s="215"/>
      <c r="N358" s="215"/>
      <c r="O358" s="215"/>
      <c r="P358" s="215"/>
      <c r="Q358" s="215"/>
      <c r="R358" s="215"/>
      <c r="S358" s="215"/>
      <c r="T358" s="215"/>
      <c r="U358" s="215"/>
      <c r="V358" s="215"/>
      <c r="W358" s="215"/>
      <c r="X358" s="215"/>
      <c r="Y358" s="215"/>
      <c r="Z358" s="215"/>
      <c r="AA358" s="215"/>
      <c r="AB358" s="215"/>
      <c r="AC358" s="215"/>
      <c r="AD358" s="215"/>
      <c r="AE358" s="215"/>
      <c r="AF358" s="215"/>
      <c r="AG358" s="216"/>
      <c r="AJ358" s="214"/>
      <c r="AO358" s="214"/>
      <c r="AQ358" s="214"/>
      <c r="AU358" s="217"/>
      <c r="AV358" s="217"/>
      <c r="AW358" s="217"/>
    </row>
    <row r="359">
      <c r="C359" s="214"/>
      <c r="E359" s="215"/>
      <c r="F359" s="215"/>
      <c r="G359" s="215"/>
      <c r="H359" s="215"/>
      <c r="I359" s="215"/>
      <c r="J359" s="215"/>
      <c r="K359" s="215"/>
      <c r="L359" s="215"/>
      <c r="M359" s="215"/>
      <c r="N359" s="215"/>
      <c r="O359" s="215"/>
      <c r="P359" s="215"/>
      <c r="Q359" s="215"/>
      <c r="R359" s="215"/>
      <c r="S359" s="215"/>
      <c r="T359" s="215"/>
      <c r="U359" s="215"/>
      <c r="V359" s="215"/>
      <c r="W359" s="215"/>
      <c r="X359" s="215"/>
      <c r="Y359" s="215"/>
      <c r="Z359" s="215"/>
      <c r="AA359" s="215"/>
      <c r="AB359" s="215"/>
      <c r="AC359" s="215"/>
      <c r="AD359" s="215"/>
      <c r="AE359" s="215"/>
      <c r="AF359" s="215"/>
      <c r="AG359" s="216"/>
      <c r="AJ359" s="214"/>
      <c r="AO359" s="214"/>
      <c r="AQ359" s="214"/>
      <c r="AU359" s="217"/>
      <c r="AV359" s="217"/>
      <c r="AW359" s="217"/>
    </row>
    <row r="360">
      <c r="C360" s="214"/>
      <c r="E360" s="215"/>
      <c r="F360" s="215"/>
      <c r="G360" s="215"/>
      <c r="H360" s="215"/>
      <c r="I360" s="215"/>
      <c r="J360" s="215"/>
      <c r="K360" s="215"/>
      <c r="L360" s="215"/>
      <c r="M360" s="215"/>
      <c r="N360" s="215"/>
      <c r="O360" s="215"/>
      <c r="P360" s="215"/>
      <c r="Q360" s="215"/>
      <c r="R360" s="215"/>
      <c r="S360" s="215"/>
      <c r="T360" s="215"/>
      <c r="U360" s="215"/>
      <c r="V360" s="215"/>
      <c r="W360" s="215"/>
      <c r="X360" s="215"/>
      <c r="Y360" s="215"/>
      <c r="Z360" s="215"/>
      <c r="AA360" s="215"/>
      <c r="AB360" s="215"/>
      <c r="AC360" s="215"/>
      <c r="AD360" s="215"/>
      <c r="AE360" s="215"/>
      <c r="AF360" s="215"/>
      <c r="AG360" s="216"/>
      <c r="AJ360" s="214"/>
      <c r="AO360" s="214"/>
      <c r="AQ360" s="214"/>
      <c r="AU360" s="217"/>
      <c r="AV360" s="217"/>
      <c r="AW360" s="217"/>
    </row>
    <row r="361">
      <c r="C361" s="214"/>
      <c r="E361" s="215"/>
      <c r="F361" s="215"/>
      <c r="G361" s="215"/>
      <c r="H361" s="215"/>
      <c r="I361" s="215"/>
      <c r="J361" s="215"/>
      <c r="K361" s="215"/>
      <c r="L361" s="215"/>
      <c r="M361" s="215"/>
      <c r="N361" s="215"/>
      <c r="O361" s="215"/>
      <c r="P361" s="215"/>
      <c r="Q361" s="215"/>
      <c r="R361" s="215"/>
      <c r="S361" s="215"/>
      <c r="T361" s="215"/>
      <c r="U361" s="215"/>
      <c r="V361" s="215"/>
      <c r="W361" s="215"/>
      <c r="X361" s="215"/>
      <c r="Y361" s="215"/>
      <c r="Z361" s="215"/>
      <c r="AA361" s="215"/>
      <c r="AB361" s="215"/>
      <c r="AC361" s="215"/>
      <c r="AD361" s="215"/>
      <c r="AE361" s="215"/>
      <c r="AF361" s="215"/>
      <c r="AG361" s="216"/>
      <c r="AJ361" s="214"/>
      <c r="AO361" s="214"/>
      <c r="AQ361" s="214"/>
      <c r="AU361" s="217"/>
      <c r="AV361" s="217"/>
      <c r="AW361" s="217"/>
    </row>
    <row r="362">
      <c r="C362" s="214"/>
      <c r="E362" s="215"/>
      <c r="F362" s="215"/>
      <c r="G362" s="215"/>
      <c r="H362" s="215"/>
      <c r="I362" s="215"/>
      <c r="J362" s="215"/>
      <c r="K362" s="215"/>
      <c r="L362" s="215"/>
      <c r="M362" s="215"/>
      <c r="N362" s="215"/>
      <c r="O362" s="215"/>
      <c r="P362" s="215"/>
      <c r="Q362" s="215"/>
      <c r="R362" s="215"/>
      <c r="S362" s="215"/>
      <c r="T362" s="215"/>
      <c r="U362" s="215"/>
      <c r="V362" s="215"/>
      <c r="W362" s="215"/>
      <c r="X362" s="215"/>
      <c r="Y362" s="215"/>
      <c r="Z362" s="215"/>
      <c r="AA362" s="215"/>
      <c r="AB362" s="215"/>
      <c r="AC362" s="215"/>
      <c r="AD362" s="215"/>
      <c r="AE362" s="215"/>
      <c r="AF362" s="215"/>
      <c r="AG362" s="216"/>
      <c r="AJ362" s="214"/>
      <c r="AO362" s="214"/>
      <c r="AQ362" s="214"/>
      <c r="AU362" s="217"/>
      <c r="AV362" s="217"/>
      <c r="AW362" s="217"/>
    </row>
    <row r="363">
      <c r="C363" s="214"/>
      <c r="E363" s="215"/>
      <c r="F363" s="215"/>
      <c r="G363" s="215"/>
      <c r="H363" s="215"/>
      <c r="I363" s="215"/>
      <c r="J363" s="215"/>
      <c r="K363" s="215"/>
      <c r="L363" s="215"/>
      <c r="M363" s="215"/>
      <c r="N363" s="215"/>
      <c r="O363" s="215"/>
      <c r="P363" s="215"/>
      <c r="Q363" s="215"/>
      <c r="R363" s="215"/>
      <c r="S363" s="215"/>
      <c r="T363" s="215"/>
      <c r="U363" s="215"/>
      <c r="V363" s="215"/>
      <c r="W363" s="215"/>
      <c r="X363" s="215"/>
      <c r="Y363" s="215"/>
      <c r="Z363" s="215"/>
      <c r="AA363" s="215"/>
      <c r="AB363" s="215"/>
      <c r="AC363" s="215"/>
      <c r="AD363" s="215"/>
      <c r="AE363" s="215"/>
      <c r="AF363" s="215"/>
      <c r="AG363" s="216"/>
      <c r="AJ363" s="214"/>
      <c r="AO363" s="214"/>
      <c r="AQ363" s="214"/>
      <c r="AU363" s="217"/>
      <c r="AV363" s="217"/>
      <c r="AW363" s="217"/>
    </row>
    <row r="364">
      <c r="C364" s="214"/>
      <c r="E364" s="215"/>
      <c r="F364" s="215"/>
      <c r="G364" s="215"/>
      <c r="H364" s="215"/>
      <c r="I364" s="215"/>
      <c r="J364" s="215"/>
      <c r="K364" s="215"/>
      <c r="L364" s="215"/>
      <c r="M364" s="215"/>
      <c r="N364" s="215"/>
      <c r="O364" s="215"/>
      <c r="P364" s="215"/>
      <c r="Q364" s="215"/>
      <c r="R364" s="215"/>
      <c r="S364" s="215"/>
      <c r="T364" s="215"/>
      <c r="U364" s="215"/>
      <c r="V364" s="215"/>
      <c r="W364" s="215"/>
      <c r="X364" s="215"/>
      <c r="Y364" s="215"/>
      <c r="Z364" s="215"/>
      <c r="AA364" s="215"/>
      <c r="AB364" s="215"/>
      <c r="AC364" s="215"/>
      <c r="AD364" s="215"/>
      <c r="AE364" s="215"/>
      <c r="AF364" s="215"/>
      <c r="AG364" s="216"/>
      <c r="AJ364" s="214"/>
      <c r="AO364" s="214"/>
      <c r="AQ364" s="214"/>
      <c r="AU364" s="217"/>
      <c r="AV364" s="217"/>
      <c r="AW364" s="217"/>
    </row>
    <row r="365">
      <c r="C365" s="214"/>
      <c r="E365" s="215"/>
      <c r="F365" s="215"/>
      <c r="G365" s="215"/>
      <c r="H365" s="215"/>
      <c r="I365" s="215"/>
      <c r="J365" s="215"/>
      <c r="K365" s="215"/>
      <c r="L365" s="215"/>
      <c r="M365" s="215"/>
      <c r="N365" s="215"/>
      <c r="O365" s="215"/>
      <c r="P365" s="215"/>
      <c r="Q365" s="215"/>
      <c r="R365" s="215"/>
      <c r="S365" s="215"/>
      <c r="T365" s="215"/>
      <c r="U365" s="215"/>
      <c r="V365" s="215"/>
      <c r="W365" s="215"/>
      <c r="X365" s="215"/>
      <c r="Y365" s="215"/>
      <c r="Z365" s="215"/>
      <c r="AA365" s="215"/>
      <c r="AB365" s="215"/>
      <c r="AC365" s="215"/>
      <c r="AD365" s="215"/>
      <c r="AE365" s="215"/>
      <c r="AF365" s="215"/>
      <c r="AG365" s="216"/>
      <c r="AJ365" s="214"/>
      <c r="AO365" s="214"/>
      <c r="AQ365" s="214"/>
      <c r="AU365" s="217"/>
      <c r="AV365" s="217"/>
      <c r="AW365" s="217"/>
    </row>
    <row r="366">
      <c r="C366" s="214"/>
      <c r="E366" s="215"/>
      <c r="F366" s="215"/>
      <c r="G366" s="215"/>
      <c r="H366" s="215"/>
      <c r="I366" s="215"/>
      <c r="J366" s="215"/>
      <c r="K366" s="215"/>
      <c r="L366" s="215"/>
      <c r="M366" s="215"/>
      <c r="N366" s="215"/>
      <c r="O366" s="215"/>
      <c r="P366" s="215"/>
      <c r="Q366" s="215"/>
      <c r="R366" s="215"/>
      <c r="S366" s="215"/>
      <c r="T366" s="215"/>
      <c r="U366" s="215"/>
      <c r="V366" s="215"/>
      <c r="W366" s="215"/>
      <c r="X366" s="215"/>
      <c r="Y366" s="215"/>
      <c r="Z366" s="215"/>
      <c r="AA366" s="215"/>
      <c r="AB366" s="215"/>
      <c r="AC366" s="215"/>
      <c r="AD366" s="215"/>
      <c r="AE366" s="215"/>
      <c r="AF366" s="215"/>
      <c r="AG366" s="216"/>
      <c r="AJ366" s="214"/>
      <c r="AO366" s="214"/>
      <c r="AQ366" s="214"/>
      <c r="AU366" s="217"/>
      <c r="AV366" s="217"/>
      <c r="AW366" s="217"/>
    </row>
    <row r="367">
      <c r="C367" s="214"/>
      <c r="E367" s="215"/>
      <c r="F367" s="215"/>
      <c r="G367" s="215"/>
      <c r="H367" s="215"/>
      <c r="I367" s="215"/>
      <c r="J367" s="215"/>
      <c r="K367" s="215"/>
      <c r="L367" s="215"/>
      <c r="M367" s="215"/>
      <c r="N367" s="215"/>
      <c r="O367" s="215"/>
      <c r="P367" s="215"/>
      <c r="Q367" s="215"/>
      <c r="R367" s="215"/>
      <c r="S367" s="215"/>
      <c r="T367" s="215"/>
      <c r="U367" s="215"/>
      <c r="V367" s="215"/>
      <c r="W367" s="215"/>
      <c r="X367" s="215"/>
      <c r="Y367" s="215"/>
      <c r="Z367" s="215"/>
      <c r="AA367" s="215"/>
      <c r="AB367" s="215"/>
      <c r="AC367" s="215"/>
      <c r="AD367" s="215"/>
      <c r="AE367" s="215"/>
      <c r="AF367" s="215"/>
      <c r="AG367" s="216"/>
      <c r="AJ367" s="214"/>
      <c r="AO367" s="214"/>
      <c r="AQ367" s="214"/>
      <c r="AU367" s="217"/>
      <c r="AV367" s="217"/>
      <c r="AW367" s="217"/>
    </row>
    <row r="368">
      <c r="C368" s="214"/>
      <c r="E368" s="215"/>
      <c r="F368" s="215"/>
      <c r="G368" s="215"/>
      <c r="H368" s="215"/>
      <c r="I368" s="215"/>
      <c r="J368" s="215"/>
      <c r="K368" s="215"/>
      <c r="L368" s="215"/>
      <c r="M368" s="215"/>
      <c r="N368" s="215"/>
      <c r="O368" s="215"/>
      <c r="P368" s="215"/>
      <c r="Q368" s="215"/>
      <c r="R368" s="215"/>
      <c r="S368" s="215"/>
      <c r="T368" s="215"/>
      <c r="U368" s="215"/>
      <c r="V368" s="215"/>
      <c r="W368" s="215"/>
      <c r="X368" s="215"/>
      <c r="Y368" s="215"/>
      <c r="Z368" s="215"/>
      <c r="AA368" s="215"/>
      <c r="AB368" s="215"/>
      <c r="AC368" s="215"/>
      <c r="AD368" s="215"/>
      <c r="AE368" s="215"/>
      <c r="AF368" s="215"/>
      <c r="AG368" s="216"/>
      <c r="AJ368" s="214"/>
      <c r="AO368" s="214"/>
      <c r="AQ368" s="214"/>
      <c r="AU368" s="217"/>
      <c r="AV368" s="217"/>
      <c r="AW368" s="217"/>
    </row>
    <row r="369">
      <c r="C369" s="214"/>
      <c r="E369" s="215"/>
      <c r="F369" s="215"/>
      <c r="G369" s="215"/>
      <c r="H369" s="215"/>
      <c r="I369" s="215"/>
      <c r="J369" s="215"/>
      <c r="K369" s="215"/>
      <c r="L369" s="215"/>
      <c r="M369" s="215"/>
      <c r="N369" s="215"/>
      <c r="O369" s="215"/>
      <c r="P369" s="215"/>
      <c r="Q369" s="215"/>
      <c r="R369" s="215"/>
      <c r="S369" s="215"/>
      <c r="T369" s="215"/>
      <c r="U369" s="215"/>
      <c r="V369" s="215"/>
      <c r="W369" s="215"/>
      <c r="X369" s="215"/>
      <c r="Y369" s="215"/>
      <c r="Z369" s="215"/>
      <c r="AA369" s="215"/>
      <c r="AB369" s="215"/>
      <c r="AC369" s="215"/>
      <c r="AD369" s="215"/>
      <c r="AE369" s="215"/>
      <c r="AF369" s="215"/>
      <c r="AG369" s="216"/>
      <c r="AJ369" s="214"/>
      <c r="AO369" s="214"/>
      <c r="AQ369" s="214"/>
      <c r="AU369" s="217"/>
      <c r="AV369" s="217"/>
      <c r="AW369" s="217"/>
    </row>
    <row r="370">
      <c r="C370" s="214"/>
      <c r="E370" s="215"/>
      <c r="F370" s="215"/>
      <c r="G370" s="215"/>
      <c r="H370" s="215"/>
      <c r="I370" s="215"/>
      <c r="J370" s="215"/>
      <c r="K370" s="215"/>
      <c r="L370" s="215"/>
      <c r="M370" s="215"/>
      <c r="N370" s="215"/>
      <c r="O370" s="215"/>
      <c r="P370" s="215"/>
      <c r="Q370" s="215"/>
      <c r="R370" s="215"/>
      <c r="S370" s="215"/>
      <c r="T370" s="215"/>
      <c r="U370" s="215"/>
      <c r="V370" s="215"/>
      <c r="W370" s="215"/>
      <c r="X370" s="215"/>
      <c r="Y370" s="215"/>
      <c r="Z370" s="215"/>
      <c r="AA370" s="215"/>
      <c r="AB370" s="215"/>
      <c r="AC370" s="215"/>
      <c r="AD370" s="215"/>
      <c r="AE370" s="215"/>
      <c r="AF370" s="215"/>
      <c r="AG370" s="216"/>
      <c r="AJ370" s="214"/>
      <c r="AO370" s="214"/>
      <c r="AQ370" s="214"/>
      <c r="AU370" s="217"/>
      <c r="AV370" s="217"/>
      <c r="AW370" s="217"/>
    </row>
    <row r="371">
      <c r="C371" s="214"/>
      <c r="E371" s="215"/>
      <c r="F371" s="215"/>
      <c r="G371" s="215"/>
      <c r="H371" s="215"/>
      <c r="I371" s="215"/>
      <c r="J371" s="215"/>
      <c r="K371" s="215"/>
      <c r="L371" s="215"/>
      <c r="M371" s="215"/>
      <c r="N371" s="215"/>
      <c r="O371" s="215"/>
      <c r="P371" s="215"/>
      <c r="Q371" s="215"/>
      <c r="R371" s="215"/>
      <c r="S371" s="215"/>
      <c r="T371" s="215"/>
      <c r="U371" s="215"/>
      <c r="V371" s="215"/>
      <c r="W371" s="215"/>
      <c r="X371" s="215"/>
      <c r="Y371" s="215"/>
      <c r="Z371" s="215"/>
      <c r="AA371" s="215"/>
      <c r="AB371" s="215"/>
      <c r="AC371" s="215"/>
      <c r="AD371" s="215"/>
      <c r="AE371" s="215"/>
      <c r="AF371" s="215"/>
      <c r="AG371" s="216"/>
      <c r="AJ371" s="214"/>
      <c r="AO371" s="214"/>
      <c r="AQ371" s="214"/>
      <c r="AU371" s="217"/>
      <c r="AV371" s="217"/>
      <c r="AW371" s="217"/>
    </row>
    <row r="372">
      <c r="C372" s="214"/>
      <c r="E372" s="215"/>
      <c r="F372" s="215"/>
      <c r="G372" s="215"/>
      <c r="H372" s="215"/>
      <c r="I372" s="215"/>
      <c r="J372" s="215"/>
      <c r="K372" s="215"/>
      <c r="L372" s="215"/>
      <c r="M372" s="215"/>
      <c r="N372" s="215"/>
      <c r="O372" s="215"/>
      <c r="P372" s="215"/>
      <c r="Q372" s="215"/>
      <c r="R372" s="215"/>
      <c r="S372" s="215"/>
      <c r="T372" s="215"/>
      <c r="U372" s="215"/>
      <c r="V372" s="215"/>
      <c r="W372" s="215"/>
      <c r="X372" s="215"/>
      <c r="Y372" s="215"/>
      <c r="Z372" s="215"/>
      <c r="AA372" s="215"/>
      <c r="AB372" s="215"/>
      <c r="AC372" s="215"/>
      <c r="AD372" s="215"/>
      <c r="AE372" s="215"/>
      <c r="AF372" s="215"/>
      <c r="AG372" s="216"/>
      <c r="AJ372" s="214"/>
      <c r="AO372" s="214"/>
      <c r="AQ372" s="214"/>
      <c r="AU372" s="217"/>
      <c r="AV372" s="217"/>
      <c r="AW372" s="217"/>
    </row>
    <row r="373">
      <c r="C373" s="214"/>
      <c r="E373" s="215"/>
      <c r="F373" s="215"/>
      <c r="G373" s="215"/>
      <c r="H373" s="215"/>
      <c r="I373" s="215"/>
      <c r="J373" s="215"/>
      <c r="K373" s="215"/>
      <c r="L373" s="215"/>
      <c r="M373" s="215"/>
      <c r="N373" s="215"/>
      <c r="O373" s="215"/>
      <c r="P373" s="215"/>
      <c r="Q373" s="215"/>
      <c r="R373" s="215"/>
      <c r="S373" s="215"/>
      <c r="T373" s="215"/>
      <c r="U373" s="215"/>
      <c r="V373" s="215"/>
      <c r="W373" s="215"/>
      <c r="X373" s="215"/>
      <c r="Y373" s="215"/>
      <c r="Z373" s="215"/>
      <c r="AA373" s="215"/>
      <c r="AB373" s="215"/>
      <c r="AC373" s="215"/>
      <c r="AD373" s="215"/>
      <c r="AE373" s="215"/>
      <c r="AF373" s="215"/>
      <c r="AG373" s="216"/>
      <c r="AJ373" s="214"/>
      <c r="AO373" s="214"/>
      <c r="AQ373" s="214"/>
      <c r="AU373" s="217"/>
      <c r="AV373" s="217"/>
      <c r="AW373" s="217"/>
    </row>
    <row r="374">
      <c r="C374" s="214"/>
      <c r="E374" s="215"/>
      <c r="F374" s="215"/>
      <c r="G374" s="215"/>
      <c r="H374" s="215"/>
      <c r="I374" s="215"/>
      <c r="J374" s="215"/>
      <c r="K374" s="215"/>
      <c r="L374" s="215"/>
      <c r="M374" s="215"/>
      <c r="N374" s="215"/>
      <c r="O374" s="215"/>
      <c r="P374" s="215"/>
      <c r="Q374" s="215"/>
      <c r="R374" s="215"/>
      <c r="S374" s="215"/>
      <c r="T374" s="215"/>
      <c r="U374" s="215"/>
      <c r="V374" s="215"/>
      <c r="W374" s="215"/>
      <c r="X374" s="215"/>
      <c r="Y374" s="215"/>
      <c r="Z374" s="215"/>
      <c r="AA374" s="215"/>
      <c r="AB374" s="215"/>
      <c r="AC374" s="215"/>
      <c r="AD374" s="215"/>
      <c r="AE374" s="215"/>
      <c r="AF374" s="215"/>
      <c r="AG374" s="216"/>
      <c r="AJ374" s="214"/>
      <c r="AO374" s="214"/>
      <c r="AQ374" s="214"/>
      <c r="AU374" s="217"/>
      <c r="AV374" s="217"/>
      <c r="AW374" s="217"/>
    </row>
    <row r="375">
      <c r="C375" s="214"/>
      <c r="E375" s="215"/>
      <c r="F375" s="215"/>
      <c r="G375" s="215"/>
      <c r="H375" s="215"/>
      <c r="I375" s="215"/>
      <c r="J375" s="215"/>
      <c r="K375" s="215"/>
      <c r="L375" s="215"/>
      <c r="M375" s="215"/>
      <c r="N375" s="215"/>
      <c r="O375" s="215"/>
      <c r="P375" s="215"/>
      <c r="Q375" s="215"/>
      <c r="R375" s="215"/>
      <c r="S375" s="215"/>
      <c r="T375" s="215"/>
      <c r="U375" s="215"/>
      <c r="V375" s="215"/>
      <c r="W375" s="215"/>
      <c r="X375" s="215"/>
      <c r="Y375" s="215"/>
      <c r="Z375" s="215"/>
      <c r="AA375" s="215"/>
      <c r="AB375" s="215"/>
      <c r="AC375" s="215"/>
      <c r="AD375" s="215"/>
      <c r="AE375" s="215"/>
      <c r="AF375" s="215"/>
      <c r="AG375" s="216"/>
      <c r="AJ375" s="214"/>
      <c r="AO375" s="214"/>
      <c r="AQ375" s="214"/>
      <c r="AU375" s="217"/>
      <c r="AV375" s="217"/>
      <c r="AW375" s="217"/>
    </row>
    <row r="376">
      <c r="C376" s="214"/>
      <c r="E376" s="215"/>
      <c r="F376" s="215"/>
      <c r="G376" s="215"/>
      <c r="H376" s="215"/>
      <c r="I376" s="215"/>
      <c r="J376" s="215"/>
      <c r="K376" s="215"/>
      <c r="L376" s="215"/>
      <c r="M376" s="215"/>
      <c r="N376" s="215"/>
      <c r="O376" s="215"/>
      <c r="P376" s="215"/>
      <c r="Q376" s="215"/>
      <c r="R376" s="215"/>
      <c r="S376" s="215"/>
      <c r="T376" s="215"/>
      <c r="U376" s="215"/>
      <c r="V376" s="215"/>
      <c r="W376" s="215"/>
      <c r="X376" s="215"/>
      <c r="Y376" s="215"/>
      <c r="Z376" s="215"/>
      <c r="AA376" s="215"/>
      <c r="AB376" s="215"/>
      <c r="AC376" s="215"/>
      <c r="AD376" s="215"/>
      <c r="AE376" s="215"/>
      <c r="AF376" s="215"/>
      <c r="AG376" s="216"/>
      <c r="AJ376" s="214"/>
      <c r="AO376" s="214"/>
      <c r="AQ376" s="214"/>
      <c r="AU376" s="217"/>
      <c r="AV376" s="217"/>
      <c r="AW376" s="217"/>
    </row>
    <row r="377">
      <c r="C377" s="214"/>
      <c r="E377" s="215"/>
      <c r="F377" s="215"/>
      <c r="G377" s="215"/>
      <c r="H377" s="215"/>
      <c r="I377" s="215"/>
      <c r="J377" s="215"/>
      <c r="K377" s="215"/>
      <c r="L377" s="215"/>
      <c r="M377" s="215"/>
      <c r="N377" s="215"/>
      <c r="O377" s="215"/>
      <c r="P377" s="215"/>
      <c r="Q377" s="215"/>
      <c r="R377" s="215"/>
      <c r="S377" s="215"/>
      <c r="T377" s="215"/>
      <c r="U377" s="215"/>
      <c r="V377" s="215"/>
      <c r="W377" s="215"/>
      <c r="X377" s="215"/>
      <c r="Y377" s="215"/>
      <c r="Z377" s="215"/>
      <c r="AA377" s="215"/>
      <c r="AB377" s="215"/>
      <c r="AC377" s="215"/>
      <c r="AD377" s="215"/>
      <c r="AE377" s="215"/>
      <c r="AF377" s="215"/>
      <c r="AG377" s="216"/>
      <c r="AJ377" s="214"/>
      <c r="AO377" s="214"/>
      <c r="AQ377" s="214"/>
      <c r="AU377" s="217"/>
      <c r="AV377" s="217"/>
      <c r="AW377" s="217"/>
    </row>
    <row r="378">
      <c r="C378" s="214"/>
      <c r="E378" s="215"/>
      <c r="F378" s="215"/>
      <c r="G378" s="215"/>
      <c r="H378" s="215"/>
      <c r="I378" s="215"/>
      <c r="J378" s="215"/>
      <c r="K378" s="215"/>
      <c r="L378" s="215"/>
      <c r="M378" s="215"/>
      <c r="N378" s="215"/>
      <c r="O378" s="215"/>
      <c r="P378" s="215"/>
      <c r="Q378" s="215"/>
      <c r="R378" s="215"/>
      <c r="S378" s="215"/>
      <c r="T378" s="215"/>
      <c r="U378" s="215"/>
      <c r="V378" s="215"/>
      <c r="W378" s="215"/>
      <c r="X378" s="215"/>
      <c r="Y378" s="215"/>
      <c r="Z378" s="215"/>
      <c r="AA378" s="215"/>
      <c r="AB378" s="215"/>
      <c r="AC378" s="215"/>
      <c r="AD378" s="215"/>
      <c r="AE378" s="215"/>
      <c r="AF378" s="215"/>
      <c r="AG378" s="216"/>
      <c r="AJ378" s="214"/>
      <c r="AO378" s="214"/>
      <c r="AQ378" s="214"/>
      <c r="AU378" s="217"/>
      <c r="AV378" s="217"/>
      <c r="AW378" s="217"/>
    </row>
    <row r="379">
      <c r="C379" s="214"/>
      <c r="E379" s="215"/>
      <c r="F379" s="215"/>
      <c r="G379" s="215"/>
      <c r="H379" s="215"/>
      <c r="I379" s="215"/>
      <c r="J379" s="215"/>
      <c r="K379" s="215"/>
      <c r="L379" s="215"/>
      <c r="M379" s="215"/>
      <c r="N379" s="215"/>
      <c r="O379" s="215"/>
      <c r="P379" s="215"/>
      <c r="Q379" s="215"/>
      <c r="R379" s="215"/>
      <c r="S379" s="215"/>
      <c r="T379" s="215"/>
      <c r="U379" s="215"/>
      <c r="V379" s="215"/>
      <c r="W379" s="215"/>
      <c r="X379" s="215"/>
      <c r="Y379" s="215"/>
      <c r="Z379" s="215"/>
      <c r="AA379" s="215"/>
      <c r="AB379" s="215"/>
      <c r="AC379" s="215"/>
      <c r="AD379" s="215"/>
      <c r="AE379" s="215"/>
      <c r="AF379" s="215"/>
      <c r="AG379" s="216"/>
      <c r="AJ379" s="214"/>
      <c r="AO379" s="214"/>
      <c r="AQ379" s="214"/>
      <c r="AU379" s="217"/>
      <c r="AV379" s="217"/>
      <c r="AW379" s="217"/>
    </row>
    <row r="380">
      <c r="C380" s="214"/>
      <c r="E380" s="215"/>
      <c r="F380" s="215"/>
      <c r="G380" s="215"/>
      <c r="H380" s="215"/>
      <c r="I380" s="215"/>
      <c r="J380" s="215"/>
      <c r="K380" s="215"/>
      <c r="L380" s="215"/>
      <c r="M380" s="215"/>
      <c r="N380" s="215"/>
      <c r="O380" s="215"/>
      <c r="P380" s="215"/>
      <c r="Q380" s="215"/>
      <c r="R380" s="215"/>
      <c r="S380" s="215"/>
      <c r="T380" s="215"/>
      <c r="U380" s="215"/>
      <c r="V380" s="215"/>
      <c r="W380" s="215"/>
      <c r="X380" s="215"/>
      <c r="Y380" s="215"/>
      <c r="Z380" s="215"/>
      <c r="AA380" s="215"/>
      <c r="AB380" s="215"/>
      <c r="AC380" s="215"/>
      <c r="AD380" s="215"/>
      <c r="AE380" s="215"/>
      <c r="AF380" s="215"/>
      <c r="AG380" s="216"/>
      <c r="AJ380" s="214"/>
      <c r="AO380" s="214"/>
      <c r="AQ380" s="214"/>
      <c r="AU380" s="217"/>
      <c r="AV380" s="217"/>
      <c r="AW380" s="217"/>
    </row>
    <row r="381">
      <c r="C381" s="214"/>
      <c r="E381" s="215"/>
      <c r="F381" s="215"/>
      <c r="G381" s="215"/>
      <c r="H381" s="215"/>
      <c r="I381" s="215"/>
      <c r="J381" s="215"/>
      <c r="K381" s="215"/>
      <c r="L381" s="215"/>
      <c r="M381" s="215"/>
      <c r="N381" s="215"/>
      <c r="O381" s="215"/>
      <c r="P381" s="215"/>
      <c r="Q381" s="215"/>
      <c r="R381" s="215"/>
      <c r="S381" s="215"/>
      <c r="T381" s="215"/>
      <c r="U381" s="215"/>
      <c r="V381" s="215"/>
      <c r="W381" s="215"/>
      <c r="X381" s="215"/>
      <c r="Y381" s="215"/>
      <c r="Z381" s="215"/>
      <c r="AA381" s="215"/>
      <c r="AB381" s="215"/>
      <c r="AC381" s="215"/>
      <c r="AD381" s="215"/>
      <c r="AE381" s="215"/>
      <c r="AF381" s="215"/>
      <c r="AG381" s="216"/>
      <c r="AJ381" s="214"/>
      <c r="AO381" s="214"/>
      <c r="AQ381" s="214"/>
      <c r="AU381" s="217"/>
      <c r="AV381" s="217"/>
      <c r="AW381" s="217"/>
    </row>
    <row r="382">
      <c r="C382" s="214"/>
      <c r="E382" s="215"/>
      <c r="F382" s="215"/>
      <c r="G382" s="215"/>
      <c r="H382" s="215"/>
      <c r="I382" s="215"/>
      <c r="J382" s="215"/>
      <c r="K382" s="215"/>
      <c r="L382" s="215"/>
      <c r="M382" s="215"/>
      <c r="N382" s="215"/>
      <c r="O382" s="215"/>
      <c r="P382" s="215"/>
      <c r="Q382" s="215"/>
      <c r="R382" s="215"/>
      <c r="S382" s="215"/>
      <c r="T382" s="215"/>
      <c r="U382" s="215"/>
      <c r="V382" s="215"/>
      <c r="W382" s="215"/>
      <c r="X382" s="215"/>
      <c r="Y382" s="215"/>
      <c r="Z382" s="215"/>
      <c r="AA382" s="215"/>
      <c r="AB382" s="215"/>
      <c r="AC382" s="215"/>
      <c r="AD382" s="215"/>
      <c r="AE382" s="215"/>
      <c r="AF382" s="215"/>
      <c r="AG382" s="216"/>
      <c r="AJ382" s="214"/>
      <c r="AO382" s="214"/>
      <c r="AQ382" s="214"/>
      <c r="AU382" s="217"/>
      <c r="AV382" s="217"/>
      <c r="AW382" s="217"/>
    </row>
    <row r="383">
      <c r="C383" s="214"/>
      <c r="E383" s="215"/>
      <c r="F383" s="215"/>
      <c r="G383" s="215"/>
      <c r="H383" s="215"/>
      <c r="I383" s="215"/>
      <c r="J383" s="215"/>
      <c r="K383" s="215"/>
      <c r="L383" s="215"/>
      <c r="M383" s="215"/>
      <c r="N383" s="215"/>
      <c r="O383" s="215"/>
      <c r="P383" s="215"/>
      <c r="Q383" s="215"/>
      <c r="R383" s="215"/>
      <c r="S383" s="215"/>
      <c r="T383" s="215"/>
      <c r="U383" s="215"/>
      <c r="V383" s="215"/>
      <c r="W383" s="215"/>
      <c r="X383" s="215"/>
      <c r="Y383" s="215"/>
      <c r="Z383" s="215"/>
      <c r="AA383" s="215"/>
      <c r="AB383" s="215"/>
      <c r="AC383" s="215"/>
      <c r="AD383" s="215"/>
      <c r="AE383" s="215"/>
      <c r="AF383" s="215"/>
      <c r="AG383" s="216"/>
      <c r="AJ383" s="214"/>
      <c r="AO383" s="214"/>
      <c r="AQ383" s="214"/>
      <c r="AU383" s="217"/>
      <c r="AV383" s="217"/>
      <c r="AW383" s="217"/>
    </row>
    <row r="384">
      <c r="C384" s="214"/>
      <c r="E384" s="215"/>
      <c r="F384" s="215"/>
      <c r="G384" s="215"/>
      <c r="H384" s="215"/>
      <c r="I384" s="215"/>
      <c r="J384" s="215"/>
      <c r="K384" s="215"/>
      <c r="L384" s="215"/>
      <c r="M384" s="215"/>
      <c r="N384" s="215"/>
      <c r="O384" s="215"/>
      <c r="P384" s="215"/>
      <c r="Q384" s="215"/>
      <c r="R384" s="215"/>
      <c r="S384" s="215"/>
      <c r="T384" s="215"/>
      <c r="U384" s="215"/>
      <c r="V384" s="215"/>
      <c r="W384" s="215"/>
      <c r="X384" s="215"/>
      <c r="Y384" s="215"/>
      <c r="Z384" s="215"/>
      <c r="AA384" s="215"/>
      <c r="AB384" s="215"/>
      <c r="AC384" s="215"/>
      <c r="AD384" s="215"/>
      <c r="AE384" s="215"/>
      <c r="AF384" s="215"/>
      <c r="AG384" s="216"/>
      <c r="AJ384" s="214"/>
      <c r="AO384" s="214"/>
      <c r="AQ384" s="214"/>
      <c r="AU384" s="217"/>
      <c r="AV384" s="217"/>
      <c r="AW384" s="217"/>
    </row>
    <row r="385">
      <c r="C385" s="214"/>
      <c r="E385" s="215"/>
      <c r="F385" s="215"/>
      <c r="G385" s="215"/>
      <c r="H385" s="215"/>
      <c r="I385" s="215"/>
      <c r="J385" s="215"/>
      <c r="K385" s="215"/>
      <c r="L385" s="215"/>
      <c r="M385" s="215"/>
      <c r="N385" s="215"/>
      <c r="O385" s="215"/>
      <c r="P385" s="215"/>
      <c r="Q385" s="215"/>
      <c r="R385" s="215"/>
      <c r="S385" s="215"/>
      <c r="T385" s="215"/>
      <c r="U385" s="215"/>
      <c r="V385" s="215"/>
      <c r="W385" s="215"/>
      <c r="X385" s="215"/>
      <c r="Y385" s="215"/>
      <c r="Z385" s="215"/>
      <c r="AA385" s="215"/>
      <c r="AB385" s="215"/>
      <c r="AC385" s="215"/>
      <c r="AD385" s="215"/>
      <c r="AE385" s="215"/>
      <c r="AF385" s="215"/>
      <c r="AG385" s="216"/>
      <c r="AJ385" s="214"/>
      <c r="AO385" s="214"/>
      <c r="AQ385" s="214"/>
      <c r="AU385" s="217"/>
      <c r="AV385" s="217"/>
      <c r="AW385" s="217"/>
    </row>
    <row r="386">
      <c r="C386" s="214"/>
      <c r="E386" s="215"/>
      <c r="F386" s="215"/>
      <c r="G386" s="215"/>
      <c r="H386" s="215"/>
      <c r="I386" s="215"/>
      <c r="J386" s="215"/>
      <c r="K386" s="215"/>
      <c r="L386" s="215"/>
      <c r="M386" s="215"/>
      <c r="N386" s="215"/>
      <c r="O386" s="215"/>
      <c r="P386" s="215"/>
      <c r="Q386" s="215"/>
      <c r="R386" s="215"/>
      <c r="S386" s="215"/>
      <c r="T386" s="215"/>
      <c r="U386" s="215"/>
      <c r="V386" s="215"/>
      <c r="W386" s="215"/>
      <c r="X386" s="215"/>
      <c r="Y386" s="215"/>
      <c r="Z386" s="215"/>
      <c r="AA386" s="215"/>
      <c r="AB386" s="215"/>
      <c r="AC386" s="215"/>
      <c r="AD386" s="215"/>
      <c r="AE386" s="215"/>
      <c r="AF386" s="215"/>
      <c r="AG386" s="216"/>
      <c r="AJ386" s="214"/>
      <c r="AO386" s="214"/>
      <c r="AQ386" s="214"/>
      <c r="AU386" s="217"/>
      <c r="AV386" s="217"/>
      <c r="AW386" s="217"/>
    </row>
    <row r="387">
      <c r="C387" s="214"/>
      <c r="E387" s="215"/>
      <c r="F387" s="215"/>
      <c r="G387" s="215"/>
      <c r="H387" s="215"/>
      <c r="I387" s="215"/>
      <c r="J387" s="215"/>
      <c r="K387" s="215"/>
      <c r="L387" s="215"/>
      <c r="M387" s="215"/>
      <c r="N387" s="215"/>
      <c r="O387" s="215"/>
      <c r="P387" s="215"/>
      <c r="Q387" s="215"/>
      <c r="R387" s="215"/>
      <c r="S387" s="215"/>
      <c r="T387" s="215"/>
      <c r="U387" s="215"/>
      <c r="V387" s="215"/>
      <c r="W387" s="215"/>
      <c r="X387" s="215"/>
      <c r="Y387" s="215"/>
      <c r="Z387" s="215"/>
      <c r="AA387" s="215"/>
      <c r="AB387" s="215"/>
      <c r="AC387" s="215"/>
      <c r="AD387" s="215"/>
      <c r="AE387" s="215"/>
      <c r="AF387" s="215"/>
      <c r="AG387" s="216"/>
      <c r="AJ387" s="214"/>
      <c r="AO387" s="214"/>
      <c r="AQ387" s="214"/>
      <c r="AU387" s="217"/>
      <c r="AV387" s="217"/>
      <c r="AW387" s="217"/>
    </row>
    <row r="388">
      <c r="C388" s="214"/>
      <c r="E388" s="215"/>
      <c r="F388" s="215"/>
      <c r="G388" s="215"/>
      <c r="H388" s="215"/>
      <c r="I388" s="215"/>
      <c r="J388" s="215"/>
      <c r="K388" s="215"/>
      <c r="L388" s="215"/>
      <c r="M388" s="215"/>
      <c r="N388" s="215"/>
      <c r="O388" s="215"/>
      <c r="P388" s="215"/>
      <c r="Q388" s="215"/>
      <c r="R388" s="215"/>
      <c r="S388" s="215"/>
      <c r="T388" s="215"/>
      <c r="U388" s="215"/>
      <c r="V388" s="215"/>
      <c r="W388" s="215"/>
      <c r="X388" s="215"/>
      <c r="Y388" s="215"/>
      <c r="Z388" s="215"/>
      <c r="AA388" s="215"/>
      <c r="AB388" s="215"/>
      <c r="AC388" s="215"/>
      <c r="AD388" s="215"/>
      <c r="AE388" s="215"/>
      <c r="AF388" s="215"/>
      <c r="AG388" s="216"/>
      <c r="AJ388" s="214"/>
      <c r="AO388" s="214"/>
      <c r="AQ388" s="214"/>
      <c r="AU388" s="217"/>
      <c r="AV388" s="217"/>
      <c r="AW388" s="217"/>
    </row>
    <row r="389">
      <c r="C389" s="214"/>
      <c r="E389" s="215"/>
      <c r="F389" s="215"/>
      <c r="G389" s="215"/>
      <c r="H389" s="215"/>
      <c r="I389" s="215"/>
      <c r="J389" s="215"/>
      <c r="K389" s="215"/>
      <c r="L389" s="215"/>
      <c r="M389" s="215"/>
      <c r="N389" s="215"/>
      <c r="O389" s="215"/>
      <c r="P389" s="215"/>
      <c r="Q389" s="215"/>
      <c r="R389" s="215"/>
      <c r="S389" s="215"/>
      <c r="T389" s="215"/>
      <c r="U389" s="215"/>
      <c r="V389" s="215"/>
      <c r="W389" s="215"/>
      <c r="X389" s="215"/>
      <c r="Y389" s="215"/>
      <c r="Z389" s="215"/>
      <c r="AA389" s="215"/>
      <c r="AB389" s="215"/>
      <c r="AC389" s="215"/>
      <c r="AD389" s="215"/>
      <c r="AE389" s="215"/>
      <c r="AF389" s="215"/>
      <c r="AG389" s="216"/>
      <c r="AJ389" s="214"/>
      <c r="AO389" s="214"/>
      <c r="AQ389" s="214"/>
      <c r="AU389" s="217"/>
      <c r="AV389" s="217"/>
      <c r="AW389" s="217"/>
    </row>
    <row r="390">
      <c r="C390" s="214"/>
      <c r="E390" s="215"/>
      <c r="F390" s="215"/>
      <c r="G390" s="215"/>
      <c r="H390" s="215"/>
      <c r="I390" s="215"/>
      <c r="J390" s="215"/>
      <c r="K390" s="215"/>
      <c r="L390" s="215"/>
      <c r="M390" s="215"/>
      <c r="N390" s="215"/>
      <c r="O390" s="215"/>
      <c r="P390" s="215"/>
      <c r="Q390" s="215"/>
      <c r="R390" s="215"/>
      <c r="S390" s="215"/>
      <c r="T390" s="215"/>
      <c r="U390" s="215"/>
      <c r="V390" s="215"/>
      <c r="W390" s="215"/>
      <c r="X390" s="215"/>
      <c r="Y390" s="215"/>
      <c r="Z390" s="215"/>
      <c r="AA390" s="215"/>
      <c r="AB390" s="215"/>
      <c r="AC390" s="215"/>
      <c r="AD390" s="215"/>
      <c r="AE390" s="215"/>
      <c r="AF390" s="215"/>
      <c r="AG390" s="216"/>
      <c r="AJ390" s="214"/>
      <c r="AO390" s="214"/>
      <c r="AQ390" s="214"/>
      <c r="AU390" s="217"/>
      <c r="AV390" s="217"/>
      <c r="AW390" s="217"/>
    </row>
    <row r="391">
      <c r="C391" s="214"/>
      <c r="E391" s="215"/>
      <c r="F391" s="215"/>
      <c r="G391" s="215"/>
      <c r="H391" s="215"/>
      <c r="I391" s="215"/>
      <c r="J391" s="215"/>
      <c r="K391" s="215"/>
      <c r="L391" s="215"/>
      <c r="M391" s="215"/>
      <c r="N391" s="215"/>
      <c r="O391" s="215"/>
      <c r="P391" s="215"/>
      <c r="Q391" s="215"/>
      <c r="R391" s="215"/>
      <c r="S391" s="215"/>
      <c r="T391" s="215"/>
      <c r="U391" s="215"/>
      <c r="V391" s="215"/>
      <c r="W391" s="215"/>
      <c r="X391" s="215"/>
      <c r="Y391" s="215"/>
      <c r="Z391" s="215"/>
      <c r="AA391" s="215"/>
      <c r="AB391" s="215"/>
      <c r="AC391" s="215"/>
      <c r="AD391" s="215"/>
      <c r="AE391" s="215"/>
      <c r="AF391" s="215"/>
      <c r="AG391" s="216"/>
      <c r="AJ391" s="214"/>
      <c r="AO391" s="214"/>
      <c r="AQ391" s="214"/>
      <c r="AU391" s="217"/>
      <c r="AV391" s="217"/>
      <c r="AW391" s="217"/>
    </row>
    <row r="392">
      <c r="C392" s="214"/>
      <c r="E392" s="215"/>
      <c r="F392" s="215"/>
      <c r="G392" s="215"/>
      <c r="H392" s="215"/>
      <c r="I392" s="215"/>
      <c r="J392" s="215"/>
      <c r="K392" s="215"/>
      <c r="L392" s="215"/>
      <c r="M392" s="215"/>
      <c r="N392" s="215"/>
      <c r="O392" s="215"/>
      <c r="P392" s="215"/>
      <c r="Q392" s="215"/>
      <c r="R392" s="215"/>
      <c r="S392" s="215"/>
      <c r="T392" s="215"/>
      <c r="U392" s="215"/>
      <c r="V392" s="215"/>
      <c r="W392" s="215"/>
      <c r="X392" s="215"/>
      <c r="Y392" s="215"/>
      <c r="Z392" s="215"/>
      <c r="AA392" s="215"/>
      <c r="AB392" s="215"/>
      <c r="AC392" s="215"/>
      <c r="AD392" s="215"/>
      <c r="AE392" s="215"/>
      <c r="AF392" s="215"/>
      <c r="AG392" s="216"/>
      <c r="AJ392" s="214"/>
      <c r="AO392" s="214"/>
      <c r="AQ392" s="214"/>
      <c r="AU392" s="217"/>
      <c r="AV392" s="217"/>
      <c r="AW392" s="217"/>
    </row>
    <row r="393">
      <c r="C393" s="214"/>
      <c r="E393" s="215"/>
      <c r="F393" s="215"/>
      <c r="G393" s="215"/>
      <c r="H393" s="215"/>
      <c r="I393" s="215"/>
      <c r="J393" s="215"/>
      <c r="K393" s="215"/>
      <c r="L393" s="215"/>
      <c r="M393" s="215"/>
      <c r="N393" s="215"/>
      <c r="O393" s="215"/>
      <c r="P393" s="215"/>
      <c r="Q393" s="215"/>
      <c r="R393" s="215"/>
      <c r="S393" s="215"/>
      <c r="T393" s="215"/>
      <c r="U393" s="215"/>
      <c r="V393" s="215"/>
      <c r="W393" s="215"/>
      <c r="X393" s="215"/>
      <c r="Y393" s="215"/>
      <c r="Z393" s="215"/>
      <c r="AA393" s="215"/>
      <c r="AB393" s="215"/>
      <c r="AC393" s="215"/>
      <c r="AD393" s="215"/>
      <c r="AE393" s="215"/>
      <c r="AF393" s="215"/>
      <c r="AG393" s="216"/>
      <c r="AJ393" s="214"/>
      <c r="AO393" s="214"/>
      <c r="AQ393" s="214"/>
      <c r="AU393" s="217"/>
      <c r="AV393" s="217"/>
      <c r="AW393" s="217"/>
    </row>
    <row r="394">
      <c r="C394" s="214"/>
      <c r="E394" s="215"/>
      <c r="F394" s="215"/>
      <c r="G394" s="215"/>
      <c r="H394" s="215"/>
      <c r="I394" s="215"/>
      <c r="J394" s="215"/>
      <c r="K394" s="215"/>
      <c r="L394" s="215"/>
      <c r="M394" s="215"/>
      <c r="N394" s="215"/>
      <c r="O394" s="215"/>
      <c r="P394" s="215"/>
      <c r="Q394" s="215"/>
      <c r="R394" s="215"/>
      <c r="S394" s="215"/>
      <c r="T394" s="215"/>
      <c r="U394" s="215"/>
      <c r="V394" s="215"/>
      <c r="W394" s="215"/>
      <c r="X394" s="215"/>
      <c r="Y394" s="215"/>
      <c r="Z394" s="215"/>
      <c r="AA394" s="215"/>
      <c r="AB394" s="215"/>
      <c r="AC394" s="215"/>
      <c r="AD394" s="215"/>
      <c r="AE394" s="215"/>
      <c r="AF394" s="215"/>
      <c r="AG394" s="216"/>
      <c r="AJ394" s="214"/>
      <c r="AO394" s="214"/>
      <c r="AQ394" s="214"/>
      <c r="AU394" s="217"/>
      <c r="AV394" s="217"/>
      <c r="AW394" s="217"/>
    </row>
    <row r="395">
      <c r="C395" s="214"/>
      <c r="E395" s="215"/>
      <c r="F395" s="215"/>
      <c r="G395" s="215"/>
      <c r="H395" s="215"/>
      <c r="I395" s="215"/>
      <c r="J395" s="215"/>
      <c r="K395" s="215"/>
      <c r="L395" s="215"/>
      <c r="M395" s="215"/>
      <c r="N395" s="215"/>
      <c r="O395" s="215"/>
      <c r="P395" s="215"/>
      <c r="Q395" s="215"/>
      <c r="R395" s="215"/>
      <c r="S395" s="215"/>
      <c r="T395" s="215"/>
      <c r="U395" s="215"/>
      <c r="V395" s="215"/>
      <c r="W395" s="215"/>
      <c r="X395" s="215"/>
      <c r="Y395" s="215"/>
      <c r="Z395" s="215"/>
      <c r="AA395" s="215"/>
      <c r="AB395" s="215"/>
      <c r="AC395" s="215"/>
      <c r="AD395" s="215"/>
      <c r="AE395" s="215"/>
      <c r="AF395" s="215"/>
      <c r="AG395" s="216"/>
      <c r="AJ395" s="214"/>
      <c r="AO395" s="214"/>
      <c r="AQ395" s="214"/>
      <c r="AU395" s="217"/>
      <c r="AV395" s="217"/>
      <c r="AW395" s="217"/>
    </row>
    <row r="396">
      <c r="C396" s="214"/>
      <c r="E396" s="215"/>
      <c r="F396" s="215"/>
      <c r="G396" s="215"/>
      <c r="H396" s="215"/>
      <c r="I396" s="215"/>
      <c r="J396" s="215"/>
      <c r="K396" s="215"/>
      <c r="L396" s="215"/>
      <c r="M396" s="215"/>
      <c r="N396" s="215"/>
      <c r="O396" s="215"/>
      <c r="P396" s="215"/>
      <c r="Q396" s="215"/>
      <c r="R396" s="215"/>
      <c r="S396" s="215"/>
      <c r="T396" s="215"/>
      <c r="U396" s="215"/>
      <c r="V396" s="215"/>
      <c r="W396" s="215"/>
      <c r="X396" s="215"/>
      <c r="Y396" s="215"/>
      <c r="Z396" s="215"/>
      <c r="AA396" s="215"/>
      <c r="AB396" s="215"/>
      <c r="AC396" s="215"/>
      <c r="AD396" s="215"/>
      <c r="AE396" s="215"/>
      <c r="AF396" s="215"/>
      <c r="AG396" s="216"/>
      <c r="AJ396" s="214"/>
      <c r="AO396" s="214"/>
      <c r="AQ396" s="214"/>
      <c r="AU396" s="217"/>
      <c r="AV396" s="217"/>
      <c r="AW396" s="217"/>
    </row>
    <row r="397">
      <c r="C397" s="214"/>
      <c r="E397" s="215"/>
      <c r="F397" s="215"/>
      <c r="G397" s="215"/>
      <c r="H397" s="215"/>
      <c r="I397" s="215"/>
      <c r="J397" s="215"/>
      <c r="K397" s="215"/>
      <c r="L397" s="215"/>
      <c r="M397" s="215"/>
      <c r="N397" s="215"/>
      <c r="O397" s="215"/>
      <c r="P397" s="215"/>
      <c r="Q397" s="215"/>
      <c r="R397" s="215"/>
      <c r="S397" s="215"/>
      <c r="T397" s="215"/>
      <c r="U397" s="215"/>
      <c r="V397" s="215"/>
      <c r="W397" s="215"/>
      <c r="X397" s="215"/>
      <c r="Y397" s="215"/>
      <c r="Z397" s="215"/>
      <c r="AA397" s="215"/>
      <c r="AB397" s="215"/>
      <c r="AC397" s="215"/>
      <c r="AD397" s="215"/>
      <c r="AE397" s="215"/>
      <c r="AF397" s="215"/>
      <c r="AG397" s="216"/>
      <c r="AJ397" s="214"/>
      <c r="AO397" s="214"/>
      <c r="AQ397" s="214"/>
      <c r="AU397" s="217"/>
      <c r="AV397" s="217"/>
      <c r="AW397" s="217"/>
    </row>
    <row r="398">
      <c r="C398" s="214"/>
      <c r="E398" s="215"/>
      <c r="F398" s="215"/>
      <c r="G398" s="215"/>
      <c r="H398" s="215"/>
      <c r="I398" s="215"/>
      <c r="J398" s="215"/>
      <c r="K398" s="215"/>
      <c r="L398" s="215"/>
      <c r="M398" s="215"/>
      <c r="N398" s="215"/>
      <c r="O398" s="215"/>
      <c r="P398" s="215"/>
      <c r="Q398" s="215"/>
      <c r="R398" s="215"/>
      <c r="S398" s="215"/>
      <c r="T398" s="215"/>
      <c r="U398" s="215"/>
      <c r="V398" s="215"/>
      <c r="W398" s="215"/>
      <c r="X398" s="215"/>
      <c r="Y398" s="215"/>
      <c r="Z398" s="215"/>
      <c r="AA398" s="215"/>
      <c r="AB398" s="215"/>
      <c r="AC398" s="215"/>
      <c r="AD398" s="215"/>
      <c r="AE398" s="215"/>
      <c r="AF398" s="215"/>
      <c r="AG398" s="216"/>
      <c r="AJ398" s="214"/>
      <c r="AO398" s="214"/>
      <c r="AQ398" s="214"/>
      <c r="AU398" s="217"/>
      <c r="AV398" s="217"/>
      <c r="AW398" s="217"/>
    </row>
    <row r="399">
      <c r="C399" s="214"/>
      <c r="E399" s="215"/>
      <c r="F399" s="215"/>
      <c r="G399" s="215"/>
      <c r="H399" s="215"/>
      <c r="I399" s="215"/>
      <c r="J399" s="215"/>
      <c r="K399" s="215"/>
      <c r="L399" s="215"/>
      <c r="M399" s="215"/>
      <c r="N399" s="215"/>
      <c r="O399" s="215"/>
      <c r="P399" s="215"/>
      <c r="Q399" s="215"/>
      <c r="R399" s="215"/>
      <c r="S399" s="215"/>
      <c r="T399" s="215"/>
      <c r="U399" s="215"/>
      <c r="V399" s="215"/>
      <c r="W399" s="215"/>
      <c r="X399" s="215"/>
      <c r="Y399" s="215"/>
      <c r="Z399" s="215"/>
      <c r="AA399" s="215"/>
      <c r="AB399" s="215"/>
      <c r="AC399" s="215"/>
      <c r="AD399" s="215"/>
      <c r="AE399" s="215"/>
      <c r="AF399" s="215"/>
      <c r="AG399" s="216"/>
      <c r="AJ399" s="214"/>
      <c r="AO399" s="214"/>
      <c r="AQ399" s="214"/>
      <c r="AU399" s="217"/>
      <c r="AV399" s="217"/>
      <c r="AW399" s="217"/>
    </row>
    <row r="400">
      <c r="C400" s="214"/>
      <c r="E400" s="215"/>
      <c r="F400" s="215"/>
      <c r="G400" s="215"/>
      <c r="H400" s="215"/>
      <c r="I400" s="215"/>
      <c r="J400" s="215"/>
      <c r="K400" s="215"/>
      <c r="L400" s="215"/>
      <c r="M400" s="215"/>
      <c r="N400" s="215"/>
      <c r="O400" s="215"/>
      <c r="P400" s="215"/>
      <c r="Q400" s="215"/>
      <c r="R400" s="215"/>
      <c r="S400" s="215"/>
      <c r="T400" s="215"/>
      <c r="U400" s="215"/>
      <c r="V400" s="215"/>
      <c r="W400" s="215"/>
      <c r="X400" s="215"/>
      <c r="Y400" s="215"/>
      <c r="Z400" s="215"/>
      <c r="AA400" s="215"/>
      <c r="AB400" s="215"/>
      <c r="AC400" s="215"/>
      <c r="AD400" s="215"/>
      <c r="AE400" s="215"/>
      <c r="AF400" s="215"/>
      <c r="AG400" s="216"/>
      <c r="AJ400" s="214"/>
      <c r="AO400" s="214"/>
      <c r="AQ400" s="214"/>
      <c r="AU400" s="217"/>
      <c r="AV400" s="217"/>
      <c r="AW400" s="217"/>
    </row>
    <row r="401">
      <c r="C401" s="214"/>
      <c r="E401" s="215"/>
      <c r="F401" s="215"/>
      <c r="G401" s="215"/>
      <c r="H401" s="215"/>
      <c r="I401" s="215"/>
      <c r="J401" s="215"/>
      <c r="K401" s="215"/>
      <c r="L401" s="215"/>
      <c r="M401" s="215"/>
      <c r="N401" s="215"/>
      <c r="O401" s="215"/>
      <c r="P401" s="215"/>
      <c r="Q401" s="215"/>
      <c r="R401" s="215"/>
      <c r="S401" s="215"/>
      <c r="T401" s="215"/>
      <c r="U401" s="215"/>
      <c r="V401" s="215"/>
      <c r="W401" s="215"/>
      <c r="X401" s="215"/>
      <c r="Y401" s="215"/>
      <c r="Z401" s="215"/>
      <c r="AA401" s="215"/>
      <c r="AB401" s="215"/>
      <c r="AC401" s="215"/>
      <c r="AD401" s="215"/>
      <c r="AE401" s="215"/>
      <c r="AF401" s="215"/>
      <c r="AG401" s="216"/>
      <c r="AJ401" s="214"/>
      <c r="AO401" s="214"/>
      <c r="AQ401" s="214"/>
      <c r="AU401" s="217"/>
      <c r="AV401" s="217"/>
      <c r="AW401" s="217"/>
    </row>
    <row r="402">
      <c r="C402" s="214"/>
      <c r="E402" s="215"/>
      <c r="F402" s="215"/>
      <c r="G402" s="215"/>
      <c r="H402" s="215"/>
      <c r="I402" s="215"/>
      <c r="J402" s="215"/>
      <c r="K402" s="215"/>
      <c r="L402" s="215"/>
      <c r="M402" s="215"/>
      <c r="N402" s="215"/>
      <c r="O402" s="215"/>
      <c r="P402" s="215"/>
      <c r="Q402" s="215"/>
      <c r="R402" s="215"/>
      <c r="S402" s="215"/>
      <c r="T402" s="215"/>
      <c r="U402" s="215"/>
      <c r="V402" s="215"/>
      <c r="W402" s="215"/>
      <c r="X402" s="215"/>
      <c r="Y402" s="215"/>
      <c r="Z402" s="215"/>
      <c r="AA402" s="215"/>
      <c r="AB402" s="215"/>
      <c r="AC402" s="215"/>
      <c r="AD402" s="215"/>
      <c r="AE402" s="215"/>
      <c r="AF402" s="215"/>
      <c r="AG402" s="216"/>
      <c r="AJ402" s="214"/>
      <c r="AO402" s="214"/>
      <c r="AQ402" s="214"/>
      <c r="AU402" s="217"/>
      <c r="AV402" s="217"/>
      <c r="AW402" s="217"/>
    </row>
    <row r="403">
      <c r="C403" s="214"/>
      <c r="E403" s="215"/>
      <c r="F403" s="215"/>
      <c r="G403" s="215"/>
      <c r="H403" s="215"/>
      <c r="I403" s="215"/>
      <c r="J403" s="215"/>
      <c r="K403" s="215"/>
      <c r="L403" s="215"/>
      <c r="M403" s="215"/>
      <c r="N403" s="215"/>
      <c r="O403" s="215"/>
      <c r="P403" s="215"/>
      <c r="Q403" s="215"/>
      <c r="R403" s="215"/>
      <c r="S403" s="215"/>
      <c r="T403" s="215"/>
      <c r="U403" s="215"/>
      <c r="V403" s="215"/>
      <c r="W403" s="215"/>
      <c r="X403" s="215"/>
      <c r="Y403" s="215"/>
      <c r="Z403" s="215"/>
      <c r="AA403" s="215"/>
      <c r="AB403" s="215"/>
      <c r="AC403" s="215"/>
      <c r="AD403" s="215"/>
      <c r="AE403" s="215"/>
      <c r="AF403" s="215"/>
      <c r="AG403" s="216"/>
      <c r="AJ403" s="214"/>
      <c r="AO403" s="214"/>
      <c r="AQ403" s="214"/>
      <c r="AU403" s="217"/>
      <c r="AV403" s="217"/>
      <c r="AW403" s="217"/>
    </row>
    <row r="404">
      <c r="C404" s="214"/>
      <c r="E404" s="215"/>
      <c r="F404" s="215"/>
      <c r="G404" s="215"/>
      <c r="H404" s="215"/>
      <c r="I404" s="215"/>
      <c r="J404" s="215"/>
      <c r="K404" s="215"/>
      <c r="L404" s="215"/>
      <c r="M404" s="215"/>
      <c r="N404" s="215"/>
      <c r="O404" s="215"/>
      <c r="P404" s="215"/>
      <c r="Q404" s="215"/>
      <c r="R404" s="215"/>
      <c r="S404" s="215"/>
      <c r="T404" s="215"/>
      <c r="U404" s="215"/>
      <c r="V404" s="215"/>
      <c r="W404" s="215"/>
      <c r="X404" s="215"/>
      <c r="Y404" s="215"/>
      <c r="Z404" s="215"/>
      <c r="AA404" s="215"/>
      <c r="AB404" s="215"/>
      <c r="AC404" s="215"/>
      <c r="AD404" s="215"/>
      <c r="AE404" s="215"/>
      <c r="AF404" s="215"/>
      <c r="AG404" s="216"/>
      <c r="AJ404" s="214"/>
      <c r="AO404" s="214"/>
      <c r="AQ404" s="214"/>
      <c r="AU404" s="217"/>
      <c r="AV404" s="217"/>
      <c r="AW404" s="217"/>
    </row>
    <row r="405">
      <c r="C405" s="214"/>
      <c r="E405" s="215"/>
      <c r="F405" s="215"/>
      <c r="G405" s="215"/>
      <c r="H405" s="215"/>
      <c r="I405" s="215"/>
      <c r="J405" s="215"/>
      <c r="K405" s="215"/>
      <c r="L405" s="215"/>
      <c r="M405" s="215"/>
      <c r="N405" s="215"/>
      <c r="O405" s="215"/>
      <c r="P405" s="215"/>
      <c r="Q405" s="215"/>
      <c r="R405" s="215"/>
      <c r="S405" s="215"/>
      <c r="T405" s="215"/>
      <c r="U405" s="215"/>
      <c r="V405" s="215"/>
      <c r="W405" s="215"/>
      <c r="X405" s="215"/>
      <c r="Y405" s="215"/>
      <c r="Z405" s="215"/>
      <c r="AA405" s="215"/>
      <c r="AB405" s="215"/>
      <c r="AC405" s="215"/>
      <c r="AD405" s="215"/>
      <c r="AE405" s="215"/>
      <c r="AF405" s="215"/>
      <c r="AG405" s="216"/>
      <c r="AJ405" s="214"/>
      <c r="AO405" s="214"/>
      <c r="AQ405" s="214"/>
      <c r="AU405" s="217"/>
      <c r="AV405" s="217"/>
      <c r="AW405" s="217"/>
    </row>
    <row r="406">
      <c r="C406" s="214"/>
      <c r="E406" s="215"/>
      <c r="F406" s="215"/>
      <c r="G406" s="215"/>
      <c r="H406" s="215"/>
      <c r="I406" s="215"/>
      <c r="J406" s="215"/>
      <c r="K406" s="215"/>
      <c r="L406" s="215"/>
      <c r="M406" s="215"/>
      <c r="N406" s="215"/>
      <c r="O406" s="215"/>
      <c r="P406" s="215"/>
      <c r="Q406" s="215"/>
      <c r="R406" s="215"/>
      <c r="S406" s="215"/>
      <c r="T406" s="215"/>
      <c r="U406" s="215"/>
      <c r="V406" s="215"/>
      <c r="W406" s="215"/>
      <c r="X406" s="215"/>
      <c r="Y406" s="215"/>
      <c r="Z406" s="215"/>
      <c r="AA406" s="215"/>
      <c r="AB406" s="215"/>
      <c r="AC406" s="215"/>
      <c r="AD406" s="215"/>
      <c r="AE406" s="215"/>
      <c r="AF406" s="215"/>
      <c r="AG406" s="216"/>
      <c r="AJ406" s="214"/>
      <c r="AO406" s="214"/>
      <c r="AQ406" s="214"/>
      <c r="AU406" s="217"/>
      <c r="AV406" s="217"/>
      <c r="AW406" s="217"/>
    </row>
    <row r="407">
      <c r="C407" s="214"/>
      <c r="E407" s="215"/>
      <c r="F407" s="215"/>
      <c r="G407" s="215"/>
      <c r="H407" s="215"/>
      <c r="I407" s="215"/>
      <c r="J407" s="215"/>
      <c r="K407" s="215"/>
      <c r="L407" s="215"/>
      <c r="M407" s="215"/>
      <c r="N407" s="215"/>
      <c r="O407" s="215"/>
      <c r="P407" s="215"/>
      <c r="Q407" s="215"/>
      <c r="R407" s="215"/>
      <c r="S407" s="215"/>
      <c r="T407" s="215"/>
      <c r="U407" s="215"/>
      <c r="V407" s="215"/>
      <c r="W407" s="215"/>
      <c r="X407" s="215"/>
      <c r="Y407" s="215"/>
      <c r="Z407" s="215"/>
      <c r="AA407" s="215"/>
      <c r="AB407" s="215"/>
      <c r="AC407" s="215"/>
      <c r="AD407" s="215"/>
      <c r="AE407" s="215"/>
      <c r="AF407" s="215"/>
      <c r="AG407" s="216"/>
      <c r="AJ407" s="214"/>
      <c r="AO407" s="214"/>
      <c r="AQ407" s="214"/>
      <c r="AU407" s="217"/>
      <c r="AV407" s="217"/>
      <c r="AW407" s="217"/>
    </row>
    <row r="408">
      <c r="C408" s="214"/>
      <c r="E408" s="215"/>
      <c r="F408" s="215"/>
      <c r="G408" s="215"/>
      <c r="H408" s="215"/>
      <c r="I408" s="215"/>
      <c r="J408" s="215"/>
      <c r="K408" s="215"/>
      <c r="L408" s="215"/>
      <c r="M408" s="215"/>
      <c r="N408" s="215"/>
      <c r="O408" s="215"/>
      <c r="P408" s="215"/>
      <c r="Q408" s="215"/>
      <c r="R408" s="215"/>
      <c r="S408" s="215"/>
      <c r="T408" s="215"/>
      <c r="U408" s="215"/>
      <c r="V408" s="215"/>
      <c r="W408" s="215"/>
      <c r="X408" s="215"/>
      <c r="Y408" s="215"/>
      <c r="Z408" s="215"/>
      <c r="AA408" s="215"/>
      <c r="AB408" s="215"/>
      <c r="AC408" s="215"/>
      <c r="AD408" s="215"/>
      <c r="AE408" s="215"/>
      <c r="AF408" s="215"/>
      <c r="AG408" s="216"/>
      <c r="AJ408" s="214"/>
      <c r="AO408" s="214"/>
      <c r="AQ408" s="214"/>
      <c r="AU408" s="217"/>
      <c r="AV408" s="217"/>
      <c r="AW408" s="217"/>
    </row>
    <row r="409">
      <c r="C409" s="214"/>
      <c r="E409" s="215"/>
      <c r="F409" s="215"/>
      <c r="G409" s="215"/>
      <c r="H409" s="215"/>
      <c r="I409" s="215"/>
      <c r="J409" s="215"/>
      <c r="K409" s="215"/>
      <c r="L409" s="215"/>
      <c r="M409" s="215"/>
      <c r="N409" s="215"/>
      <c r="O409" s="215"/>
      <c r="P409" s="215"/>
      <c r="Q409" s="215"/>
      <c r="R409" s="215"/>
      <c r="S409" s="215"/>
      <c r="T409" s="215"/>
      <c r="U409" s="215"/>
      <c r="V409" s="215"/>
      <c r="W409" s="215"/>
      <c r="X409" s="215"/>
      <c r="Y409" s="215"/>
      <c r="Z409" s="215"/>
      <c r="AA409" s="215"/>
      <c r="AB409" s="215"/>
      <c r="AC409" s="215"/>
      <c r="AD409" s="215"/>
      <c r="AE409" s="215"/>
      <c r="AF409" s="215"/>
      <c r="AG409" s="216"/>
      <c r="AJ409" s="214"/>
      <c r="AO409" s="214"/>
      <c r="AQ409" s="214"/>
      <c r="AU409" s="217"/>
      <c r="AV409" s="217"/>
      <c r="AW409" s="217"/>
    </row>
    <row r="410">
      <c r="C410" s="214"/>
      <c r="E410" s="215"/>
      <c r="F410" s="215"/>
      <c r="G410" s="215"/>
      <c r="H410" s="215"/>
      <c r="I410" s="215"/>
      <c r="J410" s="215"/>
      <c r="K410" s="215"/>
      <c r="L410" s="215"/>
      <c r="M410" s="215"/>
      <c r="N410" s="215"/>
      <c r="O410" s="215"/>
      <c r="P410" s="215"/>
      <c r="Q410" s="215"/>
      <c r="R410" s="215"/>
      <c r="S410" s="215"/>
      <c r="T410" s="215"/>
      <c r="U410" s="215"/>
      <c r="V410" s="215"/>
      <c r="W410" s="215"/>
      <c r="X410" s="215"/>
      <c r="Y410" s="215"/>
      <c r="Z410" s="215"/>
      <c r="AA410" s="215"/>
      <c r="AB410" s="215"/>
      <c r="AC410" s="215"/>
      <c r="AD410" s="215"/>
      <c r="AE410" s="215"/>
      <c r="AF410" s="215"/>
      <c r="AG410" s="216"/>
      <c r="AJ410" s="214"/>
      <c r="AO410" s="214"/>
      <c r="AQ410" s="214"/>
      <c r="AU410" s="217"/>
      <c r="AV410" s="217"/>
      <c r="AW410" s="217"/>
    </row>
    <row r="411">
      <c r="C411" s="214"/>
      <c r="E411" s="215"/>
      <c r="F411" s="215"/>
      <c r="G411" s="215"/>
      <c r="H411" s="215"/>
      <c r="I411" s="215"/>
      <c r="J411" s="215"/>
      <c r="K411" s="215"/>
      <c r="L411" s="215"/>
      <c r="M411" s="215"/>
      <c r="N411" s="215"/>
      <c r="O411" s="215"/>
      <c r="P411" s="215"/>
      <c r="Q411" s="215"/>
      <c r="R411" s="215"/>
      <c r="S411" s="215"/>
      <c r="T411" s="215"/>
      <c r="U411" s="215"/>
      <c r="V411" s="215"/>
      <c r="W411" s="215"/>
      <c r="X411" s="215"/>
      <c r="Y411" s="215"/>
      <c r="Z411" s="215"/>
      <c r="AA411" s="215"/>
      <c r="AB411" s="215"/>
      <c r="AC411" s="215"/>
      <c r="AD411" s="215"/>
      <c r="AE411" s="215"/>
      <c r="AF411" s="215"/>
      <c r="AG411" s="216"/>
      <c r="AJ411" s="214"/>
      <c r="AO411" s="214"/>
      <c r="AQ411" s="214"/>
      <c r="AU411" s="217"/>
      <c r="AV411" s="217"/>
      <c r="AW411" s="217"/>
    </row>
    <row r="412">
      <c r="C412" s="214"/>
      <c r="E412" s="215"/>
      <c r="F412" s="215"/>
      <c r="G412" s="215"/>
      <c r="H412" s="215"/>
      <c r="I412" s="215"/>
      <c r="J412" s="215"/>
      <c r="K412" s="215"/>
      <c r="L412" s="215"/>
      <c r="M412" s="215"/>
      <c r="N412" s="215"/>
      <c r="O412" s="215"/>
      <c r="P412" s="215"/>
      <c r="Q412" s="215"/>
      <c r="R412" s="215"/>
      <c r="S412" s="215"/>
      <c r="T412" s="215"/>
      <c r="U412" s="215"/>
      <c r="V412" s="215"/>
      <c r="W412" s="215"/>
      <c r="X412" s="215"/>
      <c r="Y412" s="215"/>
      <c r="Z412" s="215"/>
      <c r="AA412" s="215"/>
      <c r="AB412" s="215"/>
      <c r="AC412" s="215"/>
      <c r="AD412" s="215"/>
      <c r="AE412" s="215"/>
      <c r="AF412" s="215"/>
      <c r="AG412" s="216"/>
      <c r="AJ412" s="214"/>
      <c r="AO412" s="214"/>
      <c r="AQ412" s="214"/>
      <c r="AU412" s="217"/>
      <c r="AV412" s="217"/>
      <c r="AW412" s="217"/>
    </row>
    <row r="413">
      <c r="C413" s="214"/>
      <c r="E413" s="215"/>
      <c r="F413" s="215"/>
      <c r="G413" s="215"/>
      <c r="H413" s="215"/>
      <c r="I413" s="215"/>
      <c r="J413" s="215"/>
      <c r="K413" s="215"/>
      <c r="L413" s="215"/>
      <c r="M413" s="215"/>
      <c r="N413" s="215"/>
      <c r="O413" s="215"/>
      <c r="P413" s="215"/>
      <c r="Q413" s="215"/>
      <c r="R413" s="215"/>
      <c r="S413" s="215"/>
      <c r="T413" s="215"/>
      <c r="U413" s="215"/>
      <c r="V413" s="215"/>
      <c r="W413" s="215"/>
      <c r="X413" s="215"/>
      <c r="Y413" s="215"/>
      <c r="Z413" s="215"/>
      <c r="AA413" s="215"/>
      <c r="AB413" s="215"/>
      <c r="AC413" s="215"/>
      <c r="AD413" s="215"/>
      <c r="AE413" s="215"/>
      <c r="AF413" s="215"/>
      <c r="AG413" s="216"/>
      <c r="AJ413" s="214"/>
      <c r="AO413" s="214"/>
      <c r="AQ413" s="214"/>
      <c r="AU413" s="217"/>
      <c r="AV413" s="217"/>
      <c r="AW413" s="217"/>
    </row>
    <row r="414">
      <c r="C414" s="214"/>
      <c r="E414" s="215"/>
      <c r="F414" s="215"/>
      <c r="G414" s="215"/>
      <c r="H414" s="215"/>
      <c r="I414" s="215"/>
      <c r="J414" s="215"/>
      <c r="K414" s="215"/>
      <c r="L414" s="215"/>
      <c r="M414" s="215"/>
      <c r="N414" s="215"/>
      <c r="O414" s="215"/>
      <c r="P414" s="215"/>
      <c r="Q414" s="215"/>
      <c r="R414" s="215"/>
      <c r="S414" s="215"/>
      <c r="T414" s="215"/>
      <c r="U414" s="215"/>
      <c r="V414" s="215"/>
      <c r="W414" s="215"/>
      <c r="X414" s="215"/>
      <c r="Y414" s="215"/>
      <c r="Z414" s="215"/>
      <c r="AA414" s="215"/>
      <c r="AB414" s="215"/>
      <c r="AC414" s="215"/>
      <c r="AD414" s="215"/>
      <c r="AE414" s="215"/>
      <c r="AF414" s="215"/>
      <c r="AG414" s="216"/>
      <c r="AJ414" s="214"/>
      <c r="AO414" s="214"/>
      <c r="AQ414" s="214"/>
      <c r="AU414" s="217"/>
      <c r="AV414" s="217"/>
      <c r="AW414" s="217"/>
    </row>
    <row r="415">
      <c r="C415" s="214"/>
      <c r="E415" s="215"/>
      <c r="F415" s="215"/>
      <c r="G415" s="215"/>
      <c r="H415" s="215"/>
      <c r="I415" s="215"/>
      <c r="J415" s="215"/>
      <c r="K415" s="215"/>
      <c r="L415" s="215"/>
      <c r="M415" s="215"/>
      <c r="N415" s="215"/>
      <c r="O415" s="215"/>
      <c r="P415" s="215"/>
      <c r="Q415" s="215"/>
      <c r="R415" s="215"/>
      <c r="S415" s="215"/>
      <c r="T415" s="215"/>
      <c r="U415" s="215"/>
      <c r="V415" s="215"/>
      <c r="W415" s="215"/>
      <c r="X415" s="215"/>
      <c r="Y415" s="215"/>
      <c r="Z415" s="215"/>
      <c r="AA415" s="215"/>
      <c r="AB415" s="215"/>
      <c r="AC415" s="215"/>
      <c r="AD415" s="215"/>
      <c r="AE415" s="215"/>
      <c r="AF415" s="215"/>
      <c r="AG415" s="216"/>
      <c r="AJ415" s="214"/>
      <c r="AO415" s="214"/>
      <c r="AQ415" s="214"/>
      <c r="AU415" s="217"/>
      <c r="AV415" s="217"/>
      <c r="AW415" s="217"/>
    </row>
    <row r="416">
      <c r="C416" s="214"/>
      <c r="E416" s="215"/>
      <c r="F416" s="215"/>
      <c r="G416" s="215"/>
      <c r="H416" s="215"/>
      <c r="I416" s="215"/>
      <c r="J416" s="215"/>
      <c r="K416" s="215"/>
      <c r="L416" s="215"/>
      <c r="M416" s="215"/>
      <c r="N416" s="215"/>
      <c r="O416" s="215"/>
      <c r="P416" s="215"/>
      <c r="Q416" s="215"/>
      <c r="R416" s="215"/>
      <c r="S416" s="215"/>
      <c r="T416" s="215"/>
      <c r="U416" s="215"/>
      <c r="V416" s="215"/>
      <c r="W416" s="215"/>
      <c r="X416" s="215"/>
      <c r="Y416" s="215"/>
      <c r="Z416" s="215"/>
      <c r="AA416" s="215"/>
      <c r="AB416" s="215"/>
      <c r="AC416" s="215"/>
      <c r="AD416" s="215"/>
      <c r="AE416" s="215"/>
      <c r="AF416" s="215"/>
      <c r="AG416" s="216"/>
      <c r="AJ416" s="214"/>
      <c r="AO416" s="214"/>
      <c r="AQ416" s="214"/>
      <c r="AU416" s="217"/>
      <c r="AV416" s="217"/>
      <c r="AW416" s="217"/>
    </row>
    <row r="417">
      <c r="C417" s="214"/>
      <c r="E417" s="215"/>
      <c r="F417" s="215"/>
      <c r="G417" s="215"/>
      <c r="H417" s="215"/>
      <c r="I417" s="215"/>
      <c r="J417" s="215"/>
      <c r="K417" s="215"/>
      <c r="L417" s="215"/>
      <c r="M417" s="215"/>
      <c r="N417" s="215"/>
      <c r="O417" s="215"/>
      <c r="P417" s="215"/>
      <c r="Q417" s="215"/>
      <c r="R417" s="215"/>
      <c r="S417" s="215"/>
      <c r="T417" s="215"/>
      <c r="U417" s="215"/>
      <c r="V417" s="215"/>
      <c r="W417" s="215"/>
      <c r="X417" s="215"/>
      <c r="Y417" s="215"/>
      <c r="Z417" s="215"/>
      <c r="AA417" s="215"/>
      <c r="AB417" s="215"/>
      <c r="AC417" s="215"/>
      <c r="AD417" s="215"/>
      <c r="AE417" s="215"/>
      <c r="AF417" s="215"/>
      <c r="AG417" s="216"/>
      <c r="AJ417" s="214"/>
      <c r="AO417" s="214"/>
      <c r="AQ417" s="214"/>
      <c r="AU417" s="217"/>
      <c r="AV417" s="217"/>
      <c r="AW417" s="217"/>
    </row>
    <row r="418">
      <c r="C418" s="214"/>
      <c r="E418" s="215"/>
      <c r="F418" s="215"/>
      <c r="G418" s="215"/>
      <c r="H418" s="215"/>
      <c r="I418" s="215"/>
      <c r="J418" s="215"/>
      <c r="K418" s="215"/>
      <c r="L418" s="215"/>
      <c r="M418" s="215"/>
      <c r="N418" s="215"/>
      <c r="O418" s="215"/>
      <c r="P418" s="215"/>
      <c r="Q418" s="215"/>
      <c r="R418" s="215"/>
      <c r="S418" s="215"/>
      <c r="T418" s="215"/>
      <c r="U418" s="215"/>
      <c r="V418" s="215"/>
      <c r="W418" s="215"/>
      <c r="X418" s="215"/>
      <c r="Y418" s="215"/>
      <c r="Z418" s="215"/>
      <c r="AA418" s="215"/>
      <c r="AB418" s="215"/>
      <c r="AC418" s="215"/>
      <c r="AD418" s="215"/>
      <c r="AE418" s="215"/>
      <c r="AF418" s="215"/>
      <c r="AG418" s="216"/>
      <c r="AJ418" s="214"/>
      <c r="AO418" s="214"/>
      <c r="AQ418" s="214"/>
      <c r="AU418" s="217"/>
      <c r="AV418" s="217"/>
      <c r="AW418" s="217"/>
    </row>
    <row r="419">
      <c r="C419" s="214"/>
      <c r="E419" s="215"/>
      <c r="F419" s="215"/>
      <c r="G419" s="215"/>
      <c r="H419" s="215"/>
      <c r="I419" s="215"/>
      <c r="J419" s="215"/>
      <c r="K419" s="215"/>
      <c r="L419" s="215"/>
      <c r="M419" s="215"/>
      <c r="N419" s="215"/>
      <c r="O419" s="215"/>
      <c r="P419" s="215"/>
      <c r="Q419" s="215"/>
      <c r="R419" s="215"/>
      <c r="S419" s="215"/>
      <c r="T419" s="215"/>
      <c r="U419" s="215"/>
      <c r="V419" s="215"/>
      <c r="W419" s="215"/>
      <c r="X419" s="215"/>
      <c r="Y419" s="215"/>
      <c r="Z419" s="215"/>
      <c r="AA419" s="215"/>
      <c r="AB419" s="215"/>
      <c r="AC419" s="215"/>
      <c r="AD419" s="215"/>
      <c r="AE419" s="215"/>
      <c r="AF419" s="215"/>
      <c r="AG419" s="216"/>
      <c r="AJ419" s="214"/>
      <c r="AO419" s="214"/>
      <c r="AQ419" s="214"/>
      <c r="AU419" s="217"/>
      <c r="AV419" s="217"/>
      <c r="AW419" s="217"/>
    </row>
    <row r="420">
      <c r="C420" s="214"/>
      <c r="E420" s="215"/>
      <c r="F420" s="215"/>
      <c r="G420" s="215"/>
      <c r="H420" s="215"/>
      <c r="I420" s="215"/>
      <c r="J420" s="215"/>
      <c r="K420" s="215"/>
      <c r="L420" s="215"/>
      <c r="M420" s="215"/>
      <c r="N420" s="215"/>
      <c r="O420" s="215"/>
      <c r="P420" s="215"/>
      <c r="Q420" s="215"/>
      <c r="R420" s="215"/>
      <c r="S420" s="215"/>
      <c r="T420" s="215"/>
      <c r="U420" s="215"/>
      <c r="V420" s="215"/>
      <c r="W420" s="215"/>
      <c r="X420" s="215"/>
      <c r="Y420" s="215"/>
      <c r="Z420" s="215"/>
      <c r="AA420" s="215"/>
      <c r="AB420" s="215"/>
      <c r="AC420" s="215"/>
      <c r="AD420" s="215"/>
      <c r="AE420" s="215"/>
      <c r="AF420" s="215"/>
      <c r="AG420" s="216"/>
      <c r="AJ420" s="214"/>
      <c r="AO420" s="214"/>
      <c r="AQ420" s="214"/>
      <c r="AU420" s="217"/>
      <c r="AV420" s="217"/>
      <c r="AW420" s="217"/>
    </row>
    <row r="421">
      <c r="C421" s="214"/>
      <c r="E421" s="215"/>
      <c r="F421" s="215"/>
      <c r="G421" s="215"/>
      <c r="H421" s="215"/>
      <c r="I421" s="215"/>
      <c r="J421" s="215"/>
      <c r="K421" s="215"/>
      <c r="L421" s="215"/>
      <c r="M421" s="215"/>
      <c r="N421" s="215"/>
      <c r="O421" s="215"/>
      <c r="P421" s="215"/>
      <c r="Q421" s="215"/>
      <c r="R421" s="215"/>
      <c r="S421" s="215"/>
      <c r="T421" s="215"/>
      <c r="U421" s="215"/>
      <c r="V421" s="215"/>
      <c r="W421" s="215"/>
      <c r="X421" s="215"/>
      <c r="Y421" s="215"/>
      <c r="Z421" s="215"/>
      <c r="AA421" s="215"/>
      <c r="AB421" s="215"/>
      <c r="AC421" s="215"/>
      <c r="AD421" s="215"/>
      <c r="AE421" s="215"/>
      <c r="AF421" s="215"/>
      <c r="AG421" s="216"/>
      <c r="AJ421" s="214"/>
      <c r="AO421" s="214"/>
      <c r="AQ421" s="214"/>
      <c r="AU421" s="217"/>
      <c r="AV421" s="217"/>
      <c r="AW421" s="217"/>
    </row>
    <row r="422">
      <c r="C422" s="214"/>
      <c r="E422" s="215"/>
      <c r="F422" s="215"/>
      <c r="G422" s="215"/>
      <c r="H422" s="215"/>
      <c r="I422" s="215"/>
      <c r="J422" s="215"/>
      <c r="K422" s="215"/>
      <c r="L422" s="215"/>
      <c r="M422" s="215"/>
      <c r="N422" s="215"/>
      <c r="O422" s="215"/>
      <c r="P422" s="215"/>
      <c r="Q422" s="215"/>
      <c r="R422" s="215"/>
      <c r="S422" s="215"/>
      <c r="T422" s="215"/>
      <c r="U422" s="215"/>
      <c r="V422" s="215"/>
      <c r="W422" s="215"/>
      <c r="X422" s="215"/>
      <c r="Y422" s="215"/>
      <c r="Z422" s="215"/>
      <c r="AA422" s="215"/>
      <c r="AB422" s="215"/>
      <c r="AC422" s="215"/>
      <c r="AD422" s="215"/>
      <c r="AE422" s="215"/>
      <c r="AF422" s="215"/>
      <c r="AG422" s="216"/>
      <c r="AJ422" s="214"/>
      <c r="AO422" s="214"/>
      <c r="AQ422" s="214"/>
      <c r="AU422" s="217"/>
      <c r="AV422" s="217"/>
      <c r="AW422" s="217"/>
    </row>
    <row r="423">
      <c r="C423" s="214"/>
      <c r="E423" s="215"/>
      <c r="F423" s="215"/>
      <c r="G423" s="215"/>
      <c r="H423" s="215"/>
      <c r="I423" s="215"/>
      <c r="J423" s="215"/>
      <c r="K423" s="215"/>
      <c r="L423" s="215"/>
      <c r="M423" s="215"/>
      <c r="N423" s="215"/>
      <c r="O423" s="215"/>
      <c r="P423" s="215"/>
      <c r="Q423" s="215"/>
      <c r="R423" s="215"/>
      <c r="S423" s="215"/>
      <c r="T423" s="215"/>
      <c r="U423" s="215"/>
      <c r="V423" s="215"/>
      <c r="W423" s="215"/>
      <c r="X423" s="215"/>
      <c r="Y423" s="215"/>
      <c r="Z423" s="215"/>
      <c r="AA423" s="215"/>
      <c r="AB423" s="215"/>
      <c r="AC423" s="215"/>
      <c r="AD423" s="215"/>
      <c r="AE423" s="215"/>
      <c r="AF423" s="215"/>
      <c r="AG423" s="216"/>
      <c r="AJ423" s="214"/>
      <c r="AO423" s="214"/>
      <c r="AQ423" s="214"/>
      <c r="AU423" s="217"/>
      <c r="AV423" s="217"/>
      <c r="AW423" s="217"/>
    </row>
    <row r="424">
      <c r="C424" s="214"/>
      <c r="E424" s="215"/>
      <c r="F424" s="215"/>
      <c r="G424" s="215"/>
      <c r="H424" s="215"/>
      <c r="I424" s="215"/>
      <c r="J424" s="215"/>
      <c r="K424" s="215"/>
      <c r="L424" s="215"/>
      <c r="M424" s="215"/>
      <c r="N424" s="215"/>
      <c r="O424" s="215"/>
      <c r="P424" s="215"/>
      <c r="Q424" s="215"/>
      <c r="R424" s="215"/>
      <c r="S424" s="215"/>
      <c r="T424" s="215"/>
      <c r="U424" s="215"/>
      <c r="V424" s="215"/>
      <c r="W424" s="215"/>
      <c r="X424" s="215"/>
      <c r="Y424" s="215"/>
      <c r="Z424" s="215"/>
      <c r="AA424" s="215"/>
      <c r="AB424" s="215"/>
      <c r="AC424" s="215"/>
      <c r="AD424" s="215"/>
      <c r="AE424" s="215"/>
      <c r="AF424" s="215"/>
      <c r="AG424" s="216"/>
      <c r="AJ424" s="214"/>
      <c r="AO424" s="214"/>
      <c r="AQ424" s="214"/>
      <c r="AU424" s="217"/>
      <c r="AV424" s="217"/>
      <c r="AW424" s="217"/>
    </row>
    <row r="425">
      <c r="C425" s="214"/>
      <c r="E425" s="215"/>
      <c r="F425" s="215"/>
      <c r="G425" s="215"/>
      <c r="H425" s="215"/>
      <c r="I425" s="215"/>
      <c r="J425" s="215"/>
      <c r="K425" s="215"/>
      <c r="L425" s="215"/>
      <c r="M425" s="215"/>
      <c r="N425" s="215"/>
      <c r="O425" s="215"/>
      <c r="P425" s="215"/>
      <c r="Q425" s="215"/>
      <c r="R425" s="215"/>
      <c r="S425" s="215"/>
      <c r="T425" s="215"/>
      <c r="U425" s="215"/>
      <c r="V425" s="215"/>
      <c r="W425" s="215"/>
      <c r="X425" s="215"/>
      <c r="Y425" s="215"/>
      <c r="Z425" s="215"/>
      <c r="AA425" s="215"/>
      <c r="AB425" s="215"/>
      <c r="AC425" s="215"/>
      <c r="AD425" s="215"/>
      <c r="AE425" s="215"/>
      <c r="AF425" s="215"/>
      <c r="AG425" s="216"/>
      <c r="AJ425" s="214"/>
      <c r="AO425" s="214"/>
      <c r="AQ425" s="214"/>
      <c r="AU425" s="217"/>
      <c r="AV425" s="217"/>
      <c r="AW425" s="217"/>
    </row>
    <row r="426">
      <c r="C426" s="214"/>
      <c r="E426" s="215"/>
      <c r="F426" s="215"/>
      <c r="G426" s="215"/>
      <c r="H426" s="215"/>
      <c r="I426" s="215"/>
      <c r="J426" s="215"/>
      <c r="K426" s="215"/>
      <c r="L426" s="215"/>
      <c r="M426" s="215"/>
      <c r="N426" s="215"/>
      <c r="O426" s="215"/>
      <c r="P426" s="215"/>
      <c r="Q426" s="215"/>
      <c r="R426" s="215"/>
      <c r="S426" s="215"/>
      <c r="T426" s="215"/>
      <c r="U426" s="215"/>
      <c r="V426" s="215"/>
      <c r="W426" s="215"/>
      <c r="X426" s="215"/>
      <c r="Y426" s="215"/>
      <c r="Z426" s="215"/>
      <c r="AA426" s="215"/>
      <c r="AB426" s="215"/>
      <c r="AC426" s="215"/>
      <c r="AD426" s="215"/>
      <c r="AE426" s="215"/>
      <c r="AF426" s="215"/>
      <c r="AG426" s="216"/>
      <c r="AJ426" s="214"/>
      <c r="AO426" s="214"/>
      <c r="AQ426" s="214"/>
      <c r="AU426" s="217"/>
      <c r="AV426" s="217"/>
      <c r="AW426" s="217"/>
    </row>
    <row r="427">
      <c r="C427" s="214"/>
      <c r="E427" s="215"/>
      <c r="F427" s="215"/>
      <c r="G427" s="215"/>
      <c r="H427" s="215"/>
      <c r="I427" s="215"/>
      <c r="J427" s="215"/>
      <c r="K427" s="215"/>
      <c r="L427" s="215"/>
      <c r="M427" s="215"/>
      <c r="N427" s="215"/>
      <c r="O427" s="215"/>
      <c r="P427" s="215"/>
      <c r="Q427" s="215"/>
      <c r="R427" s="215"/>
      <c r="S427" s="215"/>
      <c r="T427" s="215"/>
      <c r="U427" s="215"/>
      <c r="V427" s="215"/>
      <c r="W427" s="215"/>
      <c r="X427" s="215"/>
      <c r="Y427" s="215"/>
      <c r="Z427" s="215"/>
      <c r="AA427" s="215"/>
      <c r="AB427" s="215"/>
      <c r="AC427" s="215"/>
      <c r="AD427" s="215"/>
      <c r="AE427" s="215"/>
      <c r="AF427" s="215"/>
      <c r="AG427" s="216"/>
      <c r="AJ427" s="214"/>
      <c r="AO427" s="214"/>
      <c r="AQ427" s="214"/>
      <c r="AU427" s="217"/>
      <c r="AV427" s="217"/>
      <c r="AW427" s="217"/>
    </row>
    <row r="428">
      <c r="C428" s="214"/>
      <c r="E428" s="215"/>
      <c r="F428" s="215"/>
      <c r="G428" s="215"/>
      <c r="H428" s="215"/>
      <c r="I428" s="215"/>
      <c r="J428" s="215"/>
      <c r="K428" s="215"/>
      <c r="L428" s="215"/>
      <c r="M428" s="215"/>
      <c r="N428" s="215"/>
      <c r="O428" s="215"/>
      <c r="P428" s="215"/>
      <c r="Q428" s="215"/>
      <c r="R428" s="215"/>
      <c r="S428" s="215"/>
      <c r="T428" s="215"/>
      <c r="U428" s="215"/>
      <c r="V428" s="215"/>
      <c r="W428" s="215"/>
      <c r="X428" s="215"/>
      <c r="Y428" s="215"/>
      <c r="Z428" s="215"/>
      <c r="AA428" s="215"/>
      <c r="AB428" s="215"/>
      <c r="AC428" s="215"/>
      <c r="AD428" s="215"/>
      <c r="AE428" s="215"/>
      <c r="AF428" s="215"/>
      <c r="AG428" s="216"/>
      <c r="AJ428" s="214"/>
      <c r="AO428" s="214"/>
      <c r="AQ428" s="214"/>
      <c r="AU428" s="217"/>
      <c r="AV428" s="217"/>
      <c r="AW428" s="217"/>
    </row>
    <row r="429">
      <c r="C429" s="214"/>
      <c r="E429" s="215"/>
      <c r="F429" s="215"/>
      <c r="G429" s="215"/>
      <c r="H429" s="215"/>
      <c r="I429" s="215"/>
      <c r="J429" s="215"/>
      <c r="K429" s="215"/>
      <c r="L429" s="215"/>
      <c r="M429" s="215"/>
      <c r="N429" s="215"/>
      <c r="O429" s="215"/>
      <c r="P429" s="215"/>
      <c r="Q429" s="215"/>
      <c r="R429" s="215"/>
      <c r="S429" s="215"/>
      <c r="T429" s="215"/>
      <c r="U429" s="215"/>
      <c r="V429" s="215"/>
      <c r="W429" s="215"/>
      <c r="X429" s="215"/>
      <c r="Y429" s="215"/>
      <c r="Z429" s="215"/>
      <c r="AA429" s="215"/>
      <c r="AB429" s="215"/>
      <c r="AC429" s="215"/>
      <c r="AD429" s="215"/>
      <c r="AE429" s="215"/>
      <c r="AF429" s="215"/>
      <c r="AG429" s="216"/>
      <c r="AJ429" s="214"/>
      <c r="AO429" s="214"/>
      <c r="AQ429" s="214"/>
      <c r="AU429" s="217"/>
      <c r="AV429" s="217"/>
      <c r="AW429" s="217"/>
    </row>
    <row r="430">
      <c r="C430" s="214"/>
      <c r="E430" s="215"/>
      <c r="F430" s="215"/>
      <c r="G430" s="215"/>
      <c r="H430" s="215"/>
      <c r="I430" s="215"/>
      <c r="J430" s="215"/>
      <c r="K430" s="215"/>
      <c r="L430" s="215"/>
      <c r="M430" s="215"/>
      <c r="N430" s="215"/>
      <c r="O430" s="215"/>
      <c r="P430" s="215"/>
      <c r="Q430" s="215"/>
      <c r="R430" s="215"/>
      <c r="S430" s="215"/>
      <c r="T430" s="215"/>
      <c r="U430" s="215"/>
      <c r="V430" s="215"/>
      <c r="W430" s="215"/>
      <c r="X430" s="215"/>
      <c r="Y430" s="215"/>
      <c r="Z430" s="215"/>
      <c r="AA430" s="215"/>
      <c r="AB430" s="215"/>
      <c r="AC430" s="215"/>
      <c r="AD430" s="215"/>
      <c r="AE430" s="215"/>
      <c r="AF430" s="215"/>
      <c r="AG430" s="216"/>
      <c r="AJ430" s="214"/>
      <c r="AO430" s="214"/>
      <c r="AQ430" s="214"/>
      <c r="AU430" s="217"/>
      <c r="AV430" s="217"/>
      <c r="AW430" s="217"/>
    </row>
    <row r="431">
      <c r="C431" s="214"/>
      <c r="E431" s="215"/>
      <c r="F431" s="215"/>
      <c r="G431" s="215"/>
      <c r="H431" s="215"/>
      <c r="I431" s="215"/>
      <c r="J431" s="215"/>
      <c r="K431" s="215"/>
      <c r="L431" s="215"/>
      <c r="M431" s="215"/>
      <c r="N431" s="215"/>
      <c r="O431" s="215"/>
      <c r="P431" s="215"/>
      <c r="Q431" s="215"/>
      <c r="R431" s="215"/>
      <c r="S431" s="215"/>
      <c r="T431" s="215"/>
      <c r="U431" s="215"/>
      <c r="V431" s="215"/>
      <c r="W431" s="215"/>
      <c r="X431" s="215"/>
      <c r="Y431" s="215"/>
      <c r="Z431" s="215"/>
      <c r="AA431" s="215"/>
      <c r="AB431" s="215"/>
      <c r="AC431" s="215"/>
      <c r="AD431" s="215"/>
      <c r="AE431" s="215"/>
      <c r="AF431" s="215"/>
      <c r="AG431" s="216"/>
      <c r="AJ431" s="214"/>
      <c r="AO431" s="214"/>
      <c r="AQ431" s="214"/>
      <c r="AU431" s="217"/>
      <c r="AV431" s="217"/>
      <c r="AW431" s="217"/>
    </row>
    <row r="432">
      <c r="C432" s="214"/>
      <c r="E432" s="215"/>
      <c r="F432" s="215"/>
      <c r="G432" s="215"/>
      <c r="H432" s="215"/>
      <c r="I432" s="215"/>
      <c r="J432" s="215"/>
      <c r="K432" s="215"/>
      <c r="L432" s="215"/>
      <c r="M432" s="215"/>
      <c r="N432" s="215"/>
      <c r="O432" s="215"/>
      <c r="P432" s="215"/>
      <c r="Q432" s="215"/>
      <c r="R432" s="215"/>
      <c r="S432" s="215"/>
      <c r="T432" s="215"/>
      <c r="U432" s="215"/>
      <c r="V432" s="215"/>
      <c r="W432" s="215"/>
      <c r="X432" s="215"/>
      <c r="Y432" s="215"/>
      <c r="Z432" s="215"/>
      <c r="AA432" s="215"/>
      <c r="AB432" s="215"/>
      <c r="AC432" s="215"/>
      <c r="AD432" s="215"/>
      <c r="AE432" s="215"/>
      <c r="AF432" s="215"/>
      <c r="AG432" s="216"/>
      <c r="AJ432" s="214"/>
      <c r="AO432" s="214"/>
      <c r="AQ432" s="214"/>
      <c r="AU432" s="217"/>
      <c r="AV432" s="217"/>
      <c r="AW432" s="217"/>
    </row>
    <row r="433">
      <c r="C433" s="214"/>
      <c r="E433" s="215"/>
      <c r="F433" s="215"/>
      <c r="G433" s="215"/>
      <c r="H433" s="215"/>
      <c r="I433" s="215"/>
      <c r="J433" s="215"/>
      <c r="K433" s="215"/>
      <c r="L433" s="215"/>
      <c r="M433" s="215"/>
      <c r="N433" s="215"/>
      <c r="O433" s="215"/>
      <c r="P433" s="215"/>
      <c r="Q433" s="215"/>
      <c r="R433" s="215"/>
      <c r="S433" s="215"/>
      <c r="T433" s="215"/>
      <c r="U433" s="215"/>
      <c r="V433" s="215"/>
      <c r="W433" s="215"/>
      <c r="X433" s="215"/>
      <c r="Y433" s="215"/>
      <c r="Z433" s="215"/>
      <c r="AA433" s="215"/>
      <c r="AB433" s="215"/>
      <c r="AC433" s="215"/>
      <c r="AD433" s="215"/>
      <c r="AE433" s="215"/>
      <c r="AF433" s="215"/>
      <c r="AG433" s="216"/>
      <c r="AJ433" s="214"/>
      <c r="AO433" s="214"/>
      <c r="AQ433" s="214"/>
      <c r="AU433" s="217"/>
      <c r="AV433" s="217"/>
      <c r="AW433" s="217"/>
    </row>
    <row r="434">
      <c r="C434" s="214"/>
      <c r="E434" s="215"/>
      <c r="F434" s="215"/>
      <c r="G434" s="215"/>
      <c r="H434" s="215"/>
      <c r="I434" s="215"/>
      <c r="J434" s="215"/>
      <c r="K434" s="215"/>
      <c r="L434" s="215"/>
      <c r="M434" s="215"/>
      <c r="N434" s="215"/>
      <c r="O434" s="215"/>
      <c r="P434" s="215"/>
      <c r="Q434" s="215"/>
      <c r="R434" s="215"/>
      <c r="S434" s="215"/>
      <c r="T434" s="215"/>
      <c r="U434" s="215"/>
      <c r="V434" s="215"/>
      <c r="W434" s="215"/>
      <c r="X434" s="215"/>
      <c r="Y434" s="215"/>
      <c r="Z434" s="215"/>
      <c r="AA434" s="215"/>
      <c r="AB434" s="215"/>
      <c r="AC434" s="215"/>
      <c r="AD434" s="215"/>
      <c r="AE434" s="215"/>
      <c r="AF434" s="215"/>
      <c r="AG434" s="216"/>
      <c r="AJ434" s="214"/>
      <c r="AO434" s="214"/>
      <c r="AQ434" s="214"/>
      <c r="AU434" s="217"/>
      <c r="AV434" s="217"/>
      <c r="AW434" s="217"/>
    </row>
    <row r="435">
      <c r="C435" s="214"/>
      <c r="E435" s="215"/>
      <c r="F435" s="215"/>
      <c r="G435" s="215"/>
      <c r="H435" s="215"/>
      <c r="I435" s="215"/>
      <c r="J435" s="215"/>
      <c r="K435" s="215"/>
      <c r="L435" s="215"/>
      <c r="M435" s="215"/>
      <c r="N435" s="215"/>
      <c r="O435" s="215"/>
      <c r="P435" s="215"/>
      <c r="Q435" s="215"/>
      <c r="R435" s="215"/>
      <c r="S435" s="215"/>
      <c r="T435" s="215"/>
      <c r="U435" s="215"/>
      <c r="V435" s="215"/>
      <c r="W435" s="215"/>
      <c r="X435" s="215"/>
      <c r="Y435" s="215"/>
      <c r="Z435" s="215"/>
      <c r="AA435" s="215"/>
      <c r="AB435" s="215"/>
      <c r="AC435" s="215"/>
      <c r="AD435" s="215"/>
      <c r="AE435" s="215"/>
      <c r="AF435" s="215"/>
      <c r="AG435" s="216"/>
      <c r="AJ435" s="214"/>
      <c r="AO435" s="214"/>
      <c r="AQ435" s="214"/>
      <c r="AU435" s="217"/>
      <c r="AV435" s="217"/>
      <c r="AW435" s="217"/>
    </row>
    <row r="436">
      <c r="C436" s="214"/>
      <c r="E436" s="215"/>
      <c r="F436" s="215"/>
      <c r="G436" s="215"/>
      <c r="H436" s="215"/>
      <c r="I436" s="215"/>
      <c r="J436" s="215"/>
      <c r="K436" s="215"/>
      <c r="L436" s="215"/>
      <c r="M436" s="215"/>
      <c r="N436" s="215"/>
      <c r="O436" s="215"/>
      <c r="P436" s="215"/>
      <c r="Q436" s="215"/>
      <c r="R436" s="215"/>
      <c r="S436" s="215"/>
      <c r="T436" s="215"/>
      <c r="U436" s="215"/>
      <c r="V436" s="215"/>
      <c r="W436" s="215"/>
      <c r="X436" s="215"/>
      <c r="Y436" s="215"/>
      <c r="Z436" s="215"/>
      <c r="AA436" s="215"/>
      <c r="AB436" s="215"/>
      <c r="AC436" s="215"/>
      <c r="AD436" s="215"/>
      <c r="AE436" s="215"/>
      <c r="AF436" s="215"/>
      <c r="AG436" s="216"/>
      <c r="AJ436" s="214"/>
      <c r="AO436" s="214"/>
      <c r="AQ436" s="214"/>
      <c r="AU436" s="217"/>
      <c r="AV436" s="217"/>
      <c r="AW436" s="217"/>
    </row>
    <row r="437">
      <c r="C437" s="214"/>
      <c r="E437" s="215"/>
      <c r="F437" s="215"/>
      <c r="G437" s="215"/>
      <c r="H437" s="215"/>
      <c r="I437" s="215"/>
      <c r="J437" s="215"/>
      <c r="K437" s="215"/>
      <c r="L437" s="215"/>
      <c r="M437" s="215"/>
      <c r="N437" s="215"/>
      <c r="O437" s="215"/>
      <c r="P437" s="215"/>
      <c r="Q437" s="215"/>
      <c r="R437" s="215"/>
      <c r="S437" s="215"/>
      <c r="T437" s="215"/>
      <c r="U437" s="215"/>
      <c r="V437" s="215"/>
      <c r="W437" s="215"/>
      <c r="X437" s="215"/>
      <c r="Y437" s="215"/>
      <c r="Z437" s="215"/>
      <c r="AA437" s="215"/>
      <c r="AB437" s="215"/>
      <c r="AC437" s="215"/>
      <c r="AD437" s="215"/>
      <c r="AE437" s="215"/>
      <c r="AF437" s="215"/>
      <c r="AG437" s="216"/>
      <c r="AJ437" s="214"/>
      <c r="AO437" s="214"/>
      <c r="AQ437" s="214"/>
      <c r="AU437" s="217"/>
      <c r="AV437" s="217"/>
      <c r="AW437" s="217"/>
    </row>
    <row r="438">
      <c r="C438" s="214"/>
      <c r="E438" s="215"/>
      <c r="F438" s="215"/>
      <c r="G438" s="215"/>
      <c r="H438" s="215"/>
      <c r="I438" s="215"/>
      <c r="J438" s="215"/>
      <c r="K438" s="215"/>
      <c r="L438" s="215"/>
      <c r="M438" s="215"/>
      <c r="N438" s="215"/>
      <c r="O438" s="215"/>
      <c r="P438" s="215"/>
      <c r="Q438" s="215"/>
      <c r="R438" s="215"/>
      <c r="S438" s="215"/>
      <c r="T438" s="215"/>
      <c r="U438" s="215"/>
      <c r="V438" s="215"/>
      <c r="W438" s="215"/>
      <c r="X438" s="215"/>
      <c r="Y438" s="215"/>
      <c r="Z438" s="215"/>
      <c r="AA438" s="215"/>
      <c r="AB438" s="215"/>
      <c r="AC438" s="215"/>
      <c r="AD438" s="215"/>
      <c r="AE438" s="215"/>
      <c r="AF438" s="215"/>
      <c r="AG438" s="216"/>
      <c r="AJ438" s="214"/>
      <c r="AO438" s="214"/>
      <c r="AQ438" s="214"/>
      <c r="AU438" s="217"/>
      <c r="AV438" s="217"/>
      <c r="AW438" s="217"/>
    </row>
    <row r="439">
      <c r="C439" s="214"/>
      <c r="E439" s="215"/>
      <c r="F439" s="215"/>
      <c r="G439" s="215"/>
      <c r="H439" s="215"/>
      <c r="I439" s="215"/>
      <c r="J439" s="215"/>
      <c r="K439" s="215"/>
      <c r="L439" s="215"/>
      <c r="M439" s="215"/>
      <c r="N439" s="215"/>
      <c r="O439" s="215"/>
      <c r="P439" s="215"/>
      <c r="Q439" s="215"/>
      <c r="R439" s="215"/>
      <c r="S439" s="215"/>
      <c r="T439" s="215"/>
      <c r="U439" s="215"/>
      <c r="V439" s="215"/>
      <c r="W439" s="215"/>
      <c r="X439" s="215"/>
      <c r="Y439" s="215"/>
      <c r="Z439" s="215"/>
      <c r="AA439" s="215"/>
      <c r="AB439" s="215"/>
      <c r="AC439" s="215"/>
      <c r="AD439" s="215"/>
      <c r="AE439" s="215"/>
      <c r="AF439" s="215"/>
      <c r="AG439" s="216"/>
      <c r="AJ439" s="214"/>
      <c r="AO439" s="214"/>
      <c r="AQ439" s="214"/>
      <c r="AU439" s="217"/>
      <c r="AV439" s="217"/>
      <c r="AW439" s="217"/>
    </row>
    <row r="440">
      <c r="C440" s="214"/>
      <c r="E440" s="215"/>
      <c r="F440" s="215"/>
      <c r="G440" s="215"/>
      <c r="H440" s="215"/>
      <c r="I440" s="215"/>
      <c r="J440" s="215"/>
      <c r="K440" s="215"/>
      <c r="L440" s="215"/>
      <c r="M440" s="215"/>
      <c r="N440" s="215"/>
      <c r="O440" s="215"/>
      <c r="P440" s="215"/>
      <c r="Q440" s="215"/>
      <c r="R440" s="215"/>
      <c r="S440" s="215"/>
      <c r="T440" s="215"/>
      <c r="U440" s="215"/>
      <c r="V440" s="215"/>
      <c r="W440" s="215"/>
      <c r="X440" s="215"/>
      <c r="Y440" s="215"/>
      <c r="Z440" s="215"/>
      <c r="AA440" s="215"/>
      <c r="AB440" s="215"/>
      <c r="AC440" s="215"/>
      <c r="AD440" s="215"/>
      <c r="AE440" s="215"/>
      <c r="AF440" s="215"/>
      <c r="AG440" s="216"/>
      <c r="AJ440" s="214"/>
      <c r="AO440" s="214"/>
      <c r="AQ440" s="214"/>
      <c r="AU440" s="217"/>
      <c r="AV440" s="217"/>
      <c r="AW440" s="217"/>
    </row>
    <row r="441">
      <c r="C441" s="214"/>
      <c r="E441" s="215"/>
      <c r="F441" s="215"/>
      <c r="G441" s="215"/>
      <c r="H441" s="215"/>
      <c r="I441" s="215"/>
      <c r="J441" s="215"/>
      <c r="K441" s="215"/>
      <c r="L441" s="215"/>
      <c r="M441" s="215"/>
      <c r="N441" s="215"/>
      <c r="O441" s="215"/>
      <c r="P441" s="215"/>
      <c r="Q441" s="215"/>
      <c r="R441" s="215"/>
      <c r="S441" s="215"/>
      <c r="T441" s="215"/>
      <c r="U441" s="215"/>
      <c r="V441" s="215"/>
      <c r="W441" s="215"/>
      <c r="X441" s="215"/>
      <c r="Y441" s="215"/>
      <c r="Z441" s="215"/>
      <c r="AA441" s="215"/>
      <c r="AB441" s="215"/>
      <c r="AC441" s="215"/>
      <c r="AD441" s="215"/>
      <c r="AE441" s="215"/>
      <c r="AF441" s="215"/>
      <c r="AG441" s="216"/>
      <c r="AJ441" s="214"/>
      <c r="AO441" s="214"/>
      <c r="AQ441" s="214"/>
      <c r="AU441" s="217"/>
      <c r="AV441" s="217"/>
      <c r="AW441" s="217"/>
    </row>
    <row r="442">
      <c r="C442" s="214"/>
      <c r="E442" s="215"/>
      <c r="F442" s="215"/>
      <c r="G442" s="215"/>
      <c r="H442" s="215"/>
      <c r="I442" s="215"/>
      <c r="J442" s="215"/>
      <c r="K442" s="215"/>
      <c r="L442" s="215"/>
      <c r="M442" s="215"/>
      <c r="N442" s="215"/>
      <c r="O442" s="215"/>
      <c r="P442" s="215"/>
      <c r="Q442" s="215"/>
      <c r="R442" s="215"/>
      <c r="S442" s="215"/>
      <c r="T442" s="215"/>
      <c r="U442" s="215"/>
      <c r="V442" s="215"/>
      <c r="W442" s="215"/>
      <c r="X442" s="215"/>
      <c r="Y442" s="215"/>
      <c r="Z442" s="215"/>
      <c r="AA442" s="215"/>
      <c r="AB442" s="215"/>
      <c r="AC442" s="215"/>
      <c r="AD442" s="215"/>
      <c r="AE442" s="215"/>
      <c r="AF442" s="215"/>
      <c r="AG442" s="216"/>
      <c r="AJ442" s="214"/>
      <c r="AO442" s="214"/>
      <c r="AQ442" s="214"/>
      <c r="AU442" s="217"/>
      <c r="AV442" s="217"/>
      <c r="AW442" s="217"/>
    </row>
    <row r="443">
      <c r="C443" s="214"/>
      <c r="E443" s="215"/>
      <c r="F443" s="215"/>
      <c r="G443" s="215"/>
      <c r="H443" s="215"/>
      <c r="I443" s="215"/>
      <c r="J443" s="215"/>
      <c r="K443" s="215"/>
      <c r="L443" s="215"/>
      <c r="M443" s="215"/>
      <c r="N443" s="215"/>
      <c r="O443" s="215"/>
      <c r="P443" s="215"/>
      <c r="Q443" s="215"/>
      <c r="R443" s="215"/>
      <c r="S443" s="215"/>
      <c r="T443" s="215"/>
      <c r="U443" s="215"/>
      <c r="V443" s="215"/>
      <c r="W443" s="215"/>
      <c r="X443" s="215"/>
      <c r="Y443" s="215"/>
      <c r="Z443" s="215"/>
      <c r="AA443" s="215"/>
      <c r="AB443" s="215"/>
      <c r="AC443" s="215"/>
      <c r="AD443" s="215"/>
      <c r="AE443" s="215"/>
      <c r="AF443" s="215"/>
      <c r="AG443" s="216"/>
      <c r="AJ443" s="214"/>
      <c r="AO443" s="214"/>
      <c r="AQ443" s="214"/>
      <c r="AU443" s="217"/>
      <c r="AV443" s="217"/>
      <c r="AW443" s="217"/>
    </row>
    <row r="444">
      <c r="C444" s="214"/>
      <c r="E444" s="215"/>
      <c r="F444" s="215"/>
      <c r="G444" s="215"/>
      <c r="H444" s="215"/>
      <c r="I444" s="215"/>
      <c r="J444" s="215"/>
      <c r="K444" s="215"/>
      <c r="L444" s="215"/>
      <c r="M444" s="215"/>
      <c r="N444" s="215"/>
      <c r="O444" s="215"/>
      <c r="P444" s="215"/>
      <c r="Q444" s="215"/>
      <c r="R444" s="215"/>
      <c r="S444" s="215"/>
      <c r="T444" s="215"/>
      <c r="U444" s="215"/>
      <c r="V444" s="215"/>
      <c r="W444" s="215"/>
      <c r="X444" s="215"/>
      <c r="Y444" s="215"/>
      <c r="Z444" s="215"/>
      <c r="AA444" s="215"/>
      <c r="AB444" s="215"/>
      <c r="AC444" s="215"/>
      <c r="AD444" s="215"/>
      <c r="AE444" s="215"/>
      <c r="AF444" s="215"/>
      <c r="AG444" s="216"/>
      <c r="AJ444" s="214"/>
      <c r="AO444" s="214"/>
      <c r="AQ444" s="214"/>
      <c r="AU444" s="217"/>
      <c r="AV444" s="217"/>
      <c r="AW444" s="217"/>
    </row>
    <row r="445">
      <c r="C445" s="214"/>
      <c r="E445" s="215"/>
      <c r="F445" s="215"/>
      <c r="G445" s="215"/>
      <c r="H445" s="215"/>
      <c r="I445" s="215"/>
      <c r="J445" s="215"/>
      <c r="K445" s="215"/>
      <c r="L445" s="215"/>
      <c r="M445" s="215"/>
      <c r="N445" s="215"/>
      <c r="O445" s="215"/>
      <c r="P445" s="215"/>
      <c r="Q445" s="215"/>
      <c r="R445" s="215"/>
      <c r="S445" s="215"/>
      <c r="T445" s="215"/>
      <c r="U445" s="215"/>
      <c r="V445" s="215"/>
      <c r="W445" s="215"/>
      <c r="X445" s="215"/>
      <c r="Y445" s="215"/>
      <c r="Z445" s="215"/>
      <c r="AA445" s="215"/>
      <c r="AB445" s="215"/>
      <c r="AC445" s="215"/>
      <c r="AD445" s="215"/>
      <c r="AE445" s="215"/>
      <c r="AF445" s="215"/>
      <c r="AG445" s="216"/>
      <c r="AJ445" s="214"/>
      <c r="AO445" s="214"/>
      <c r="AQ445" s="214"/>
      <c r="AU445" s="217"/>
      <c r="AV445" s="217"/>
      <c r="AW445" s="217"/>
    </row>
    <row r="446">
      <c r="C446" s="214"/>
      <c r="E446" s="215"/>
      <c r="F446" s="215"/>
      <c r="G446" s="215"/>
      <c r="H446" s="215"/>
      <c r="I446" s="215"/>
      <c r="J446" s="215"/>
      <c r="K446" s="215"/>
      <c r="L446" s="215"/>
      <c r="M446" s="215"/>
      <c r="N446" s="215"/>
      <c r="O446" s="215"/>
      <c r="P446" s="215"/>
      <c r="Q446" s="215"/>
      <c r="R446" s="215"/>
      <c r="S446" s="215"/>
      <c r="T446" s="215"/>
      <c r="U446" s="215"/>
      <c r="V446" s="215"/>
      <c r="W446" s="215"/>
      <c r="X446" s="215"/>
      <c r="Y446" s="215"/>
      <c r="Z446" s="215"/>
      <c r="AA446" s="215"/>
      <c r="AB446" s="215"/>
      <c r="AC446" s="215"/>
      <c r="AD446" s="215"/>
      <c r="AE446" s="215"/>
      <c r="AF446" s="215"/>
      <c r="AG446" s="216"/>
      <c r="AJ446" s="214"/>
      <c r="AO446" s="214"/>
      <c r="AQ446" s="214"/>
      <c r="AU446" s="217"/>
      <c r="AV446" s="217"/>
      <c r="AW446" s="217"/>
    </row>
    <row r="447">
      <c r="C447" s="214"/>
      <c r="E447" s="215"/>
      <c r="F447" s="215"/>
      <c r="G447" s="215"/>
      <c r="H447" s="215"/>
      <c r="I447" s="215"/>
      <c r="J447" s="215"/>
      <c r="K447" s="215"/>
      <c r="L447" s="215"/>
      <c r="M447" s="215"/>
      <c r="N447" s="215"/>
      <c r="O447" s="215"/>
      <c r="P447" s="215"/>
      <c r="Q447" s="215"/>
      <c r="R447" s="215"/>
      <c r="S447" s="215"/>
      <c r="T447" s="215"/>
      <c r="U447" s="215"/>
      <c r="V447" s="215"/>
      <c r="W447" s="215"/>
      <c r="X447" s="215"/>
      <c r="Y447" s="215"/>
      <c r="Z447" s="215"/>
      <c r="AA447" s="215"/>
      <c r="AB447" s="215"/>
      <c r="AC447" s="215"/>
      <c r="AD447" s="215"/>
      <c r="AE447" s="215"/>
      <c r="AF447" s="215"/>
      <c r="AG447" s="216"/>
      <c r="AJ447" s="214"/>
      <c r="AO447" s="214"/>
      <c r="AQ447" s="214"/>
      <c r="AU447" s="217"/>
      <c r="AV447" s="217"/>
      <c r="AW447" s="217"/>
    </row>
    <row r="448">
      <c r="C448" s="214"/>
      <c r="E448" s="215"/>
      <c r="F448" s="215"/>
      <c r="G448" s="215"/>
      <c r="H448" s="215"/>
      <c r="I448" s="215"/>
      <c r="J448" s="215"/>
      <c r="K448" s="215"/>
      <c r="L448" s="215"/>
      <c r="M448" s="215"/>
      <c r="N448" s="215"/>
      <c r="O448" s="215"/>
      <c r="P448" s="215"/>
      <c r="Q448" s="215"/>
      <c r="R448" s="215"/>
      <c r="S448" s="215"/>
      <c r="T448" s="215"/>
      <c r="U448" s="215"/>
      <c r="V448" s="215"/>
      <c r="W448" s="215"/>
      <c r="X448" s="215"/>
      <c r="Y448" s="215"/>
      <c r="Z448" s="215"/>
      <c r="AA448" s="215"/>
      <c r="AB448" s="215"/>
      <c r="AC448" s="215"/>
      <c r="AD448" s="215"/>
      <c r="AE448" s="215"/>
      <c r="AF448" s="215"/>
      <c r="AG448" s="216"/>
      <c r="AJ448" s="214"/>
      <c r="AO448" s="214"/>
      <c r="AQ448" s="214"/>
      <c r="AU448" s="217"/>
      <c r="AV448" s="217"/>
      <c r="AW448" s="217"/>
    </row>
    <row r="449">
      <c r="C449" s="214"/>
      <c r="E449" s="215"/>
      <c r="F449" s="215"/>
      <c r="G449" s="215"/>
      <c r="H449" s="215"/>
      <c r="I449" s="215"/>
      <c r="J449" s="215"/>
      <c r="K449" s="215"/>
      <c r="L449" s="215"/>
      <c r="M449" s="215"/>
      <c r="N449" s="215"/>
      <c r="O449" s="215"/>
      <c r="P449" s="215"/>
      <c r="Q449" s="215"/>
      <c r="R449" s="215"/>
      <c r="S449" s="215"/>
      <c r="T449" s="215"/>
      <c r="U449" s="215"/>
      <c r="V449" s="215"/>
      <c r="W449" s="215"/>
      <c r="X449" s="215"/>
      <c r="Y449" s="215"/>
      <c r="Z449" s="215"/>
      <c r="AA449" s="215"/>
      <c r="AB449" s="215"/>
      <c r="AC449" s="215"/>
      <c r="AD449" s="215"/>
      <c r="AE449" s="215"/>
      <c r="AF449" s="215"/>
      <c r="AG449" s="216"/>
      <c r="AJ449" s="214"/>
      <c r="AO449" s="214"/>
      <c r="AQ449" s="214"/>
      <c r="AU449" s="217"/>
      <c r="AV449" s="217"/>
      <c r="AW449" s="217"/>
    </row>
    <row r="450">
      <c r="C450" s="214"/>
      <c r="E450" s="215"/>
      <c r="F450" s="215"/>
      <c r="G450" s="215"/>
      <c r="H450" s="215"/>
      <c r="I450" s="215"/>
      <c r="J450" s="215"/>
      <c r="K450" s="215"/>
      <c r="L450" s="215"/>
      <c r="M450" s="215"/>
      <c r="N450" s="215"/>
      <c r="O450" s="215"/>
      <c r="P450" s="215"/>
      <c r="Q450" s="215"/>
      <c r="R450" s="215"/>
      <c r="S450" s="215"/>
      <c r="T450" s="215"/>
      <c r="U450" s="215"/>
      <c r="V450" s="215"/>
      <c r="W450" s="215"/>
      <c r="X450" s="215"/>
      <c r="Y450" s="215"/>
      <c r="Z450" s="215"/>
      <c r="AA450" s="215"/>
      <c r="AB450" s="215"/>
      <c r="AC450" s="215"/>
      <c r="AD450" s="215"/>
      <c r="AE450" s="215"/>
      <c r="AF450" s="215"/>
      <c r="AG450" s="216"/>
      <c r="AJ450" s="214"/>
      <c r="AO450" s="214"/>
      <c r="AQ450" s="214"/>
      <c r="AU450" s="217"/>
      <c r="AV450" s="217"/>
      <c r="AW450" s="217"/>
    </row>
    <row r="451">
      <c r="C451" s="214"/>
      <c r="E451" s="215"/>
      <c r="F451" s="215"/>
      <c r="G451" s="215"/>
      <c r="H451" s="215"/>
      <c r="I451" s="215"/>
      <c r="J451" s="215"/>
      <c r="K451" s="215"/>
      <c r="L451" s="215"/>
      <c r="M451" s="215"/>
      <c r="N451" s="215"/>
      <c r="O451" s="215"/>
      <c r="P451" s="215"/>
      <c r="Q451" s="215"/>
      <c r="R451" s="215"/>
      <c r="S451" s="215"/>
      <c r="T451" s="215"/>
      <c r="U451" s="215"/>
      <c r="V451" s="215"/>
      <c r="W451" s="215"/>
      <c r="X451" s="215"/>
      <c r="Y451" s="215"/>
      <c r="Z451" s="215"/>
      <c r="AA451" s="215"/>
      <c r="AB451" s="215"/>
      <c r="AC451" s="215"/>
      <c r="AD451" s="215"/>
      <c r="AE451" s="215"/>
      <c r="AF451" s="215"/>
      <c r="AG451" s="216"/>
      <c r="AJ451" s="214"/>
      <c r="AO451" s="214"/>
      <c r="AQ451" s="214"/>
      <c r="AU451" s="217"/>
      <c r="AV451" s="217"/>
      <c r="AW451" s="217"/>
    </row>
    <row r="452">
      <c r="C452" s="214"/>
      <c r="E452" s="215"/>
      <c r="F452" s="215"/>
      <c r="G452" s="215"/>
      <c r="H452" s="215"/>
      <c r="I452" s="215"/>
      <c r="J452" s="215"/>
      <c r="K452" s="215"/>
      <c r="L452" s="215"/>
      <c r="M452" s="215"/>
      <c r="N452" s="215"/>
      <c r="O452" s="215"/>
      <c r="P452" s="215"/>
      <c r="Q452" s="215"/>
      <c r="R452" s="215"/>
      <c r="S452" s="215"/>
      <c r="T452" s="215"/>
      <c r="U452" s="215"/>
      <c r="V452" s="215"/>
      <c r="W452" s="215"/>
      <c r="X452" s="215"/>
      <c r="Y452" s="215"/>
      <c r="Z452" s="215"/>
      <c r="AA452" s="215"/>
      <c r="AB452" s="215"/>
      <c r="AC452" s="215"/>
      <c r="AD452" s="215"/>
      <c r="AE452" s="215"/>
      <c r="AF452" s="215"/>
      <c r="AG452" s="216"/>
      <c r="AJ452" s="214"/>
      <c r="AO452" s="214"/>
      <c r="AQ452" s="214"/>
      <c r="AU452" s="217"/>
      <c r="AV452" s="217"/>
      <c r="AW452" s="217"/>
    </row>
    <row r="453">
      <c r="C453" s="214"/>
      <c r="E453" s="215"/>
      <c r="F453" s="215"/>
      <c r="G453" s="215"/>
      <c r="H453" s="215"/>
      <c r="I453" s="215"/>
      <c r="J453" s="215"/>
      <c r="K453" s="215"/>
      <c r="L453" s="215"/>
      <c r="M453" s="215"/>
      <c r="N453" s="215"/>
      <c r="O453" s="215"/>
      <c r="P453" s="215"/>
      <c r="Q453" s="215"/>
      <c r="R453" s="215"/>
      <c r="S453" s="215"/>
      <c r="T453" s="215"/>
      <c r="U453" s="215"/>
      <c r="V453" s="215"/>
      <c r="W453" s="215"/>
      <c r="X453" s="215"/>
      <c r="Y453" s="215"/>
      <c r="Z453" s="215"/>
      <c r="AA453" s="215"/>
      <c r="AB453" s="215"/>
      <c r="AC453" s="215"/>
      <c r="AD453" s="215"/>
      <c r="AE453" s="215"/>
      <c r="AF453" s="215"/>
      <c r="AG453" s="216"/>
      <c r="AJ453" s="214"/>
      <c r="AO453" s="214"/>
      <c r="AQ453" s="214"/>
      <c r="AU453" s="217"/>
      <c r="AV453" s="217"/>
      <c r="AW453" s="217"/>
    </row>
    <row r="454">
      <c r="C454" s="214"/>
      <c r="E454" s="215"/>
      <c r="F454" s="215"/>
      <c r="G454" s="215"/>
      <c r="H454" s="215"/>
      <c r="I454" s="215"/>
      <c r="J454" s="215"/>
      <c r="K454" s="215"/>
      <c r="L454" s="215"/>
      <c r="M454" s="215"/>
      <c r="N454" s="215"/>
      <c r="O454" s="215"/>
      <c r="P454" s="215"/>
      <c r="Q454" s="215"/>
      <c r="R454" s="215"/>
      <c r="S454" s="215"/>
      <c r="T454" s="215"/>
      <c r="U454" s="215"/>
      <c r="V454" s="215"/>
      <c r="W454" s="215"/>
      <c r="X454" s="215"/>
      <c r="Y454" s="215"/>
      <c r="Z454" s="215"/>
      <c r="AA454" s="215"/>
      <c r="AB454" s="215"/>
      <c r="AC454" s="215"/>
      <c r="AD454" s="215"/>
      <c r="AE454" s="215"/>
      <c r="AF454" s="215"/>
      <c r="AG454" s="216"/>
      <c r="AJ454" s="214"/>
      <c r="AO454" s="214"/>
      <c r="AQ454" s="214"/>
      <c r="AU454" s="217"/>
      <c r="AV454" s="217"/>
      <c r="AW454" s="217"/>
    </row>
    <row r="455">
      <c r="C455" s="214"/>
      <c r="E455" s="215"/>
      <c r="F455" s="215"/>
      <c r="G455" s="215"/>
      <c r="H455" s="215"/>
      <c r="I455" s="215"/>
      <c r="J455" s="215"/>
      <c r="K455" s="215"/>
      <c r="L455" s="215"/>
      <c r="M455" s="215"/>
      <c r="N455" s="215"/>
      <c r="O455" s="215"/>
      <c r="P455" s="215"/>
      <c r="Q455" s="215"/>
      <c r="R455" s="215"/>
      <c r="S455" s="215"/>
      <c r="T455" s="215"/>
      <c r="U455" s="215"/>
      <c r="V455" s="215"/>
      <c r="W455" s="215"/>
      <c r="X455" s="215"/>
      <c r="Y455" s="215"/>
      <c r="Z455" s="215"/>
      <c r="AA455" s="215"/>
      <c r="AB455" s="215"/>
      <c r="AC455" s="215"/>
      <c r="AD455" s="215"/>
      <c r="AE455" s="215"/>
      <c r="AF455" s="215"/>
      <c r="AG455" s="216"/>
      <c r="AJ455" s="214"/>
      <c r="AO455" s="214"/>
      <c r="AQ455" s="214"/>
      <c r="AU455" s="217"/>
      <c r="AV455" s="217"/>
      <c r="AW455" s="217"/>
    </row>
    <row r="456">
      <c r="C456" s="214"/>
      <c r="E456" s="215"/>
      <c r="F456" s="215"/>
      <c r="G456" s="215"/>
      <c r="H456" s="215"/>
      <c r="I456" s="215"/>
      <c r="J456" s="215"/>
      <c r="K456" s="215"/>
      <c r="L456" s="215"/>
      <c r="M456" s="215"/>
      <c r="N456" s="215"/>
      <c r="O456" s="215"/>
      <c r="P456" s="215"/>
      <c r="Q456" s="215"/>
      <c r="R456" s="215"/>
      <c r="S456" s="215"/>
      <c r="T456" s="215"/>
      <c r="U456" s="215"/>
      <c r="V456" s="215"/>
      <c r="W456" s="215"/>
      <c r="X456" s="215"/>
      <c r="Y456" s="215"/>
      <c r="Z456" s="215"/>
      <c r="AA456" s="215"/>
      <c r="AB456" s="215"/>
      <c r="AC456" s="215"/>
      <c r="AD456" s="215"/>
      <c r="AE456" s="215"/>
      <c r="AF456" s="215"/>
      <c r="AG456" s="216"/>
      <c r="AJ456" s="214"/>
      <c r="AO456" s="214"/>
      <c r="AQ456" s="214"/>
      <c r="AU456" s="217"/>
      <c r="AV456" s="217"/>
      <c r="AW456" s="217"/>
    </row>
    <row r="457">
      <c r="C457" s="214"/>
      <c r="E457" s="215"/>
      <c r="F457" s="215"/>
      <c r="G457" s="215"/>
      <c r="H457" s="215"/>
      <c r="I457" s="215"/>
      <c r="J457" s="215"/>
      <c r="K457" s="215"/>
      <c r="L457" s="215"/>
      <c r="M457" s="215"/>
      <c r="N457" s="215"/>
      <c r="O457" s="215"/>
      <c r="P457" s="215"/>
      <c r="Q457" s="215"/>
      <c r="R457" s="215"/>
      <c r="S457" s="215"/>
      <c r="T457" s="215"/>
      <c r="U457" s="215"/>
      <c r="V457" s="215"/>
      <c r="W457" s="215"/>
      <c r="X457" s="215"/>
      <c r="Y457" s="215"/>
      <c r="Z457" s="215"/>
      <c r="AA457" s="215"/>
      <c r="AB457" s="215"/>
      <c r="AC457" s="215"/>
      <c r="AD457" s="215"/>
      <c r="AE457" s="215"/>
      <c r="AF457" s="215"/>
      <c r="AG457" s="216"/>
      <c r="AJ457" s="214"/>
      <c r="AO457" s="214"/>
      <c r="AQ457" s="214"/>
      <c r="AU457" s="217"/>
      <c r="AV457" s="217"/>
      <c r="AW457" s="217"/>
    </row>
    <row r="458">
      <c r="C458" s="214"/>
      <c r="E458" s="215"/>
      <c r="F458" s="215"/>
      <c r="G458" s="215"/>
      <c r="H458" s="215"/>
      <c r="I458" s="215"/>
      <c r="J458" s="215"/>
      <c r="K458" s="215"/>
      <c r="L458" s="215"/>
      <c r="M458" s="215"/>
      <c r="N458" s="215"/>
      <c r="O458" s="215"/>
      <c r="P458" s="215"/>
      <c r="Q458" s="215"/>
      <c r="R458" s="215"/>
      <c r="S458" s="215"/>
      <c r="T458" s="215"/>
      <c r="U458" s="215"/>
      <c r="V458" s="215"/>
      <c r="W458" s="215"/>
      <c r="X458" s="215"/>
      <c r="Y458" s="215"/>
      <c r="Z458" s="215"/>
      <c r="AA458" s="215"/>
      <c r="AB458" s="215"/>
      <c r="AC458" s="215"/>
      <c r="AD458" s="215"/>
      <c r="AE458" s="215"/>
      <c r="AF458" s="215"/>
      <c r="AG458" s="216"/>
      <c r="AJ458" s="214"/>
      <c r="AO458" s="214"/>
      <c r="AQ458" s="214"/>
      <c r="AU458" s="217"/>
      <c r="AV458" s="217"/>
      <c r="AW458" s="217"/>
    </row>
    <row r="459">
      <c r="C459" s="214"/>
      <c r="E459" s="215"/>
      <c r="F459" s="215"/>
      <c r="G459" s="215"/>
      <c r="H459" s="215"/>
      <c r="I459" s="215"/>
      <c r="J459" s="215"/>
      <c r="K459" s="215"/>
      <c r="L459" s="215"/>
      <c r="M459" s="215"/>
      <c r="N459" s="215"/>
      <c r="O459" s="215"/>
      <c r="P459" s="215"/>
      <c r="Q459" s="215"/>
      <c r="R459" s="215"/>
      <c r="S459" s="215"/>
      <c r="T459" s="215"/>
      <c r="U459" s="215"/>
      <c r="V459" s="215"/>
      <c r="W459" s="215"/>
      <c r="X459" s="215"/>
      <c r="Y459" s="215"/>
      <c r="Z459" s="215"/>
      <c r="AA459" s="215"/>
      <c r="AB459" s="215"/>
      <c r="AC459" s="215"/>
      <c r="AD459" s="215"/>
      <c r="AE459" s="215"/>
      <c r="AF459" s="215"/>
      <c r="AG459" s="216"/>
      <c r="AJ459" s="214"/>
      <c r="AO459" s="214"/>
      <c r="AQ459" s="214"/>
      <c r="AU459" s="217"/>
      <c r="AV459" s="217"/>
      <c r="AW459" s="217"/>
    </row>
    <row r="460">
      <c r="C460" s="214"/>
      <c r="E460" s="215"/>
      <c r="F460" s="215"/>
      <c r="G460" s="215"/>
      <c r="H460" s="215"/>
      <c r="I460" s="215"/>
      <c r="J460" s="215"/>
      <c r="K460" s="215"/>
      <c r="L460" s="215"/>
      <c r="M460" s="215"/>
      <c r="N460" s="215"/>
      <c r="O460" s="215"/>
      <c r="P460" s="215"/>
      <c r="Q460" s="215"/>
      <c r="R460" s="215"/>
      <c r="S460" s="215"/>
      <c r="T460" s="215"/>
      <c r="U460" s="215"/>
      <c r="V460" s="215"/>
      <c r="W460" s="215"/>
      <c r="X460" s="215"/>
      <c r="Y460" s="215"/>
      <c r="Z460" s="215"/>
      <c r="AA460" s="215"/>
      <c r="AB460" s="215"/>
      <c r="AC460" s="215"/>
      <c r="AD460" s="215"/>
      <c r="AE460" s="215"/>
      <c r="AF460" s="215"/>
      <c r="AG460" s="216"/>
      <c r="AJ460" s="214"/>
      <c r="AO460" s="214"/>
      <c r="AQ460" s="214"/>
      <c r="AU460" s="217"/>
      <c r="AV460" s="217"/>
      <c r="AW460" s="217"/>
    </row>
    <row r="461">
      <c r="C461" s="214"/>
      <c r="E461" s="215"/>
      <c r="F461" s="215"/>
      <c r="G461" s="215"/>
      <c r="H461" s="215"/>
      <c r="I461" s="215"/>
      <c r="J461" s="215"/>
      <c r="K461" s="215"/>
      <c r="L461" s="215"/>
      <c r="M461" s="215"/>
      <c r="N461" s="215"/>
      <c r="O461" s="215"/>
      <c r="P461" s="215"/>
      <c r="Q461" s="215"/>
      <c r="R461" s="215"/>
      <c r="S461" s="215"/>
      <c r="T461" s="215"/>
      <c r="U461" s="215"/>
      <c r="V461" s="215"/>
      <c r="W461" s="215"/>
      <c r="X461" s="215"/>
      <c r="Y461" s="215"/>
      <c r="Z461" s="215"/>
      <c r="AA461" s="215"/>
      <c r="AB461" s="215"/>
      <c r="AC461" s="215"/>
      <c r="AD461" s="215"/>
      <c r="AE461" s="215"/>
      <c r="AF461" s="215"/>
      <c r="AG461" s="216"/>
      <c r="AJ461" s="214"/>
      <c r="AO461" s="214"/>
      <c r="AQ461" s="214"/>
      <c r="AU461" s="217"/>
      <c r="AV461" s="217"/>
      <c r="AW461" s="217"/>
    </row>
    <row r="462">
      <c r="C462" s="214"/>
      <c r="E462" s="215"/>
      <c r="F462" s="215"/>
      <c r="G462" s="215"/>
      <c r="H462" s="215"/>
      <c r="I462" s="215"/>
      <c r="J462" s="215"/>
      <c r="K462" s="215"/>
      <c r="L462" s="215"/>
      <c r="M462" s="215"/>
      <c r="N462" s="215"/>
      <c r="O462" s="215"/>
      <c r="P462" s="215"/>
      <c r="Q462" s="215"/>
      <c r="R462" s="215"/>
      <c r="S462" s="215"/>
      <c r="T462" s="215"/>
      <c r="U462" s="215"/>
      <c r="V462" s="215"/>
      <c r="W462" s="215"/>
      <c r="X462" s="215"/>
      <c r="Y462" s="215"/>
      <c r="Z462" s="215"/>
      <c r="AA462" s="215"/>
      <c r="AB462" s="215"/>
      <c r="AC462" s="215"/>
      <c r="AD462" s="215"/>
      <c r="AE462" s="215"/>
      <c r="AF462" s="215"/>
      <c r="AG462" s="216"/>
      <c r="AJ462" s="214"/>
      <c r="AO462" s="214"/>
      <c r="AQ462" s="214"/>
      <c r="AU462" s="217"/>
      <c r="AV462" s="217"/>
      <c r="AW462" s="217"/>
    </row>
    <row r="463">
      <c r="C463" s="214"/>
      <c r="E463" s="215"/>
      <c r="F463" s="215"/>
      <c r="G463" s="215"/>
      <c r="H463" s="215"/>
      <c r="I463" s="215"/>
      <c r="J463" s="215"/>
      <c r="K463" s="215"/>
      <c r="L463" s="215"/>
      <c r="M463" s="215"/>
      <c r="N463" s="215"/>
      <c r="O463" s="215"/>
      <c r="P463" s="215"/>
      <c r="Q463" s="215"/>
      <c r="R463" s="215"/>
      <c r="S463" s="215"/>
      <c r="T463" s="215"/>
      <c r="U463" s="215"/>
      <c r="V463" s="215"/>
      <c r="W463" s="215"/>
      <c r="X463" s="215"/>
      <c r="Y463" s="215"/>
      <c r="Z463" s="215"/>
      <c r="AA463" s="215"/>
      <c r="AB463" s="215"/>
      <c r="AC463" s="215"/>
      <c r="AD463" s="215"/>
      <c r="AE463" s="215"/>
      <c r="AF463" s="215"/>
      <c r="AG463" s="216"/>
      <c r="AJ463" s="214"/>
      <c r="AO463" s="214"/>
      <c r="AQ463" s="214"/>
      <c r="AU463" s="217"/>
      <c r="AV463" s="217"/>
      <c r="AW463" s="217"/>
    </row>
    <row r="464">
      <c r="C464" s="214"/>
      <c r="E464" s="215"/>
      <c r="F464" s="215"/>
      <c r="G464" s="215"/>
      <c r="H464" s="215"/>
      <c r="I464" s="215"/>
      <c r="J464" s="215"/>
      <c r="K464" s="215"/>
      <c r="L464" s="215"/>
      <c r="M464" s="215"/>
      <c r="N464" s="215"/>
      <c r="O464" s="215"/>
      <c r="P464" s="215"/>
      <c r="Q464" s="215"/>
      <c r="R464" s="215"/>
      <c r="S464" s="215"/>
      <c r="T464" s="215"/>
      <c r="U464" s="215"/>
      <c r="V464" s="215"/>
      <c r="W464" s="215"/>
      <c r="X464" s="215"/>
      <c r="Y464" s="215"/>
      <c r="Z464" s="215"/>
      <c r="AA464" s="215"/>
      <c r="AB464" s="215"/>
      <c r="AC464" s="215"/>
      <c r="AD464" s="215"/>
      <c r="AE464" s="215"/>
      <c r="AF464" s="215"/>
      <c r="AG464" s="216"/>
      <c r="AJ464" s="214"/>
      <c r="AO464" s="214"/>
      <c r="AQ464" s="214"/>
      <c r="AU464" s="217"/>
      <c r="AV464" s="217"/>
      <c r="AW464" s="217"/>
    </row>
    <row r="465">
      <c r="C465" s="214"/>
      <c r="E465" s="215"/>
      <c r="F465" s="215"/>
      <c r="G465" s="215"/>
      <c r="H465" s="215"/>
      <c r="I465" s="215"/>
      <c r="J465" s="215"/>
      <c r="K465" s="215"/>
      <c r="L465" s="215"/>
      <c r="M465" s="215"/>
      <c r="N465" s="215"/>
      <c r="O465" s="215"/>
      <c r="P465" s="215"/>
      <c r="Q465" s="215"/>
      <c r="R465" s="215"/>
      <c r="S465" s="215"/>
      <c r="T465" s="215"/>
      <c r="U465" s="215"/>
      <c r="V465" s="215"/>
      <c r="W465" s="215"/>
      <c r="X465" s="215"/>
      <c r="Y465" s="215"/>
      <c r="Z465" s="215"/>
      <c r="AA465" s="215"/>
      <c r="AB465" s="215"/>
      <c r="AC465" s="215"/>
      <c r="AD465" s="215"/>
      <c r="AE465" s="215"/>
      <c r="AF465" s="215"/>
      <c r="AG465" s="216"/>
      <c r="AJ465" s="214"/>
      <c r="AO465" s="214"/>
      <c r="AQ465" s="214"/>
      <c r="AU465" s="217"/>
      <c r="AV465" s="217"/>
      <c r="AW465" s="217"/>
    </row>
    <row r="466">
      <c r="C466" s="214"/>
      <c r="E466" s="215"/>
      <c r="F466" s="215"/>
      <c r="G466" s="215"/>
      <c r="H466" s="215"/>
      <c r="I466" s="215"/>
      <c r="J466" s="215"/>
      <c r="K466" s="215"/>
      <c r="L466" s="215"/>
      <c r="M466" s="215"/>
      <c r="N466" s="215"/>
      <c r="O466" s="215"/>
      <c r="P466" s="215"/>
      <c r="Q466" s="215"/>
      <c r="R466" s="215"/>
      <c r="S466" s="215"/>
      <c r="T466" s="215"/>
      <c r="U466" s="215"/>
      <c r="V466" s="215"/>
      <c r="W466" s="215"/>
      <c r="X466" s="215"/>
      <c r="Y466" s="215"/>
      <c r="Z466" s="215"/>
      <c r="AA466" s="215"/>
      <c r="AB466" s="215"/>
      <c r="AC466" s="215"/>
      <c r="AD466" s="215"/>
      <c r="AE466" s="215"/>
      <c r="AF466" s="215"/>
      <c r="AG466" s="216"/>
      <c r="AJ466" s="214"/>
      <c r="AO466" s="214"/>
      <c r="AQ466" s="214"/>
      <c r="AU466" s="217"/>
      <c r="AV466" s="217"/>
      <c r="AW466" s="217"/>
    </row>
    <row r="467">
      <c r="C467" s="214"/>
      <c r="E467" s="215"/>
      <c r="F467" s="215"/>
      <c r="G467" s="215"/>
      <c r="H467" s="215"/>
      <c r="I467" s="215"/>
      <c r="J467" s="215"/>
      <c r="K467" s="215"/>
      <c r="L467" s="215"/>
      <c r="M467" s="215"/>
      <c r="N467" s="215"/>
      <c r="O467" s="215"/>
      <c r="P467" s="215"/>
      <c r="Q467" s="215"/>
      <c r="R467" s="215"/>
      <c r="S467" s="215"/>
      <c r="T467" s="215"/>
      <c r="U467" s="215"/>
      <c r="V467" s="215"/>
      <c r="W467" s="215"/>
      <c r="X467" s="215"/>
      <c r="Y467" s="215"/>
      <c r="Z467" s="215"/>
      <c r="AA467" s="215"/>
      <c r="AB467" s="215"/>
      <c r="AC467" s="215"/>
      <c r="AD467" s="215"/>
      <c r="AE467" s="215"/>
      <c r="AF467" s="215"/>
      <c r="AG467" s="216"/>
      <c r="AJ467" s="214"/>
      <c r="AO467" s="214"/>
      <c r="AQ467" s="214"/>
      <c r="AU467" s="217"/>
      <c r="AV467" s="217"/>
      <c r="AW467" s="217"/>
    </row>
    <row r="468">
      <c r="C468" s="214"/>
      <c r="E468" s="215"/>
      <c r="F468" s="215"/>
      <c r="G468" s="215"/>
      <c r="H468" s="215"/>
      <c r="I468" s="215"/>
      <c r="J468" s="215"/>
      <c r="K468" s="215"/>
      <c r="L468" s="215"/>
      <c r="M468" s="215"/>
      <c r="N468" s="215"/>
      <c r="O468" s="215"/>
      <c r="P468" s="215"/>
      <c r="Q468" s="215"/>
      <c r="R468" s="215"/>
      <c r="S468" s="215"/>
      <c r="T468" s="215"/>
      <c r="U468" s="215"/>
      <c r="V468" s="215"/>
      <c r="W468" s="215"/>
      <c r="X468" s="215"/>
      <c r="Y468" s="215"/>
      <c r="Z468" s="215"/>
      <c r="AA468" s="215"/>
      <c r="AB468" s="215"/>
      <c r="AC468" s="215"/>
      <c r="AD468" s="215"/>
      <c r="AE468" s="215"/>
      <c r="AF468" s="215"/>
      <c r="AG468" s="216"/>
      <c r="AJ468" s="214"/>
      <c r="AO468" s="214"/>
      <c r="AQ468" s="214"/>
      <c r="AU468" s="217"/>
      <c r="AV468" s="217"/>
      <c r="AW468" s="217"/>
    </row>
    <row r="469">
      <c r="C469" s="214"/>
      <c r="E469" s="215"/>
      <c r="F469" s="215"/>
      <c r="G469" s="215"/>
      <c r="H469" s="215"/>
      <c r="I469" s="215"/>
      <c r="J469" s="215"/>
      <c r="K469" s="215"/>
      <c r="L469" s="215"/>
      <c r="M469" s="215"/>
      <c r="N469" s="215"/>
      <c r="O469" s="215"/>
      <c r="P469" s="215"/>
      <c r="Q469" s="215"/>
      <c r="R469" s="215"/>
      <c r="S469" s="215"/>
      <c r="T469" s="215"/>
      <c r="U469" s="215"/>
      <c r="V469" s="215"/>
      <c r="W469" s="215"/>
      <c r="X469" s="215"/>
      <c r="Y469" s="215"/>
      <c r="Z469" s="215"/>
      <c r="AA469" s="215"/>
      <c r="AB469" s="215"/>
      <c r="AC469" s="215"/>
      <c r="AD469" s="215"/>
      <c r="AE469" s="215"/>
      <c r="AF469" s="215"/>
      <c r="AG469" s="216"/>
      <c r="AJ469" s="214"/>
      <c r="AO469" s="214"/>
      <c r="AQ469" s="214"/>
      <c r="AU469" s="217"/>
      <c r="AV469" s="217"/>
      <c r="AW469" s="217"/>
    </row>
    <row r="470">
      <c r="C470" s="214"/>
      <c r="E470" s="215"/>
      <c r="F470" s="215"/>
      <c r="G470" s="215"/>
      <c r="H470" s="215"/>
      <c r="I470" s="215"/>
      <c r="J470" s="215"/>
      <c r="K470" s="215"/>
      <c r="L470" s="215"/>
      <c r="M470" s="215"/>
      <c r="N470" s="215"/>
      <c r="O470" s="215"/>
      <c r="P470" s="215"/>
      <c r="Q470" s="215"/>
      <c r="R470" s="215"/>
      <c r="S470" s="215"/>
      <c r="T470" s="215"/>
      <c r="U470" s="215"/>
      <c r="V470" s="215"/>
      <c r="W470" s="215"/>
      <c r="X470" s="215"/>
      <c r="Y470" s="215"/>
      <c r="Z470" s="215"/>
      <c r="AA470" s="215"/>
      <c r="AB470" s="215"/>
      <c r="AC470" s="215"/>
      <c r="AD470" s="215"/>
      <c r="AE470" s="215"/>
      <c r="AF470" s="215"/>
      <c r="AG470" s="216"/>
      <c r="AJ470" s="214"/>
      <c r="AO470" s="214"/>
      <c r="AQ470" s="214"/>
      <c r="AU470" s="217"/>
      <c r="AV470" s="217"/>
      <c r="AW470" s="217"/>
    </row>
    <row r="471">
      <c r="C471" s="214"/>
      <c r="E471" s="215"/>
      <c r="F471" s="215"/>
      <c r="G471" s="215"/>
      <c r="H471" s="215"/>
      <c r="I471" s="215"/>
      <c r="J471" s="215"/>
      <c r="K471" s="215"/>
      <c r="L471" s="215"/>
      <c r="M471" s="215"/>
      <c r="N471" s="215"/>
      <c r="O471" s="215"/>
      <c r="P471" s="215"/>
      <c r="Q471" s="215"/>
      <c r="R471" s="215"/>
      <c r="S471" s="215"/>
      <c r="T471" s="215"/>
      <c r="U471" s="215"/>
      <c r="V471" s="215"/>
      <c r="W471" s="215"/>
      <c r="X471" s="215"/>
      <c r="Y471" s="215"/>
      <c r="Z471" s="215"/>
      <c r="AA471" s="215"/>
      <c r="AB471" s="215"/>
      <c r="AC471" s="215"/>
      <c r="AD471" s="215"/>
      <c r="AE471" s="215"/>
      <c r="AF471" s="215"/>
      <c r="AG471" s="216"/>
      <c r="AJ471" s="214"/>
      <c r="AO471" s="214"/>
      <c r="AQ471" s="214"/>
      <c r="AU471" s="217"/>
      <c r="AV471" s="217"/>
      <c r="AW471" s="217"/>
    </row>
    <row r="472">
      <c r="C472" s="214"/>
      <c r="E472" s="215"/>
      <c r="F472" s="215"/>
      <c r="G472" s="215"/>
      <c r="H472" s="215"/>
      <c r="I472" s="215"/>
      <c r="J472" s="215"/>
      <c r="K472" s="215"/>
      <c r="L472" s="215"/>
      <c r="M472" s="215"/>
      <c r="N472" s="215"/>
      <c r="O472" s="215"/>
      <c r="P472" s="215"/>
      <c r="Q472" s="215"/>
      <c r="R472" s="215"/>
      <c r="S472" s="215"/>
      <c r="T472" s="215"/>
      <c r="U472" s="215"/>
      <c r="V472" s="215"/>
      <c r="W472" s="215"/>
      <c r="X472" s="215"/>
      <c r="Y472" s="215"/>
      <c r="Z472" s="215"/>
      <c r="AA472" s="215"/>
      <c r="AB472" s="215"/>
      <c r="AC472" s="215"/>
      <c r="AD472" s="215"/>
      <c r="AE472" s="215"/>
      <c r="AF472" s="215"/>
      <c r="AG472" s="216"/>
      <c r="AJ472" s="214"/>
      <c r="AO472" s="214"/>
      <c r="AQ472" s="214"/>
      <c r="AU472" s="217"/>
      <c r="AV472" s="217"/>
      <c r="AW472" s="217"/>
    </row>
    <row r="473">
      <c r="C473" s="214"/>
      <c r="E473" s="215"/>
      <c r="F473" s="215"/>
      <c r="G473" s="215"/>
      <c r="H473" s="215"/>
      <c r="I473" s="215"/>
      <c r="J473" s="215"/>
      <c r="K473" s="215"/>
      <c r="L473" s="215"/>
      <c r="M473" s="215"/>
      <c r="N473" s="215"/>
      <c r="O473" s="215"/>
      <c r="P473" s="215"/>
      <c r="Q473" s="215"/>
      <c r="R473" s="215"/>
      <c r="S473" s="215"/>
      <c r="T473" s="215"/>
      <c r="U473" s="215"/>
      <c r="V473" s="215"/>
      <c r="W473" s="215"/>
      <c r="X473" s="215"/>
      <c r="Y473" s="215"/>
      <c r="Z473" s="215"/>
      <c r="AA473" s="215"/>
      <c r="AB473" s="215"/>
      <c r="AC473" s="215"/>
      <c r="AD473" s="215"/>
      <c r="AE473" s="215"/>
      <c r="AF473" s="215"/>
      <c r="AG473" s="216"/>
      <c r="AJ473" s="214"/>
      <c r="AO473" s="214"/>
      <c r="AQ473" s="214"/>
      <c r="AU473" s="217"/>
      <c r="AV473" s="217"/>
      <c r="AW473" s="217"/>
    </row>
    <row r="474">
      <c r="C474" s="214"/>
      <c r="E474" s="215"/>
      <c r="F474" s="215"/>
      <c r="G474" s="215"/>
      <c r="H474" s="215"/>
      <c r="I474" s="215"/>
      <c r="J474" s="215"/>
      <c r="K474" s="215"/>
      <c r="L474" s="215"/>
      <c r="M474" s="215"/>
      <c r="N474" s="215"/>
      <c r="O474" s="215"/>
      <c r="P474" s="215"/>
      <c r="Q474" s="215"/>
      <c r="R474" s="215"/>
      <c r="S474" s="215"/>
      <c r="T474" s="215"/>
      <c r="U474" s="215"/>
      <c r="V474" s="215"/>
      <c r="W474" s="215"/>
      <c r="X474" s="215"/>
      <c r="Y474" s="215"/>
      <c r="Z474" s="215"/>
      <c r="AA474" s="215"/>
      <c r="AB474" s="215"/>
      <c r="AC474" s="215"/>
      <c r="AD474" s="215"/>
      <c r="AE474" s="215"/>
      <c r="AF474" s="215"/>
      <c r="AG474" s="216"/>
      <c r="AJ474" s="214"/>
      <c r="AO474" s="214"/>
      <c r="AQ474" s="214"/>
      <c r="AU474" s="217"/>
      <c r="AV474" s="217"/>
      <c r="AW474" s="217"/>
    </row>
    <row r="475">
      <c r="C475" s="214"/>
      <c r="E475" s="215"/>
      <c r="F475" s="215"/>
      <c r="G475" s="215"/>
      <c r="H475" s="215"/>
      <c r="I475" s="215"/>
      <c r="J475" s="215"/>
      <c r="K475" s="215"/>
      <c r="L475" s="215"/>
      <c r="M475" s="215"/>
      <c r="N475" s="215"/>
      <c r="O475" s="215"/>
      <c r="P475" s="215"/>
      <c r="Q475" s="215"/>
      <c r="R475" s="215"/>
      <c r="S475" s="215"/>
      <c r="T475" s="215"/>
      <c r="U475" s="215"/>
      <c r="V475" s="215"/>
      <c r="W475" s="215"/>
      <c r="X475" s="215"/>
      <c r="Y475" s="215"/>
      <c r="Z475" s="215"/>
      <c r="AA475" s="215"/>
      <c r="AB475" s="215"/>
      <c r="AC475" s="215"/>
      <c r="AD475" s="215"/>
      <c r="AE475" s="215"/>
      <c r="AF475" s="215"/>
      <c r="AG475" s="216"/>
      <c r="AJ475" s="214"/>
      <c r="AO475" s="214"/>
      <c r="AQ475" s="214"/>
      <c r="AU475" s="217"/>
      <c r="AV475" s="217"/>
      <c r="AW475" s="217"/>
    </row>
    <row r="476">
      <c r="C476" s="214"/>
      <c r="E476" s="215"/>
      <c r="F476" s="215"/>
      <c r="G476" s="215"/>
      <c r="H476" s="215"/>
      <c r="I476" s="215"/>
      <c r="J476" s="215"/>
      <c r="K476" s="215"/>
      <c r="L476" s="215"/>
      <c r="M476" s="215"/>
      <c r="N476" s="215"/>
      <c r="O476" s="215"/>
      <c r="P476" s="215"/>
      <c r="Q476" s="215"/>
      <c r="R476" s="215"/>
      <c r="S476" s="215"/>
      <c r="T476" s="215"/>
      <c r="U476" s="215"/>
      <c r="V476" s="215"/>
      <c r="W476" s="215"/>
      <c r="X476" s="215"/>
      <c r="Y476" s="215"/>
      <c r="Z476" s="215"/>
      <c r="AA476" s="215"/>
      <c r="AB476" s="215"/>
      <c r="AC476" s="215"/>
      <c r="AD476" s="215"/>
      <c r="AE476" s="215"/>
      <c r="AF476" s="215"/>
      <c r="AG476" s="216"/>
      <c r="AJ476" s="214"/>
      <c r="AO476" s="214"/>
      <c r="AQ476" s="214"/>
      <c r="AU476" s="217"/>
      <c r="AV476" s="217"/>
      <c r="AW476" s="217"/>
    </row>
    <row r="477">
      <c r="C477" s="214"/>
      <c r="E477" s="215"/>
      <c r="F477" s="215"/>
      <c r="G477" s="215"/>
      <c r="H477" s="215"/>
      <c r="I477" s="215"/>
      <c r="J477" s="215"/>
      <c r="K477" s="215"/>
      <c r="L477" s="215"/>
      <c r="M477" s="215"/>
      <c r="N477" s="215"/>
      <c r="O477" s="215"/>
      <c r="P477" s="215"/>
      <c r="Q477" s="215"/>
      <c r="R477" s="215"/>
      <c r="S477" s="215"/>
      <c r="T477" s="215"/>
      <c r="U477" s="215"/>
      <c r="V477" s="215"/>
      <c r="W477" s="215"/>
      <c r="X477" s="215"/>
      <c r="Y477" s="215"/>
      <c r="Z477" s="215"/>
      <c r="AA477" s="215"/>
      <c r="AB477" s="215"/>
      <c r="AC477" s="215"/>
      <c r="AD477" s="215"/>
      <c r="AE477" s="215"/>
      <c r="AF477" s="215"/>
      <c r="AG477" s="216"/>
      <c r="AJ477" s="214"/>
      <c r="AO477" s="214"/>
      <c r="AQ477" s="214"/>
      <c r="AU477" s="217"/>
      <c r="AV477" s="217"/>
      <c r="AW477" s="217"/>
    </row>
    <row r="478">
      <c r="C478" s="214"/>
      <c r="E478" s="215"/>
      <c r="F478" s="215"/>
      <c r="G478" s="215"/>
      <c r="H478" s="215"/>
      <c r="I478" s="215"/>
      <c r="J478" s="215"/>
      <c r="K478" s="215"/>
      <c r="L478" s="215"/>
      <c r="M478" s="215"/>
      <c r="N478" s="215"/>
      <c r="O478" s="215"/>
      <c r="P478" s="215"/>
      <c r="Q478" s="215"/>
      <c r="R478" s="215"/>
      <c r="S478" s="215"/>
      <c r="T478" s="215"/>
      <c r="U478" s="215"/>
      <c r="V478" s="215"/>
      <c r="W478" s="215"/>
      <c r="X478" s="215"/>
      <c r="Y478" s="215"/>
      <c r="Z478" s="215"/>
      <c r="AA478" s="215"/>
      <c r="AB478" s="215"/>
      <c r="AC478" s="215"/>
      <c r="AD478" s="215"/>
      <c r="AE478" s="215"/>
      <c r="AF478" s="215"/>
      <c r="AG478" s="216"/>
      <c r="AJ478" s="214"/>
      <c r="AO478" s="214"/>
      <c r="AQ478" s="214"/>
      <c r="AU478" s="217"/>
      <c r="AV478" s="217"/>
      <c r="AW478" s="217"/>
    </row>
    <row r="479">
      <c r="C479" s="214"/>
      <c r="E479" s="215"/>
      <c r="F479" s="215"/>
      <c r="G479" s="215"/>
      <c r="H479" s="215"/>
      <c r="I479" s="215"/>
      <c r="J479" s="215"/>
      <c r="K479" s="215"/>
      <c r="L479" s="215"/>
      <c r="M479" s="215"/>
      <c r="N479" s="215"/>
      <c r="O479" s="215"/>
      <c r="P479" s="215"/>
      <c r="Q479" s="215"/>
      <c r="R479" s="215"/>
      <c r="S479" s="215"/>
      <c r="T479" s="215"/>
      <c r="U479" s="215"/>
      <c r="V479" s="215"/>
      <c r="W479" s="215"/>
      <c r="X479" s="215"/>
      <c r="Y479" s="215"/>
      <c r="Z479" s="215"/>
      <c r="AA479" s="215"/>
      <c r="AB479" s="215"/>
      <c r="AC479" s="215"/>
      <c r="AD479" s="215"/>
      <c r="AE479" s="215"/>
      <c r="AF479" s="215"/>
      <c r="AG479" s="216"/>
      <c r="AJ479" s="214"/>
      <c r="AO479" s="214"/>
      <c r="AQ479" s="214"/>
      <c r="AU479" s="217"/>
      <c r="AV479" s="217"/>
      <c r="AW479" s="217"/>
    </row>
    <row r="480">
      <c r="C480" s="214"/>
      <c r="E480" s="215"/>
      <c r="F480" s="215"/>
      <c r="G480" s="215"/>
      <c r="H480" s="215"/>
      <c r="I480" s="215"/>
      <c r="J480" s="215"/>
      <c r="K480" s="215"/>
      <c r="L480" s="215"/>
      <c r="M480" s="215"/>
      <c r="N480" s="215"/>
      <c r="O480" s="215"/>
      <c r="P480" s="215"/>
      <c r="Q480" s="215"/>
      <c r="R480" s="215"/>
      <c r="S480" s="215"/>
      <c r="T480" s="215"/>
      <c r="U480" s="215"/>
      <c r="V480" s="215"/>
      <c r="W480" s="215"/>
      <c r="X480" s="215"/>
      <c r="Y480" s="215"/>
      <c r="Z480" s="215"/>
      <c r="AA480" s="215"/>
      <c r="AB480" s="215"/>
      <c r="AC480" s="215"/>
      <c r="AD480" s="215"/>
      <c r="AE480" s="215"/>
      <c r="AF480" s="215"/>
      <c r="AG480" s="216"/>
      <c r="AJ480" s="214"/>
      <c r="AO480" s="214"/>
      <c r="AQ480" s="214"/>
      <c r="AU480" s="217"/>
      <c r="AV480" s="217"/>
      <c r="AW480" s="217"/>
    </row>
    <row r="481">
      <c r="C481" s="214"/>
      <c r="E481" s="215"/>
      <c r="F481" s="215"/>
      <c r="G481" s="215"/>
      <c r="H481" s="215"/>
      <c r="I481" s="215"/>
      <c r="J481" s="215"/>
      <c r="K481" s="215"/>
      <c r="L481" s="215"/>
      <c r="M481" s="215"/>
      <c r="N481" s="215"/>
      <c r="O481" s="215"/>
      <c r="P481" s="215"/>
      <c r="Q481" s="215"/>
      <c r="R481" s="215"/>
      <c r="S481" s="215"/>
      <c r="T481" s="215"/>
      <c r="U481" s="215"/>
      <c r="V481" s="215"/>
      <c r="W481" s="215"/>
      <c r="X481" s="215"/>
      <c r="Y481" s="215"/>
      <c r="Z481" s="215"/>
      <c r="AA481" s="215"/>
      <c r="AB481" s="215"/>
      <c r="AC481" s="215"/>
      <c r="AD481" s="215"/>
      <c r="AE481" s="215"/>
      <c r="AF481" s="215"/>
      <c r="AG481" s="216"/>
      <c r="AJ481" s="214"/>
      <c r="AO481" s="214"/>
      <c r="AQ481" s="214"/>
      <c r="AU481" s="217"/>
      <c r="AV481" s="217"/>
      <c r="AW481" s="217"/>
    </row>
    <row r="482">
      <c r="C482" s="214"/>
      <c r="E482" s="215"/>
      <c r="F482" s="215"/>
      <c r="G482" s="215"/>
      <c r="H482" s="215"/>
      <c r="I482" s="215"/>
      <c r="J482" s="215"/>
      <c r="K482" s="215"/>
      <c r="L482" s="215"/>
      <c r="M482" s="215"/>
      <c r="N482" s="215"/>
      <c r="O482" s="215"/>
      <c r="P482" s="215"/>
      <c r="Q482" s="215"/>
      <c r="R482" s="215"/>
      <c r="S482" s="215"/>
      <c r="T482" s="215"/>
      <c r="U482" s="215"/>
      <c r="V482" s="215"/>
      <c r="W482" s="215"/>
      <c r="X482" s="215"/>
      <c r="Y482" s="215"/>
      <c r="Z482" s="215"/>
      <c r="AA482" s="215"/>
      <c r="AB482" s="215"/>
      <c r="AC482" s="215"/>
      <c r="AD482" s="215"/>
      <c r="AE482" s="215"/>
      <c r="AF482" s="215"/>
      <c r="AG482" s="216"/>
      <c r="AJ482" s="214"/>
      <c r="AO482" s="214"/>
      <c r="AQ482" s="214"/>
      <c r="AU482" s="217"/>
      <c r="AV482" s="217"/>
      <c r="AW482" s="217"/>
    </row>
    <row r="483">
      <c r="C483" s="214"/>
      <c r="E483" s="215"/>
      <c r="F483" s="215"/>
      <c r="G483" s="215"/>
      <c r="H483" s="215"/>
      <c r="I483" s="215"/>
      <c r="J483" s="215"/>
      <c r="K483" s="215"/>
      <c r="L483" s="215"/>
      <c r="M483" s="215"/>
      <c r="N483" s="215"/>
      <c r="O483" s="215"/>
      <c r="P483" s="215"/>
      <c r="Q483" s="215"/>
      <c r="R483" s="215"/>
      <c r="S483" s="215"/>
      <c r="T483" s="215"/>
      <c r="U483" s="215"/>
      <c r="V483" s="215"/>
      <c r="W483" s="215"/>
      <c r="X483" s="215"/>
      <c r="Y483" s="215"/>
      <c r="Z483" s="215"/>
      <c r="AA483" s="215"/>
      <c r="AB483" s="215"/>
      <c r="AC483" s="215"/>
      <c r="AD483" s="215"/>
      <c r="AE483" s="215"/>
      <c r="AF483" s="215"/>
      <c r="AG483" s="216"/>
      <c r="AJ483" s="214"/>
      <c r="AO483" s="214"/>
      <c r="AQ483" s="214"/>
      <c r="AU483" s="217"/>
      <c r="AV483" s="217"/>
      <c r="AW483" s="217"/>
    </row>
    <row r="484">
      <c r="C484" s="214"/>
      <c r="E484" s="215"/>
      <c r="F484" s="215"/>
      <c r="G484" s="215"/>
      <c r="H484" s="215"/>
      <c r="I484" s="215"/>
      <c r="J484" s="215"/>
      <c r="K484" s="215"/>
      <c r="L484" s="215"/>
      <c r="M484" s="215"/>
      <c r="N484" s="215"/>
      <c r="O484" s="215"/>
      <c r="P484" s="215"/>
      <c r="Q484" s="215"/>
      <c r="R484" s="215"/>
      <c r="S484" s="215"/>
      <c r="T484" s="215"/>
      <c r="U484" s="215"/>
      <c r="V484" s="215"/>
      <c r="W484" s="215"/>
      <c r="X484" s="215"/>
      <c r="Y484" s="215"/>
      <c r="Z484" s="215"/>
      <c r="AA484" s="215"/>
      <c r="AB484" s="215"/>
      <c r="AC484" s="215"/>
      <c r="AD484" s="215"/>
      <c r="AE484" s="215"/>
      <c r="AF484" s="215"/>
      <c r="AG484" s="216"/>
      <c r="AJ484" s="214"/>
      <c r="AO484" s="214"/>
      <c r="AQ484" s="214"/>
      <c r="AU484" s="217"/>
      <c r="AV484" s="217"/>
      <c r="AW484" s="217"/>
    </row>
    <row r="485">
      <c r="C485" s="214"/>
      <c r="E485" s="215"/>
      <c r="F485" s="215"/>
      <c r="G485" s="215"/>
      <c r="H485" s="215"/>
      <c r="I485" s="215"/>
      <c r="J485" s="215"/>
      <c r="K485" s="215"/>
      <c r="L485" s="215"/>
      <c r="M485" s="215"/>
      <c r="N485" s="215"/>
      <c r="O485" s="215"/>
      <c r="P485" s="215"/>
      <c r="Q485" s="215"/>
      <c r="R485" s="215"/>
      <c r="S485" s="215"/>
      <c r="T485" s="215"/>
      <c r="U485" s="215"/>
      <c r="V485" s="215"/>
      <c r="W485" s="215"/>
      <c r="X485" s="215"/>
      <c r="Y485" s="215"/>
      <c r="Z485" s="215"/>
      <c r="AA485" s="215"/>
      <c r="AB485" s="215"/>
      <c r="AC485" s="215"/>
      <c r="AD485" s="215"/>
      <c r="AE485" s="215"/>
      <c r="AF485" s="215"/>
      <c r="AG485" s="216"/>
      <c r="AJ485" s="214"/>
      <c r="AO485" s="214"/>
      <c r="AQ485" s="214"/>
      <c r="AU485" s="217"/>
      <c r="AV485" s="217"/>
      <c r="AW485" s="217"/>
    </row>
    <row r="486">
      <c r="C486" s="214"/>
      <c r="E486" s="215"/>
      <c r="F486" s="215"/>
      <c r="G486" s="215"/>
      <c r="H486" s="215"/>
      <c r="I486" s="215"/>
      <c r="J486" s="215"/>
      <c r="K486" s="215"/>
      <c r="L486" s="215"/>
      <c r="M486" s="215"/>
      <c r="N486" s="215"/>
      <c r="O486" s="215"/>
      <c r="P486" s="215"/>
      <c r="Q486" s="215"/>
      <c r="R486" s="215"/>
      <c r="S486" s="215"/>
      <c r="T486" s="215"/>
      <c r="U486" s="215"/>
      <c r="V486" s="215"/>
      <c r="W486" s="215"/>
      <c r="X486" s="215"/>
      <c r="Y486" s="215"/>
      <c r="Z486" s="215"/>
      <c r="AA486" s="215"/>
      <c r="AB486" s="215"/>
      <c r="AC486" s="215"/>
      <c r="AD486" s="215"/>
      <c r="AE486" s="215"/>
      <c r="AF486" s="215"/>
      <c r="AG486" s="216"/>
      <c r="AJ486" s="214"/>
      <c r="AO486" s="214"/>
      <c r="AQ486" s="214"/>
      <c r="AU486" s="217"/>
      <c r="AV486" s="217"/>
      <c r="AW486" s="217"/>
    </row>
    <row r="487">
      <c r="C487" s="214"/>
      <c r="E487" s="215"/>
      <c r="F487" s="215"/>
      <c r="G487" s="215"/>
      <c r="H487" s="215"/>
      <c r="I487" s="215"/>
      <c r="J487" s="215"/>
      <c r="K487" s="215"/>
      <c r="L487" s="215"/>
      <c r="M487" s="215"/>
      <c r="N487" s="215"/>
      <c r="O487" s="215"/>
      <c r="P487" s="215"/>
      <c r="Q487" s="215"/>
      <c r="R487" s="215"/>
      <c r="S487" s="215"/>
      <c r="T487" s="215"/>
      <c r="U487" s="215"/>
      <c r="V487" s="215"/>
      <c r="W487" s="215"/>
      <c r="X487" s="215"/>
      <c r="Y487" s="215"/>
      <c r="Z487" s="215"/>
      <c r="AA487" s="215"/>
      <c r="AB487" s="215"/>
      <c r="AC487" s="215"/>
      <c r="AD487" s="215"/>
      <c r="AE487" s="215"/>
      <c r="AF487" s="215"/>
      <c r="AG487" s="216"/>
      <c r="AJ487" s="214"/>
      <c r="AO487" s="214"/>
      <c r="AQ487" s="214"/>
      <c r="AU487" s="217"/>
      <c r="AV487" s="217"/>
      <c r="AW487" s="217"/>
    </row>
    <row r="488">
      <c r="C488" s="214"/>
      <c r="E488" s="215"/>
      <c r="F488" s="215"/>
      <c r="G488" s="215"/>
      <c r="H488" s="215"/>
      <c r="I488" s="215"/>
      <c r="J488" s="215"/>
      <c r="K488" s="215"/>
      <c r="L488" s="215"/>
      <c r="M488" s="215"/>
      <c r="N488" s="215"/>
      <c r="O488" s="215"/>
      <c r="P488" s="215"/>
      <c r="Q488" s="215"/>
      <c r="R488" s="215"/>
      <c r="S488" s="215"/>
      <c r="T488" s="215"/>
      <c r="U488" s="215"/>
      <c r="V488" s="215"/>
      <c r="W488" s="215"/>
      <c r="X488" s="215"/>
      <c r="Y488" s="215"/>
      <c r="Z488" s="215"/>
      <c r="AA488" s="215"/>
      <c r="AB488" s="215"/>
      <c r="AC488" s="215"/>
      <c r="AD488" s="215"/>
      <c r="AE488" s="215"/>
      <c r="AF488" s="215"/>
      <c r="AG488" s="216"/>
      <c r="AJ488" s="214"/>
      <c r="AO488" s="214"/>
      <c r="AQ488" s="214"/>
      <c r="AU488" s="217"/>
      <c r="AV488" s="217"/>
      <c r="AW488" s="217"/>
    </row>
    <row r="489">
      <c r="C489" s="214"/>
      <c r="E489" s="215"/>
      <c r="F489" s="215"/>
      <c r="G489" s="215"/>
      <c r="H489" s="215"/>
      <c r="I489" s="215"/>
      <c r="J489" s="215"/>
      <c r="K489" s="215"/>
      <c r="L489" s="215"/>
      <c r="M489" s="215"/>
      <c r="N489" s="215"/>
      <c r="O489" s="215"/>
      <c r="P489" s="215"/>
      <c r="Q489" s="215"/>
      <c r="R489" s="215"/>
      <c r="S489" s="215"/>
      <c r="T489" s="215"/>
      <c r="U489" s="215"/>
      <c r="V489" s="215"/>
      <c r="W489" s="215"/>
      <c r="X489" s="215"/>
      <c r="Y489" s="215"/>
      <c r="Z489" s="215"/>
      <c r="AA489" s="215"/>
      <c r="AB489" s="215"/>
      <c r="AC489" s="215"/>
      <c r="AD489" s="215"/>
      <c r="AE489" s="215"/>
      <c r="AF489" s="215"/>
      <c r="AG489" s="216"/>
      <c r="AJ489" s="214"/>
      <c r="AO489" s="214"/>
      <c r="AQ489" s="214"/>
      <c r="AU489" s="217"/>
      <c r="AV489" s="217"/>
      <c r="AW489" s="217"/>
    </row>
    <row r="490">
      <c r="C490" s="214"/>
      <c r="E490" s="215"/>
      <c r="F490" s="215"/>
      <c r="G490" s="215"/>
      <c r="H490" s="215"/>
      <c r="I490" s="215"/>
      <c r="J490" s="215"/>
      <c r="K490" s="215"/>
      <c r="L490" s="215"/>
      <c r="M490" s="215"/>
      <c r="N490" s="215"/>
      <c r="O490" s="215"/>
      <c r="P490" s="215"/>
      <c r="Q490" s="215"/>
      <c r="R490" s="215"/>
      <c r="S490" s="215"/>
      <c r="T490" s="215"/>
      <c r="U490" s="215"/>
      <c r="V490" s="215"/>
      <c r="W490" s="215"/>
      <c r="X490" s="215"/>
      <c r="Y490" s="215"/>
      <c r="Z490" s="215"/>
      <c r="AA490" s="215"/>
      <c r="AB490" s="215"/>
      <c r="AC490" s="215"/>
      <c r="AD490" s="215"/>
      <c r="AE490" s="215"/>
      <c r="AF490" s="215"/>
      <c r="AG490" s="216"/>
      <c r="AJ490" s="214"/>
      <c r="AO490" s="214"/>
      <c r="AQ490" s="214"/>
      <c r="AU490" s="217"/>
      <c r="AV490" s="217"/>
      <c r="AW490" s="217"/>
    </row>
    <row r="491">
      <c r="C491" s="214"/>
      <c r="E491" s="215"/>
      <c r="F491" s="215"/>
      <c r="G491" s="215"/>
      <c r="H491" s="215"/>
      <c r="I491" s="215"/>
      <c r="J491" s="215"/>
      <c r="K491" s="215"/>
      <c r="L491" s="215"/>
      <c r="M491" s="215"/>
      <c r="N491" s="215"/>
      <c r="O491" s="215"/>
      <c r="P491" s="215"/>
      <c r="Q491" s="215"/>
      <c r="R491" s="215"/>
      <c r="S491" s="215"/>
      <c r="T491" s="215"/>
      <c r="U491" s="215"/>
      <c r="V491" s="215"/>
      <c r="W491" s="215"/>
      <c r="X491" s="215"/>
      <c r="Y491" s="215"/>
      <c r="Z491" s="215"/>
      <c r="AA491" s="215"/>
      <c r="AB491" s="215"/>
      <c r="AC491" s="215"/>
      <c r="AD491" s="215"/>
      <c r="AE491" s="215"/>
      <c r="AF491" s="215"/>
      <c r="AG491" s="216"/>
      <c r="AJ491" s="214"/>
      <c r="AO491" s="214"/>
      <c r="AQ491" s="214"/>
      <c r="AU491" s="217"/>
      <c r="AV491" s="217"/>
      <c r="AW491" s="217"/>
    </row>
    <row r="492">
      <c r="C492" s="214"/>
      <c r="E492" s="215"/>
      <c r="F492" s="215"/>
      <c r="G492" s="215"/>
      <c r="H492" s="215"/>
      <c r="I492" s="215"/>
      <c r="J492" s="215"/>
      <c r="K492" s="215"/>
      <c r="L492" s="215"/>
      <c r="M492" s="215"/>
      <c r="N492" s="215"/>
      <c r="O492" s="215"/>
      <c r="P492" s="215"/>
      <c r="Q492" s="215"/>
      <c r="R492" s="215"/>
      <c r="S492" s="215"/>
      <c r="T492" s="215"/>
      <c r="U492" s="215"/>
      <c r="V492" s="215"/>
      <c r="W492" s="215"/>
      <c r="X492" s="215"/>
      <c r="Y492" s="215"/>
      <c r="Z492" s="215"/>
      <c r="AA492" s="215"/>
      <c r="AB492" s="215"/>
      <c r="AC492" s="215"/>
      <c r="AD492" s="215"/>
      <c r="AE492" s="215"/>
      <c r="AF492" s="215"/>
      <c r="AG492" s="216"/>
      <c r="AJ492" s="214"/>
      <c r="AO492" s="214"/>
      <c r="AQ492" s="214"/>
      <c r="AU492" s="217"/>
      <c r="AV492" s="217"/>
      <c r="AW492" s="217"/>
    </row>
    <row r="493">
      <c r="C493" s="214"/>
      <c r="E493" s="215"/>
      <c r="F493" s="215"/>
      <c r="G493" s="215"/>
      <c r="H493" s="215"/>
      <c r="I493" s="215"/>
      <c r="J493" s="215"/>
      <c r="K493" s="215"/>
      <c r="L493" s="215"/>
      <c r="M493" s="215"/>
      <c r="N493" s="215"/>
      <c r="O493" s="215"/>
      <c r="P493" s="215"/>
      <c r="Q493" s="215"/>
      <c r="R493" s="215"/>
      <c r="S493" s="215"/>
      <c r="T493" s="215"/>
      <c r="U493" s="215"/>
      <c r="V493" s="215"/>
      <c r="W493" s="215"/>
      <c r="X493" s="215"/>
      <c r="Y493" s="215"/>
      <c r="Z493" s="215"/>
      <c r="AA493" s="215"/>
      <c r="AB493" s="215"/>
      <c r="AC493" s="215"/>
      <c r="AD493" s="215"/>
      <c r="AE493" s="215"/>
      <c r="AF493" s="215"/>
      <c r="AG493" s="216"/>
      <c r="AJ493" s="214"/>
      <c r="AO493" s="214"/>
      <c r="AQ493" s="214"/>
      <c r="AU493" s="217"/>
      <c r="AV493" s="217"/>
      <c r="AW493" s="217"/>
    </row>
    <row r="494">
      <c r="C494" s="214"/>
      <c r="E494" s="215"/>
      <c r="F494" s="215"/>
      <c r="G494" s="215"/>
      <c r="H494" s="215"/>
      <c r="I494" s="215"/>
      <c r="J494" s="215"/>
      <c r="K494" s="215"/>
      <c r="L494" s="215"/>
      <c r="M494" s="215"/>
      <c r="N494" s="215"/>
      <c r="O494" s="215"/>
      <c r="P494" s="215"/>
      <c r="Q494" s="215"/>
      <c r="R494" s="215"/>
      <c r="S494" s="215"/>
      <c r="T494" s="215"/>
      <c r="U494" s="215"/>
      <c r="V494" s="215"/>
      <c r="W494" s="215"/>
      <c r="X494" s="215"/>
      <c r="Y494" s="215"/>
      <c r="Z494" s="215"/>
      <c r="AA494" s="215"/>
      <c r="AB494" s="215"/>
      <c r="AC494" s="215"/>
      <c r="AD494" s="215"/>
      <c r="AE494" s="215"/>
      <c r="AF494" s="215"/>
      <c r="AG494" s="216"/>
      <c r="AJ494" s="214"/>
      <c r="AO494" s="214"/>
      <c r="AQ494" s="214"/>
      <c r="AU494" s="217"/>
      <c r="AV494" s="217"/>
      <c r="AW494" s="217"/>
    </row>
    <row r="495">
      <c r="C495" s="214"/>
      <c r="E495" s="215"/>
      <c r="F495" s="215"/>
      <c r="G495" s="215"/>
      <c r="H495" s="215"/>
      <c r="I495" s="215"/>
      <c r="J495" s="215"/>
      <c r="K495" s="215"/>
      <c r="L495" s="215"/>
      <c r="M495" s="215"/>
      <c r="N495" s="215"/>
      <c r="O495" s="215"/>
      <c r="P495" s="215"/>
      <c r="Q495" s="215"/>
      <c r="R495" s="215"/>
      <c r="S495" s="215"/>
      <c r="T495" s="215"/>
      <c r="U495" s="215"/>
      <c r="V495" s="215"/>
      <c r="W495" s="215"/>
      <c r="X495" s="215"/>
      <c r="Y495" s="215"/>
      <c r="Z495" s="215"/>
      <c r="AA495" s="215"/>
      <c r="AB495" s="215"/>
      <c r="AC495" s="215"/>
      <c r="AD495" s="215"/>
      <c r="AE495" s="215"/>
      <c r="AF495" s="215"/>
      <c r="AG495" s="216"/>
      <c r="AJ495" s="214"/>
      <c r="AO495" s="214"/>
      <c r="AQ495" s="214"/>
      <c r="AU495" s="217"/>
      <c r="AV495" s="217"/>
      <c r="AW495" s="217"/>
    </row>
    <row r="496">
      <c r="C496" s="214"/>
      <c r="E496" s="215"/>
      <c r="F496" s="215"/>
      <c r="G496" s="215"/>
      <c r="H496" s="215"/>
      <c r="I496" s="215"/>
      <c r="J496" s="215"/>
      <c r="K496" s="215"/>
      <c r="L496" s="215"/>
      <c r="M496" s="215"/>
      <c r="N496" s="215"/>
      <c r="O496" s="215"/>
      <c r="P496" s="215"/>
      <c r="Q496" s="215"/>
      <c r="R496" s="215"/>
      <c r="S496" s="215"/>
      <c r="T496" s="215"/>
      <c r="U496" s="215"/>
      <c r="V496" s="215"/>
      <c r="W496" s="215"/>
      <c r="X496" s="215"/>
      <c r="Y496" s="215"/>
      <c r="Z496" s="215"/>
      <c r="AA496" s="215"/>
      <c r="AB496" s="215"/>
      <c r="AC496" s="215"/>
      <c r="AD496" s="215"/>
      <c r="AE496" s="215"/>
      <c r="AF496" s="215"/>
      <c r="AG496" s="216"/>
      <c r="AJ496" s="214"/>
      <c r="AO496" s="214"/>
      <c r="AQ496" s="214"/>
      <c r="AU496" s="217"/>
      <c r="AV496" s="217"/>
      <c r="AW496" s="217"/>
    </row>
    <row r="497">
      <c r="C497" s="214"/>
      <c r="E497" s="215"/>
      <c r="F497" s="215"/>
      <c r="G497" s="215"/>
      <c r="H497" s="215"/>
      <c r="I497" s="215"/>
      <c r="J497" s="215"/>
      <c r="K497" s="215"/>
      <c r="L497" s="215"/>
      <c r="M497" s="215"/>
      <c r="N497" s="215"/>
      <c r="O497" s="215"/>
      <c r="P497" s="215"/>
      <c r="Q497" s="215"/>
      <c r="R497" s="215"/>
      <c r="S497" s="215"/>
      <c r="T497" s="215"/>
      <c r="U497" s="215"/>
      <c r="V497" s="215"/>
      <c r="W497" s="215"/>
      <c r="X497" s="215"/>
      <c r="Y497" s="215"/>
      <c r="Z497" s="215"/>
      <c r="AA497" s="215"/>
      <c r="AB497" s="215"/>
      <c r="AC497" s="215"/>
      <c r="AD497" s="215"/>
      <c r="AE497" s="215"/>
      <c r="AF497" s="215"/>
      <c r="AG497" s="216"/>
      <c r="AJ497" s="214"/>
      <c r="AO497" s="214"/>
      <c r="AQ497" s="214"/>
      <c r="AU497" s="217"/>
      <c r="AV497" s="217"/>
      <c r="AW497" s="217"/>
    </row>
    <row r="498">
      <c r="C498" s="214"/>
      <c r="E498" s="215"/>
      <c r="F498" s="215"/>
      <c r="G498" s="215"/>
      <c r="H498" s="215"/>
      <c r="I498" s="215"/>
      <c r="J498" s="215"/>
      <c r="K498" s="215"/>
      <c r="L498" s="215"/>
      <c r="M498" s="215"/>
      <c r="N498" s="215"/>
      <c r="O498" s="215"/>
      <c r="P498" s="215"/>
      <c r="Q498" s="215"/>
      <c r="R498" s="215"/>
      <c r="S498" s="215"/>
      <c r="T498" s="215"/>
      <c r="U498" s="215"/>
      <c r="V498" s="215"/>
      <c r="W498" s="215"/>
      <c r="X498" s="215"/>
      <c r="Y498" s="215"/>
      <c r="Z498" s="215"/>
      <c r="AA498" s="215"/>
      <c r="AB498" s="215"/>
      <c r="AC498" s="215"/>
      <c r="AD498" s="215"/>
      <c r="AE498" s="215"/>
      <c r="AF498" s="215"/>
      <c r="AG498" s="216"/>
      <c r="AJ498" s="214"/>
      <c r="AO498" s="214"/>
      <c r="AQ498" s="214"/>
      <c r="AU498" s="217"/>
      <c r="AV498" s="217"/>
      <c r="AW498" s="217"/>
    </row>
    <row r="499">
      <c r="C499" s="214"/>
      <c r="E499" s="215"/>
      <c r="F499" s="215"/>
      <c r="G499" s="215"/>
      <c r="H499" s="215"/>
      <c r="I499" s="215"/>
      <c r="J499" s="215"/>
      <c r="K499" s="215"/>
      <c r="L499" s="215"/>
      <c r="M499" s="215"/>
      <c r="N499" s="215"/>
      <c r="O499" s="215"/>
      <c r="P499" s="215"/>
      <c r="Q499" s="215"/>
      <c r="R499" s="215"/>
      <c r="S499" s="215"/>
      <c r="T499" s="215"/>
      <c r="U499" s="215"/>
      <c r="V499" s="215"/>
      <c r="W499" s="215"/>
      <c r="X499" s="215"/>
      <c r="Y499" s="215"/>
      <c r="Z499" s="215"/>
      <c r="AA499" s="215"/>
      <c r="AB499" s="215"/>
      <c r="AC499" s="215"/>
      <c r="AD499" s="215"/>
      <c r="AE499" s="215"/>
      <c r="AF499" s="215"/>
      <c r="AG499" s="216"/>
      <c r="AJ499" s="214"/>
      <c r="AO499" s="214"/>
      <c r="AQ499" s="214"/>
      <c r="AU499" s="217"/>
      <c r="AV499" s="217"/>
      <c r="AW499" s="217"/>
    </row>
    <row r="500">
      <c r="C500" s="214"/>
      <c r="E500" s="215"/>
      <c r="F500" s="215"/>
      <c r="G500" s="215"/>
      <c r="H500" s="215"/>
      <c r="I500" s="215"/>
      <c r="J500" s="215"/>
      <c r="K500" s="215"/>
      <c r="L500" s="215"/>
      <c r="M500" s="215"/>
      <c r="N500" s="215"/>
      <c r="O500" s="215"/>
      <c r="P500" s="215"/>
      <c r="Q500" s="215"/>
      <c r="R500" s="215"/>
      <c r="S500" s="215"/>
      <c r="T500" s="215"/>
      <c r="U500" s="215"/>
      <c r="V500" s="215"/>
      <c r="W500" s="215"/>
      <c r="X500" s="215"/>
      <c r="Y500" s="215"/>
      <c r="Z500" s="215"/>
      <c r="AA500" s="215"/>
      <c r="AB500" s="215"/>
      <c r="AC500" s="215"/>
      <c r="AD500" s="215"/>
      <c r="AE500" s="215"/>
      <c r="AF500" s="215"/>
      <c r="AG500" s="216"/>
      <c r="AJ500" s="214"/>
      <c r="AO500" s="214"/>
      <c r="AQ500" s="214"/>
      <c r="AU500" s="217"/>
      <c r="AV500" s="217"/>
      <c r="AW500" s="217"/>
    </row>
    <row r="501">
      <c r="C501" s="214"/>
      <c r="E501" s="215"/>
      <c r="F501" s="215"/>
      <c r="G501" s="215"/>
      <c r="H501" s="215"/>
      <c r="I501" s="215"/>
      <c r="J501" s="215"/>
      <c r="K501" s="215"/>
      <c r="L501" s="215"/>
      <c r="M501" s="215"/>
      <c r="N501" s="215"/>
      <c r="O501" s="215"/>
      <c r="P501" s="215"/>
      <c r="Q501" s="215"/>
      <c r="R501" s="215"/>
      <c r="S501" s="215"/>
      <c r="T501" s="215"/>
      <c r="U501" s="215"/>
      <c r="V501" s="215"/>
      <c r="W501" s="215"/>
      <c r="X501" s="215"/>
      <c r="Y501" s="215"/>
      <c r="Z501" s="215"/>
      <c r="AA501" s="215"/>
      <c r="AB501" s="215"/>
      <c r="AC501" s="215"/>
      <c r="AD501" s="215"/>
      <c r="AE501" s="215"/>
      <c r="AF501" s="215"/>
      <c r="AG501" s="216"/>
      <c r="AJ501" s="214"/>
      <c r="AO501" s="214"/>
      <c r="AQ501" s="214"/>
      <c r="AU501" s="217"/>
      <c r="AV501" s="217"/>
      <c r="AW501" s="217"/>
    </row>
    <row r="502">
      <c r="C502" s="214"/>
      <c r="E502" s="215"/>
      <c r="F502" s="215"/>
      <c r="G502" s="215"/>
      <c r="H502" s="215"/>
      <c r="I502" s="215"/>
      <c r="J502" s="215"/>
      <c r="K502" s="215"/>
      <c r="L502" s="215"/>
      <c r="M502" s="215"/>
      <c r="N502" s="215"/>
      <c r="O502" s="215"/>
      <c r="P502" s="215"/>
      <c r="Q502" s="215"/>
      <c r="R502" s="215"/>
      <c r="S502" s="215"/>
      <c r="T502" s="215"/>
      <c r="U502" s="215"/>
      <c r="V502" s="215"/>
      <c r="W502" s="215"/>
      <c r="X502" s="215"/>
      <c r="Y502" s="215"/>
      <c r="Z502" s="215"/>
      <c r="AA502" s="215"/>
      <c r="AB502" s="215"/>
      <c r="AC502" s="215"/>
      <c r="AD502" s="215"/>
      <c r="AE502" s="215"/>
      <c r="AF502" s="215"/>
      <c r="AG502" s="216"/>
      <c r="AJ502" s="214"/>
      <c r="AO502" s="214"/>
      <c r="AQ502" s="214"/>
      <c r="AU502" s="217"/>
      <c r="AV502" s="217"/>
      <c r="AW502" s="217"/>
    </row>
    <row r="503">
      <c r="C503" s="214"/>
      <c r="E503" s="215"/>
      <c r="F503" s="215"/>
      <c r="G503" s="215"/>
      <c r="H503" s="215"/>
      <c r="I503" s="215"/>
      <c r="J503" s="215"/>
      <c r="K503" s="215"/>
      <c r="L503" s="215"/>
      <c r="M503" s="215"/>
      <c r="N503" s="215"/>
      <c r="O503" s="215"/>
      <c r="P503" s="215"/>
      <c r="Q503" s="215"/>
      <c r="R503" s="215"/>
      <c r="S503" s="215"/>
      <c r="T503" s="215"/>
      <c r="U503" s="215"/>
      <c r="V503" s="215"/>
      <c r="W503" s="215"/>
      <c r="X503" s="215"/>
      <c r="Y503" s="215"/>
      <c r="Z503" s="215"/>
      <c r="AA503" s="215"/>
      <c r="AB503" s="215"/>
      <c r="AC503" s="215"/>
      <c r="AD503" s="215"/>
      <c r="AE503" s="215"/>
      <c r="AF503" s="215"/>
      <c r="AG503" s="216"/>
      <c r="AJ503" s="214"/>
      <c r="AO503" s="214"/>
      <c r="AQ503" s="214"/>
      <c r="AU503" s="217"/>
      <c r="AV503" s="217"/>
      <c r="AW503" s="217"/>
    </row>
    <row r="504">
      <c r="C504" s="214"/>
      <c r="E504" s="215"/>
      <c r="F504" s="215"/>
      <c r="G504" s="215"/>
      <c r="H504" s="215"/>
      <c r="I504" s="215"/>
      <c r="J504" s="215"/>
      <c r="K504" s="215"/>
      <c r="L504" s="215"/>
      <c r="M504" s="215"/>
      <c r="N504" s="215"/>
      <c r="O504" s="215"/>
      <c r="P504" s="215"/>
      <c r="Q504" s="215"/>
      <c r="R504" s="215"/>
      <c r="S504" s="215"/>
      <c r="T504" s="215"/>
      <c r="U504" s="215"/>
      <c r="V504" s="215"/>
      <c r="W504" s="215"/>
      <c r="X504" s="215"/>
      <c r="Y504" s="215"/>
      <c r="Z504" s="215"/>
      <c r="AA504" s="215"/>
      <c r="AB504" s="215"/>
      <c r="AC504" s="215"/>
      <c r="AD504" s="215"/>
      <c r="AE504" s="215"/>
      <c r="AF504" s="215"/>
      <c r="AG504" s="216"/>
      <c r="AJ504" s="214"/>
      <c r="AO504" s="214"/>
      <c r="AQ504" s="214"/>
      <c r="AU504" s="217"/>
      <c r="AV504" s="217"/>
      <c r="AW504" s="217"/>
    </row>
    <row r="505">
      <c r="C505" s="214"/>
      <c r="E505" s="215"/>
      <c r="F505" s="215"/>
      <c r="G505" s="215"/>
      <c r="H505" s="215"/>
      <c r="I505" s="215"/>
      <c r="J505" s="215"/>
      <c r="K505" s="215"/>
      <c r="L505" s="215"/>
      <c r="M505" s="215"/>
      <c r="N505" s="215"/>
      <c r="O505" s="215"/>
      <c r="P505" s="215"/>
      <c r="Q505" s="215"/>
      <c r="R505" s="215"/>
      <c r="S505" s="215"/>
      <c r="T505" s="215"/>
      <c r="U505" s="215"/>
      <c r="V505" s="215"/>
      <c r="W505" s="215"/>
      <c r="X505" s="215"/>
      <c r="Y505" s="215"/>
      <c r="Z505" s="215"/>
      <c r="AA505" s="215"/>
      <c r="AB505" s="215"/>
      <c r="AC505" s="215"/>
      <c r="AD505" s="215"/>
      <c r="AE505" s="215"/>
      <c r="AF505" s="215"/>
      <c r="AG505" s="216"/>
      <c r="AJ505" s="214"/>
      <c r="AO505" s="214"/>
      <c r="AQ505" s="214"/>
      <c r="AU505" s="217"/>
      <c r="AV505" s="217"/>
      <c r="AW505" s="217"/>
    </row>
    <row r="506">
      <c r="C506" s="214"/>
      <c r="E506" s="215"/>
      <c r="F506" s="215"/>
      <c r="G506" s="215"/>
      <c r="H506" s="215"/>
      <c r="I506" s="215"/>
      <c r="J506" s="215"/>
      <c r="K506" s="215"/>
      <c r="L506" s="215"/>
      <c r="M506" s="215"/>
      <c r="N506" s="215"/>
      <c r="O506" s="215"/>
      <c r="P506" s="215"/>
      <c r="Q506" s="215"/>
      <c r="R506" s="215"/>
      <c r="S506" s="215"/>
      <c r="T506" s="215"/>
      <c r="U506" s="215"/>
      <c r="V506" s="215"/>
      <c r="W506" s="215"/>
      <c r="X506" s="215"/>
      <c r="Y506" s="215"/>
      <c r="Z506" s="215"/>
      <c r="AA506" s="215"/>
      <c r="AB506" s="215"/>
      <c r="AC506" s="215"/>
      <c r="AD506" s="215"/>
      <c r="AE506" s="215"/>
      <c r="AF506" s="215"/>
      <c r="AG506" s="216"/>
      <c r="AJ506" s="214"/>
      <c r="AO506" s="214"/>
      <c r="AQ506" s="214"/>
      <c r="AU506" s="217"/>
      <c r="AV506" s="217"/>
      <c r="AW506" s="217"/>
    </row>
    <row r="507">
      <c r="C507" s="214"/>
      <c r="E507" s="215"/>
      <c r="F507" s="215"/>
      <c r="G507" s="215"/>
      <c r="H507" s="215"/>
      <c r="I507" s="215"/>
      <c r="J507" s="215"/>
      <c r="K507" s="215"/>
      <c r="L507" s="215"/>
      <c r="M507" s="215"/>
      <c r="N507" s="215"/>
      <c r="O507" s="215"/>
      <c r="P507" s="215"/>
      <c r="Q507" s="215"/>
      <c r="R507" s="215"/>
      <c r="S507" s="215"/>
      <c r="T507" s="215"/>
      <c r="U507" s="215"/>
      <c r="V507" s="215"/>
      <c r="W507" s="215"/>
      <c r="X507" s="215"/>
      <c r="Y507" s="215"/>
      <c r="Z507" s="215"/>
      <c r="AA507" s="215"/>
      <c r="AB507" s="215"/>
      <c r="AC507" s="215"/>
      <c r="AD507" s="215"/>
      <c r="AE507" s="215"/>
      <c r="AF507" s="215"/>
      <c r="AG507" s="216"/>
      <c r="AJ507" s="214"/>
      <c r="AO507" s="214"/>
      <c r="AQ507" s="214"/>
      <c r="AU507" s="217"/>
      <c r="AV507" s="217"/>
      <c r="AW507" s="217"/>
    </row>
    <row r="508">
      <c r="C508" s="214"/>
      <c r="E508" s="215"/>
      <c r="F508" s="215"/>
      <c r="G508" s="215"/>
      <c r="H508" s="215"/>
      <c r="I508" s="215"/>
      <c r="J508" s="215"/>
      <c r="K508" s="215"/>
      <c r="L508" s="215"/>
      <c r="M508" s="215"/>
      <c r="N508" s="215"/>
      <c r="O508" s="215"/>
      <c r="P508" s="215"/>
      <c r="Q508" s="215"/>
      <c r="R508" s="215"/>
      <c r="S508" s="215"/>
      <c r="T508" s="215"/>
      <c r="U508" s="215"/>
      <c r="V508" s="215"/>
      <c r="W508" s="215"/>
      <c r="X508" s="215"/>
      <c r="Y508" s="215"/>
      <c r="Z508" s="215"/>
      <c r="AA508" s="215"/>
      <c r="AB508" s="215"/>
      <c r="AC508" s="215"/>
      <c r="AD508" s="215"/>
      <c r="AE508" s="215"/>
      <c r="AF508" s="215"/>
      <c r="AG508" s="216"/>
      <c r="AJ508" s="214"/>
      <c r="AO508" s="214"/>
      <c r="AQ508" s="214"/>
      <c r="AU508" s="217"/>
      <c r="AV508" s="217"/>
      <c r="AW508" s="217"/>
    </row>
    <row r="509">
      <c r="C509" s="214"/>
      <c r="E509" s="215"/>
      <c r="F509" s="215"/>
      <c r="G509" s="215"/>
      <c r="H509" s="215"/>
      <c r="I509" s="215"/>
      <c r="J509" s="215"/>
      <c r="K509" s="215"/>
      <c r="L509" s="215"/>
      <c r="M509" s="215"/>
      <c r="N509" s="215"/>
      <c r="O509" s="215"/>
      <c r="P509" s="215"/>
      <c r="Q509" s="215"/>
      <c r="R509" s="215"/>
      <c r="S509" s="215"/>
      <c r="T509" s="215"/>
      <c r="U509" s="215"/>
      <c r="V509" s="215"/>
      <c r="W509" s="215"/>
      <c r="X509" s="215"/>
      <c r="Y509" s="215"/>
      <c r="Z509" s="215"/>
      <c r="AA509" s="215"/>
      <c r="AB509" s="215"/>
      <c r="AC509" s="215"/>
      <c r="AD509" s="215"/>
      <c r="AE509" s="215"/>
      <c r="AF509" s="215"/>
      <c r="AG509" s="216"/>
      <c r="AJ509" s="214"/>
      <c r="AO509" s="214"/>
      <c r="AQ509" s="214"/>
      <c r="AU509" s="217"/>
      <c r="AV509" s="217"/>
      <c r="AW509" s="217"/>
    </row>
    <row r="510">
      <c r="C510" s="214"/>
      <c r="E510" s="215"/>
      <c r="F510" s="215"/>
      <c r="G510" s="215"/>
      <c r="H510" s="215"/>
      <c r="I510" s="215"/>
      <c r="J510" s="215"/>
      <c r="K510" s="215"/>
      <c r="L510" s="215"/>
      <c r="M510" s="215"/>
      <c r="N510" s="215"/>
      <c r="O510" s="215"/>
      <c r="P510" s="215"/>
      <c r="Q510" s="215"/>
      <c r="R510" s="215"/>
      <c r="S510" s="215"/>
      <c r="T510" s="215"/>
      <c r="U510" s="215"/>
      <c r="V510" s="215"/>
      <c r="W510" s="215"/>
      <c r="X510" s="215"/>
      <c r="Y510" s="215"/>
      <c r="Z510" s="215"/>
      <c r="AA510" s="215"/>
      <c r="AB510" s="215"/>
      <c r="AC510" s="215"/>
      <c r="AD510" s="215"/>
      <c r="AE510" s="215"/>
      <c r="AF510" s="215"/>
      <c r="AG510" s="216"/>
      <c r="AJ510" s="214"/>
      <c r="AO510" s="214"/>
      <c r="AQ510" s="214"/>
      <c r="AU510" s="217"/>
      <c r="AV510" s="217"/>
      <c r="AW510" s="217"/>
    </row>
    <row r="511">
      <c r="C511" s="214"/>
      <c r="E511" s="215"/>
      <c r="F511" s="215"/>
      <c r="G511" s="215"/>
      <c r="H511" s="215"/>
      <c r="I511" s="215"/>
      <c r="J511" s="215"/>
      <c r="K511" s="215"/>
      <c r="L511" s="215"/>
      <c r="M511" s="215"/>
      <c r="N511" s="215"/>
      <c r="O511" s="215"/>
      <c r="P511" s="215"/>
      <c r="Q511" s="215"/>
      <c r="R511" s="215"/>
      <c r="S511" s="215"/>
      <c r="T511" s="215"/>
      <c r="U511" s="215"/>
      <c r="V511" s="215"/>
      <c r="W511" s="215"/>
      <c r="X511" s="215"/>
      <c r="Y511" s="215"/>
      <c r="Z511" s="215"/>
      <c r="AA511" s="215"/>
      <c r="AB511" s="215"/>
      <c r="AC511" s="215"/>
      <c r="AD511" s="215"/>
      <c r="AE511" s="215"/>
      <c r="AF511" s="215"/>
      <c r="AG511" s="216"/>
      <c r="AJ511" s="214"/>
      <c r="AO511" s="214"/>
      <c r="AQ511" s="214"/>
      <c r="AU511" s="217"/>
      <c r="AV511" s="217"/>
      <c r="AW511" s="217"/>
    </row>
    <row r="512">
      <c r="C512" s="214"/>
      <c r="E512" s="215"/>
      <c r="F512" s="215"/>
      <c r="G512" s="215"/>
      <c r="H512" s="215"/>
      <c r="I512" s="215"/>
      <c r="J512" s="215"/>
      <c r="K512" s="215"/>
      <c r="L512" s="215"/>
      <c r="M512" s="215"/>
      <c r="N512" s="215"/>
      <c r="O512" s="215"/>
      <c r="P512" s="215"/>
      <c r="Q512" s="215"/>
      <c r="R512" s="215"/>
      <c r="S512" s="215"/>
      <c r="T512" s="215"/>
      <c r="U512" s="215"/>
      <c r="V512" s="215"/>
      <c r="W512" s="215"/>
      <c r="X512" s="215"/>
      <c r="Y512" s="215"/>
      <c r="Z512" s="215"/>
      <c r="AA512" s="215"/>
      <c r="AB512" s="215"/>
      <c r="AC512" s="215"/>
      <c r="AD512" s="215"/>
      <c r="AE512" s="215"/>
      <c r="AF512" s="215"/>
      <c r="AG512" s="216"/>
      <c r="AJ512" s="214"/>
      <c r="AO512" s="214"/>
      <c r="AQ512" s="214"/>
      <c r="AU512" s="217"/>
      <c r="AV512" s="217"/>
      <c r="AW512" s="217"/>
    </row>
    <row r="513">
      <c r="C513" s="214"/>
      <c r="E513" s="215"/>
      <c r="F513" s="215"/>
      <c r="G513" s="215"/>
      <c r="H513" s="215"/>
      <c r="I513" s="215"/>
      <c r="J513" s="215"/>
      <c r="K513" s="215"/>
      <c r="L513" s="215"/>
      <c r="M513" s="215"/>
      <c r="N513" s="215"/>
      <c r="O513" s="215"/>
      <c r="P513" s="215"/>
      <c r="Q513" s="215"/>
      <c r="R513" s="215"/>
      <c r="S513" s="215"/>
      <c r="T513" s="215"/>
      <c r="U513" s="215"/>
      <c r="V513" s="215"/>
      <c r="W513" s="215"/>
      <c r="X513" s="215"/>
      <c r="Y513" s="215"/>
      <c r="Z513" s="215"/>
      <c r="AA513" s="215"/>
      <c r="AB513" s="215"/>
      <c r="AC513" s="215"/>
      <c r="AD513" s="215"/>
      <c r="AE513" s="215"/>
      <c r="AF513" s="215"/>
      <c r="AG513" s="216"/>
      <c r="AJ513" s="214"/>
      <c r="AO513" s="214"/>
      <c r="AQ513" s="214"/>
      <c r="AU513" s="217"/>
      <c r="AV513" s="217"/>
      <c r="AW513" s="217"/>
    </row>
    <row r="514">
      <c r="C514" s="214"/>
      <c r="E514" s="215"/>
      <c r="F514" s="215"/>
      <c r="G514" s="215"/>
      <c r="H514" s="215"/>
      <c r="I514" s="215"/>
      <c r="J514" s="215"/>
      <c r="K514" s="215"/>
      <c r="L514" s="215"/>
      <c r="M514" s="215"/>
      <c r="N514" s="215"/>
      <c r="O514" s="215"/>
      <c r="P514" s="215"/>
      <c r="Q514" s="215"/>
      <c r="R514" s="215"/>
      <c r="S514" s="215"/>
      <c r="T514" s="215"/>
      <c r="U514" s="215"/>
      <c r="V514" s="215"/>
      <c r="W514" s="215"/>
      <c r="X514" s="215"/>
      <c r="Y514" s="215"/>
      <c r="Z514" s="215"/>
      <c r="AA514" s="215"/>
      <c r="AB514" s="215"/>
      <c r="AC514" s="215"/>
      <c r="AD514" s="215"/>
      <c r="AE514" s="215"/>
      <c r="AF514" s="215"/>
      <c r="AG514" s="216"/>
      <c r="AJ514" s="214"/>
      <c r="AO514" s="214"/>
      <c r="AQ514" s="214"/>
      <c r="AU514" s="217"/>
      <c r="AV514" s="217"/>
      <c r="AW514" s="217"/>
    </row>
    <row r="515">
      <c r="C515" s="214"/>
      <c r="E515" s="215"/>
      <c r="F515" s="215"/>
      <c r="G515" s="215"/>
      <c r="H515" s="215"/>
      <c r="I515" s="215"/>
      <c r="J515" s="215"/>
      <c r="K515" s="215"/>
      <c r="L515" s="215"/>
      <c r="M515" s="215"/>
      <c r="N515" s="215"/>
      <c r="O515" s="215"/>
      <c r="P515" s="215"/>
      <c r="Q515" s="215"/>
      <c r="R515" s="215"/>
      <c r="S515" s="215"/>
      <c r="T515" s="215"/>
      <c r="U515" s="215"/>
      <c r="V515" s="215"/>
      <c r="W515" s="215"/>
      <c r="X515" s="215"/>
      <c r="Y515" s="215"/>
      <c r="Z515" s="215"/>
      <c r="AA515" s="215"/>
      <c r="AB515" s="215"/>
      <c r="AC515" s="215"/>
      <c r="AD515" s="215"/>
      <c r="AE515" s="215"/>
      <c r="AF515" s="215"/>
      <c r="AG515" s="216"/>
      <c r="AJ515" s="214"/>
      <c r="AO515" s="214"/>
      <c r="AQ515" s="214"/>
      <c r="AU515" s="217"/>
      <c r="AV515" s="217"/>
      <c r="AW515" s="217"/>
    </row>
    <row r="516">
      <c r="C516" s="214"/>
      <c r="E516" s="215"/>
      <c r="F516" s="215"/>
      <c r="G516" s="215"/>
      <c r="H516" s="215"/>
      <c r="I516" s="215"/>
      <c r="J516" s="215"/>
      <c r="K516" s="215"/>
      <c r="L516" s="215"/>
      <c r="M516" s="215"/>
      <c r="N516" s="215"/>
      <c r="O516" s="215"/>
      <c r="P516" s="215"/>
      <c r="Q516" s="215"/>
      <c r="R516" s="215"/>
      <c r="S516" s="215"/>
      <c r="T516" s="215"/>
      <c r="U516" s="215"/>
      <c r="V516" s="215"/>
      <c r="W516" s="215"/>
      <c r="X516" s="215"/>
      <c r="Y516" s="215"/>
      <c r="Z516" s="215"/>
      <c r="AA516" s="215"/>
      <c r="AB516" s="215"/>
      <c r="AC516" s="215"/>
      <c r="AD516" s="215"/>
      <c r="AE516" s="215"/>
      <c r="AF516" s="215"/>
      <c r="AG516" s="216"/>
      <c r="AJ516" s="214"/>
      <c r="AO516" s="214"/>
      <c r="AQ516" s="214"/>
      <c r="AU516" s="217"/>
      <c r="AV516" s="217"/>
      <c r="AW516" s="217"/>
    </row>
    <row r="517">
      <c r="C517" s="214"/>
      <c r="E517" s="215"/>
      <c r="F517" s="215"/>
      <c r="G517" s="215"/>
      <c r="H517" s="215"/>
      <c r="I517" s="215"/>
      <c r="J517" s="215"/>
      <c r="K517" s="215"/>
      <c r="L517" s="215"/>
      <c r="M517" s="215"/>
      <c r="N517" s="215"/>
      <c r="O517" s="215"/>
      <c r="P517" s="215"/>
      <c r="Q517" s="215"/>
      <c r="R517" s="215"/>
      <c r="S517" s="215"/>
      <c r="T517" s="215"/>
      <c r="U517" s="215"/>
      <c r="V517" s="215"/>
      <c r="W517" s="215"/>
      <c r="X517" s="215"/>
      <c r="Y517" s="215"/>
      <c r="Z517" s="215"/>
      <c r="AA517" s="215"/>
      <c r="AB517" s="215"/>
      <c r="AC517" s="215"/>
      <c r="AD517" s="215"/>
      <c r="AE517" s="215"/>
      <c r="AF517" s="215"/>
      <c r="AG517" s="216"/>
      <c r="AJ517" s="214"/>
      <c r="AO517" s="214"/>
      <c r="AQ517" s="214"/>
      <c r="AU517" s="217"/>
      <c r="AV517" s="217"/>
      <c r="AW517" s="217"/>
    </row>
    <row r="518">
      <c r="C518" s="214"/>
      <c r="E518" s="215"/>
      <c r="F518" s="215"/>
      <c r="G518" s="215"/>
      <c r="H518" s="215"/>
      <c r="I518" s="215"/>
      <c r="J518" s="215"/>
      <c r="K518" s="215"/>
      <c r="L518" s="215"/>
      <c r="M518" s="215"/>
      <c r="N518" s="215"/>
      <c r="O518" s="215"/>
      <c r="P518" s="215"/>
      <c r="Q518" s="215"/>
      <c r="R518" s="215"/>
      <c r="S518" s="215"/>
      <c r="T518" s="215"/>
      <c r="U518" s="215"/>
      <c r="V518" s="215"/>
      <c r="W518" s="215"/>
      <c r="X518" s="215"/>
      <c r="Y518" s="215"/>
      <c r="Z518" s="215"/>
      <c r="AA518" s="215"/>
      <c r="AB518" s="215"/>
      <c r="AC518" s="215"/>
      <c r="AD518" s="215"/>
      <c r="AE518" s="215"/>
      <c r="AF518" s="215"/>
      <c r="AG518" s="216"/>
      <c r="AJ518" s="214"/>
      <c r="AO518" s="214"/>
      <c r="AQ518" s="214"/>
      <c r="AU518" s="217"/>
      <c r="AV518" s="217"/>
      <c r="AW518" s="217"/>
    </row>
    <row r="519">
      <c r="C519" s="214"/>
      <c r="E519" s="215"/>
      <c r="F519" s="215"/>
      <c r="G519" s="215"/>
      <c r="H519" s="215"/>
      <c r="I519" s="215"/>
      <c r="J519" s="215"/>
      <c r="K519" s="215"/>
      <c r="L519" s="215"/>
      <c r="M519" s="215"/>
      <c r="N519" s="215"/>
      <c r="O519" s="215"/>
      <c r="P519" s="215"/>
      <c r="Q519" s="215"/>
      <c r="R519" s="215"/>
      <c r="S519" s="215"/>
      <c r="T519" s="215"/>
      <c r="U519" s="215"/>
      <c r="V519" s="215"/>
      <c r="W519" s="215"/>
      <c r="X519" s="215"/>
      <c r="Y519" s="215"/>
      <c r="Z519" s="215"/>
      <c r="AA519" s="215"/>
      <c r="AB519" s="215"/>
      <c r="AC519" s="215"/>
      <c r="AD519" s="215"/>
      <c r="AE519" s="215"/>
      <c r="AF519" s="215"/>
      <c r="AG519" s="216"/>
      <c r="AJ519" s="214"/>
      <c r="AO519" s="214"/>
      <c r="AQ519" s="214"/>
      <c r="AU519" s="217"/>
      <c r="AV519" s="217"/>
      <c r="AW519" s="217"/>
    </row>
    <row r="520">
      <c r="C520" s="214"/>
      <c r="E520" s="215"/>
      <c r="F520" s="215"/>
      <c r="G520" s="215"/>
      <c r="H520" s="215"/>
      <c r="I520" s="215"/>
      <c r="J520" s="215"/>
      <c r="K520" s="215"/>
      <c r="L520" s="215"/>
      <c r="M520" s="215"/>
      <c r="N520" s="215"/>
      <c r="O520" s="215"/>
      <c r="P520" s="215"/>
      <c r="Q520" s="215"/>
      <c r="R520" s="215"/>
      <c r="S520" s="215"/>
      <c r="T520" s="215"/>
      <c r="U520" s="215"/>
      <c r="V520" s="215"/>
      <c r="W520" s="215"/>
      <c r="X520" s="215"/>
      <c r="Y520" s="215"/>
      <c r="Z520" s="215"/>
      <c r="AA520" s="215"/>
      <c r="AB520" s="215"/>
      <c r="AC520" s="215"/>
      <c r="AD520" s="215"/>
      <c r="AE520" s="215"/>
      <c r="AF520" s="215"/>
      <c r="AG520" s="216"/>
      <c r="AJ520" s="214"/>
      <c r="AO520" s="214"/>
      <c r="AQ520" s="214"/>
      <c r="AU520" s="217"/>
      <c r="AV520" s="217"/>
      <c r="AW520" s="217"/>
    </row>
    <row r="521">
      <c r="C521" s="214"/>
      <c r="E521" s="215"/>
      <c r="F521" s="215"/>
      <c r="G521" s="215"/>
      <c r="H521" s="215"/>
      <c r="I521" s="215"/>
      <c r="J521" s="215"/>
      <c r="K521" s="215"/>
      <c r="L521" s="215"/>
      <c r="M521" s="215"/>
      <c r="N521" s="215"/>
      <c r="O521" s="215"/>
      <c r="P521" s="215"/>
      <c r="Q521" s="215"/>
      <c r="R521" s="215"/>
      <c r="S521" s="215"/>
      <c r="T521" s="215"/>
      <c r="U521" s="215"/>
      <c r="V521" s="215"/>
      <c r="W521" s="215"/>
      <c r="X521" s="215"/>
      <c r="Y521" s="215"/>
      <c r="Z521" s="215"/>
      <c r="AA521" s="215"/>
      <c r="AB521" s="215"/>
      <c r="AC521" s="215"/>
      <c r="AD521" s="215"/>
      <c r="AE521" s="215"/>
      <c r="AF521" s="215"/>
      <c r="AG521" s="216"/>
      <c r="AJ521" s="214"/>
      <c r="AO521" s="214"/>
      <c r="AQ521" s="214"/>
      <c r="AU521" s="217"/>
      <c r="AV521" s="217"/>
      <c r="AW521" s="217"/>
    </row>
    <row r="522">
      <c r="C522" s="214"/>
      <c r="E522" s="215"/>
      <c r="F522" s="215"/>
      <c r="G522" s="215"/>
      <c r="H522" s="215"/>
      <c r="I522" s="215"/>
      <c r="J522" s="215"/>
      <c r="K522" s="215"/>
      <c r="L522" s="215"/>
      <c r="M522" s="215"/>
      <c r="N522" s="215"/>
      <c r="O522" s="215"/>
      <c r="P522" s="215"/>
      <c r="Q522" s="215"/>
      <c r="R522" s="215"/>
      <c r="S522" s="215"/>
      <c r="T522" s="215"/>
      <c r="U522" s="215"/>
      <c r="V522" s="215"/>
      <c r="W522" s="215"/>
      <c r="X522" s="215"/>
      <c r="Y522" s="215"/>
      <c r="Z522" s="215"/>
      <c r="AA522" s="215"/>
      <c r="AB522" s="215"/>
      <c r="AC522" s="215"/>
      <c r="AD522" s="215"/>
      <c r="AE522" s="215"/>
      <c r="AF522" s="215"/>
      <c r="AG522" s="216"/>
      <c r="AJ522" s="214"/>
      <c r="AO522" s="214"/>
      <c r="AQ522" s="214"/>
      <c r="AU522" s="217"/>
      <c r="AV522" s="217"/>
      <c r="AW522" s="217"/>
    </row>
    <row r="523">
      <c r="C523" s="214"/>
      <c r="E523" s="215"/>
      <c r="F523" s="215"/>
      <c r="G523" s="215"/>
      <c r="H523" s="215"/>
      <c r="I523" s="215"/>
      <c r="J523" s="215"/>
      <c r="K523" s="215"/>
      <c r="L523" s="215"/>
      <c r="M523" s="215"/>
      <c r="N523" s="215"/>
      <c r="O523" s="215"/>
      <c r="P523" s="215"/>
      <c r="Q523" s="215"/>
      <c r="R523" s="215"/>
      <c r="S523" s="215"/>
      <c r="T523" s="215"/>
      <c r="U523" s="215"/>
      <c r="V523" s="215"/>
      <c r="W523" s="215"/>
      <c r="X523" s="215"/>
      <c r="Y523" s="215"/>
      <c r="Z523" s="215"/>
      <c r="AA523" s="215"/>
      <c r="AB523" s="215"/>
      <c r="AC523" s="215"/>
      <c r="AD523" s="215"/>
      <c r="AE523" s="215"/>
      <c r="AF523" s="215"/>
      <c r="AG523" s="216"/>
      <c r="AJ523" s="214"/>
      <c r="AO523" s="214"/>
      <c r="AQ523" s="214"/>
      <c r="AU523" s="217"/>
      <c r="AV523" s="217"/>
      <c r="AW523" s="217"/>
    </row>
    <row r="524">
      <c r="C524" s="214"/>
      <c r="E524" s="215"/>
      <c r="F524" s="215"/>
      <c r="G524" s="215"/>
      <c r="H524" s="215"/>
      <c r="I524" s="215"/>
      <c r="J524" s="215"/>
      <c r="K524" s="215"/>
      <c r="L524" s="215"/>
      <c r="M524" s="215"/>
      <c r="N524" s="215"/>
      <c r="O524" s="215"/>
      <c r="P524" s="215"/>
      <c r="Q524" s="215"/>
      <c r="R524" s="215"/>
      <c r="S524" s="215"/>
      <c r="T524" s="215"/>
      <c r="U524" s="215"/>
      <c r="V524" s="215"/>
      <c r="W524" s="215"/>
      <c r="X524" s="215"/>
      <c r="Y524" s="215"/>
      <c r="Z524" s="215"/>
      <c r="AA524" s="215"/>
      <c r="AB524" s="215"/>
      <c r="AC524" s="215"/>
      <c r="AD524" s="215"/>
      <c r="AE524" s="215"/>
      <c r="AF524" s="215"/>
      <c r="AG524" s="216"/>
      <c r="AJ524" s="214"/>
      <c r="AO524" s="214"/>
      <c r="AQ524" s="214"/>
      <c r="AU524" s="217"/>
      <c r="AV524" s="217"/>
      <c r="AW524" s="217"/>
    </row>
    <row r="525">
      <c r="C525" s="214"/>
      <c r="E525" s="215"/>
      <c r="F525" s="215"/>
      <c r="G525" s="215"/>
      <c r="H525" s="215"/>
      <c r="I525" s="215"/>
      <c r="J525" s="215"/>
      <c r="K525" s="215"/>
      <c r="L525" s="215"/>
      <c r="M525" s="215"/>
      <c r="N525" s="215"/>
      <c r="O525" s="215"/>
      <c r="P525" s="215"/>
      <c r="Q525" s="215"/>
      <c r="R525" s="215"/>
      <c r="S525" s="215"/>
      <c r="T525" s="215"/>
      <c r="U525" s="215"/>
      <c r="V525" s="215"/>
      <c r="W525" s="215"/>
      <c r="X525" s="215"/>
      <c r="Y525" s="215"/>
      <c r="Z525" s="215"/>
      <c r="AA525" s="215"/>
      <c r="AB525" s="215"/>
      <c r="AC525" s="215"/>
      <c r="AD525" s="215"/>
      <c r="AE525" s="215"/>
      <c r="AF525" s="215"/>
      <c r="AG525" s="216"/>
      <c r="AJ525" s="214"/>
      <c r="AO525" s="214"/>
      <c r="AQ525" s="214"/>
      <c r="AU525" s="217"/>
      <c r="AV525" s="217"/>
      <c r="AW525" s="217"/>
    </row>
    <row r="526">
      <c r="C526" s="214"/>
      <c r="E526" s="215"/>
      <c r="F526" s="215"/>
      <c r="G526" s="215"/>
      <c r="H526" s="215"/>
      <c r="I526" s="215"/>
      <c r="J526" s="215"/>
      <c r="K526" s="215"/>
      <c r="L526" s="215"/>
      <c r="M526" s="215"/>
      <c r="N526" s="215"/>
      <c r="O526" s="215"/>
      <c r="P526" s="215"/>
      <c r="Q526" s="215"/>
      <c r="R526" s="215"/>
      <c r="S526" s="215"/>
      <c r="T526" s="215"/>
      <c r="U526" s="215"/>
      <c r="V526" s="215"/>
      <c r="W526" s="215"/>
      <c r="X526" s="215"/>
      <c r="Y526" s="215"/>
      <c r="Z526" s="215"/>
      <c r="AA526" s="215"/>
      <c r="AB526" s="215"/>
      <c r="AC526" s="215"/>
      <c r="AD526" s="215"/>
      <c r="AE526" s="215"/>
      <c r="AF526" s="215"/>
      <c r="AG526" s="216"/>
      <c r="AJ526" s="214"/>
      <c r="AO526" s="214"/>
      <c r="AQ526" s="214"/>
      <c r="AU526" s="217"/>
      <c r="AV526" s="217"/>
      <c r="AW526" s="217"/>
    </row>
    <row r="527">
      <c r="C527" s="214"/>
      <c r="E527" s="215"/>
      <c r="F527" s="215"/>
      <c r="G527" s="215"/>
      <c r="H527" s="215"/>
      <c r="I527" s="215"/>
      <c r="J527" s="215"/>
      <c r="K527" s="215"/>
      <c r="L527" s="215"/>
      <c r="M527" s="215"/>
      <c r="N527" s="215"/>
      <c r="O527" s="215"/>
      <c r="P527" s="215"/>
      <c r="Q527" s="215"/>
      <c r="R527" s="215"/>
      <c r="S527" s="215"/>
      <c r="T527" s="215"/>
      <c r="U527" s="215"/>
      <c r="V527" s="215"/>
      <c r="W527" s="215"/>
      <c r="X527" s="215"/>
      <c r="Y527" s="215"/>
      <c r="Z527" s="215"/>
      <c r="AA527" s="215"/>
      <c r="AB527" s="215"/>
      <c r="AC527" s="215"/>
      <c r="AD527" s="215"/>
      <c r="AE527" s="215"/>
      <c r="AF527" s="215"/>
      <c r="AG527" s="216"/>
      <c r="AJ527" s="214"/>
      <c r="AO527" s="214"/>
      <c r="AQ527" s="214"/>
      <c r="AU527" s="217"/>
      <c r="AV527" s="217"/>
      <c r="AW527" s="217"/>
    </row>
    <row r="528">
      <c r="C528" s="214"/>
      <c r="E528" s="215"/>
      <c r="F528" s="215"/>
      <c r="G528" s="215"/>
      <c r="H528" s="215"/>
      <c r="I528" s="215"/>
      <c r="J528" s="215"/>
      <c r="K528" s="215"/>
      <c r="L528" s="215"/>
      <c r="M528" s="215"/>
      <c r="N528" s="215"/>
      <c r="O528" s="215"/>
      <c r="P528" s="215"/>
      <c r="Q528" s="215"/>
      <c r="R528" s="215"/>
      <c r="S528" s="215"/>
      <c r="T528" s="215"/>
      <c r="U528" s="215"/>
      <c r="V528" s="215"/>
      <c r="W528" s="215"/>
      <c r="X528" s="215"/>
      <c r="Y528" s="215"/>
      <c r="Z528" s="215"/>
      <c r="AA528" s="215"/>
      <c r="AB528" s="215"/>
      <c r="AC528" s="215"/>
      <c r="AD528" s="215"/>
      <c r="AE528" s="215"/>
      <c r="AF528" s="215"/>
      <c r="AG528" s="216"/>
      <c r="AJ528" s="214"/>
      <c r="AO528" s="214"/>
      <c r="AQ528" s="214"/>
      <c r="AU528" s="217"/>
      <c r="AV528" s="217"/>
      <c r="AW528" s="217"/>
    </row>
    <row r="529">
      <c r="C529" s="214"/>
      <c r="E529" s="215"/>
      <c r="F529" s="215"/>
      <c r="G529" s="215"/>
      <c r="H529" s="215"/>
      <c r="I529" s="215"/>
      <c r="J529" s="215"/>
      <c r="K529" s="215"/>
      <c r="L529" s="215"/>
      <c r="M529" s="215"/>
      <c r="N529" s="215"/>
      <c r="O529" s="215"/>
      <c r="P529" s="215"/>
      <c r="Q529" s="215"/>
      <c r="R529" s="215"/>
      <c r="S529" s="215"/>
      <c r="T529" s="215"/>
      <c r="U529" s="215"/>
      <c r="V529" s="215"/>
      <c r="W529" s="215"/>
      <c r="X529" s="215"/>
      <c r="Y529" s="215"/>
      <c r="Z529" s="215"/>
      <c r="AA529" s="215"/>
      <c r="AB529" s="215"/>
      <c r="AC529" s="215"/>
      <c r="AD529" s="215"/>
      <c r="AE529" s="215"/>
      <c r="AF529" s="215"/>
      <c r="AG529" s="216"/>
      <c r="AJ529" s="214"/>
      <c r="AO529" s="214"/>
      <c r="AQ529" s="214"/>
      <c r="AU529" s="217"/>
      <c r="AV529" s="217"/>
      <c r="AW529" s="217"/>
    </row>
    <row r="530">
      <c r="C530" s="214"/>
      <c r="E530" s="215"/>
      <c r="F530" s="215"/>
      <c r="G530" s="215"/>
      <c r="H530" s="215"/>
      <c r="I530" s="215"/>
      <c r="J530" s="215"/>
      <c r="K530" s="215"/>
      <c r="L530" s="215"/>
      <c r="M530" s="215"/>
      <c r="N530" s="215"/>
      <c r="O530" s="215"/>
      <c r="P530" s="215"/>
      <c r="Q530" s="215"/>
      <c r="R530" s="215"/>
      <c r="S530" s="215"/>
      <c r="T530" s="215"/>
      <c r="U530" s="215"/>
      <c r="V530" s="215"/>
      <c r="W530" s="215"/>
      <c r="X530" s="215"/>
      <c r="Y530" s="215"/>
      <c r="Z530" s="215"/>
      <c r="AA530" s="215"/>
      <c r="AB530" s="215"/>
      <c r="AC530" s="215"/>
      <c r="AD530" s="215"/>
      <c r="AE530" s="215"/>
      <c r="AF530" s="215"/>
      <c r="AG530" s="216"/>
      <c r="AJ530" s="214"/>
      <c r="AO530" s="214"/>
      <c r="AQ530" s="214"/>
      <c r="AU530" s="217"/>
      <c r="AV530" s="217"/>
      <c r="AW530" s="217"/>
    </row>
    <row r="531">
      <c r="C531" s="214"/>
      <c r="E531" s="215"/>
      <c r="F531" s="215"/>
      <c r="G531" s="215"/>
      <c r="H531" s="215"/>
      <c r="I531" s="215"/>
      <c r="J531" s="215"/>
      <c r="K531" s="215"/>
      <c r="L531" s="215"/>
      <c r="M531" s="215"/>
      <c r="N531" s="215"/>
      <c r="O531" s="215"/>
      <c r="P531" s="215"/>
      <c r="Q531" s="215"/>
      <c r="R531" s="215"/>
      <c r="S531" s="215"/>
      <c r="T531" s="215"/>
      <c r="U531" s="215"/>
      <c r="V531" s="215"/>
      <c r="W531" s="215"/>
      <c r="X531" s="215"/>
      <c r="Y531" s="215"/>
      <c r="Z531" s="215"/>
      <c r="AA531" s="215"/>
      <c r="AB531" s="215"/>
      <c r="AC531" s="215"/>
      <c r="AD531" s="215"/>
      <c r="AE531" s="215"/>
      <c r="AF531" s="215"/>
      <c r="AG531" s="216"/>
      <c r="AJ531" s="214"/>
      <c r="AO531" s="214"/>
      <c r="AQ531" s="214"/>
      <c r="AU531" s="217"/>
      <c r="AV531" s="217"/>
      <c r="AW531" s="217"/>
    </row>
    <row r="532">
      <c r="C532" s="214"/>
      <c r="E532" s="215"/>
      <c r="F532" s="215"/>
      <c r="G532" s="215"/>
      <c r="H532" s="215"/>
      <c r="I532" s="215"/>
      <c r="J532" s="215"/>
      <c r="K532" s="215"/>
      <c r="L532" s="215"/>
      <c r="M532" s="215"/>
      <c r="N532" s="215"/>
      <c r="O532" s="215"/>
      <c r="P532" s="215"/>
      <c r="Q532" s="215"/>
      <c r="R532" s="215"/>
      <c r="S532" s="215"/>
      <c r="T532" s="215"/>
      <c r="U532" s="215"/>
      <c r="V532" s="215"/>
      <c r="W532" s="215"/>
      <c r="X532" s="215"/>
      <c r="Y532" s="215"/>
      <c r="Z532" s="215"/>
      <c r="AA532" s="215"/>
      <c r="AB532" s="215"/>
      <c r="AC532" s="215"/>
      <c r="AD532" s="215"/>
      <c r="AE532" s="215"/>
      <c r="AF532" s="215"/>
      <c r="AG532" s="216"/>
      <c r="AJ532" s="214"/>
      <c r="AO532" s="214"/>
      <c r="AQ532" s="214"/>
      <c r="AU532" s="217"/>
      <c r="AV532" s="217"/>
      <c r="AW532" s="217"/>
    </row>
    <row r="533">
      <c r="C533" s="214"/>
      <c r="E533" s="215"/>
      <c r="F533" s="215"/>
      <c r="G533" s="215"/>
      <c r="H533" s="215"/>
      <c r="I533" s="215"/>
      <c r="J533" s="215"/>
      <c r="K533" s="215"/>
      <c r="L533" s="215"/>
      <c r="M533" s="215"/>
      <c r="N533" s="215"/>
      <c r="O533" s="215"/>
      <c r="P533" s="215"/>
      <c r="Q533" s="215"/>
      <c r="R533" s="215"/>
      <c r="S533" s="215"/>
      <c r="T533" s="215"/>
      <c r="U533" s="215"/>
      <c r="V533" s="215"/>
      <c r="W533" s="215"/>
      <c r="X533" s="215"/>
      <c r="Y533" s="215"/>
      <c r="Z533" s="215"/>
      <c r="AA533" s="215"/>
      <c r="AB533" s="215"/>
      <c r="AC533" s="215"/>
      <c r="AD533" s="215"/>
      <c r="AE533" s="215"/>
      <c r="AF533" s="215"/>
      <c r="AG533" s="216"/>
      <c r="AJ533" s="214"/>
      <c r="AO533" s="214"/>
      <c r="AQ533" s="214"/>
      <c r="AU533" s="217"/>
      <c r="AV533" s="217"/>
      <c r="AW533" s="217"/>
    </row>
    <row r="534">
      <c r="C534" s="214"/>
      <c r="E534" s="215"/>
      <c r="F534" s="215"/>
      <c r="G534" s="215"/>
      <c r="H534" s="215"/>
      <c r="I534" s="215"/>
      <c r="J534" s="215"/>
      <c r="K534" s="215"/>
      <c r="L534" s="215"/>
      <c r="M534" s="215"/>
      <c r="N534" s="215"/>
      <c r="O534" s="215"/>
      <c r="P534" s="215"/>
      <c r="Q534" s="215"/>
      <c r="R534" s="215"/>
      <c r="S534" s="215"/>
      <c r="T534" s="215"/>
      <c r="U534" s="215"/>
      <c r="V534" s="215"/>
      <c r="W534" s="215"/>
      <c r="X534" s="215"/>
      <c r="Y534" s="215"/>
      <c r="Z534" s="215"/>
      <c r="AA534" s="215"/>
      <c r="AB534" s="215"/>
      <c r="AC534" s="215"/>
      <c r="AD534" s="215"/>
      <c r="AE534" s="215"/>
      <c r="AF534" s="215"/>
      <c r="AG534" s="216"/>
      <c r="AJ534" s="214"/>
      <c r="AO534" s="214"/>
      <c r="AQ534" s="214"/>
      <c r="AU534" s="217"/>
      <c r="AV534" s="217"/>
      <c r="AW534" s="217"/>
    </row>
    <row r="535">
      <c r="C535" s="214"/>
      <c r="E535" s="215"/>
      <c r="F535" s="215"/>
      <c r="G535" s="215"/>
      <c r="H535" s="215"/>
      <c r="I535" s="215"/>
      <c r="J535" s="215"/>
      <c r="K535" s="215"/>
      <c r="L535" s="215"/>
      <c r="M535" s="215"/>
      <c r="N535" s="215"/>
      <c r="O535" s="215"/>
      <c r="P535" s="215"/>
      <c r="Q535" s="215"/>
      <c r="R535" s="215"/>
      <c r="S535" s="215"/>
      <c r="T535" s="215"/>
      <c r="U535" s="215"/>
      <c r="V535" s="215"/>
      <c r="W535" s="215"/>
      <c r="X535" s="215"/>
      <c r="Y535" s="215"/>
      <c r="Z535" s="215"/>
      <c r="AA535" s="215"/>
      <c r="AB535" s="215"/>
      <c r="AC535" s="215"/>
      <c r="AD535" s="215"/>
      <c r="AE535" s="215"/>
      <c r="AF535" s="215"/>
      <c r="AG535" s="216"/>
      <c r="AJ535" s="214"/>
      <c r="AO535" s="214"/>
      <c r="AQ535" s="214"/>
      <c r="AU535" s="217"/>
      <c r="AV535" s="217"/>
      <c r="AW535" s="217"/>
    </row>
    <row r="536">
      <c r="C536" s="214"/>
      <c r="E536" s="215"/>
      <c r="F536" s="215"/>
      <c r="G536" s="215"/>
      <c r="H536" s="215"/>
      <c r="I536" s="215"/>
      <c r="J536" s="215"/>
      <c r="K536" s="215"/>
      <c r="L536" s="215"/>
      <c r="M536" s="215"/>
      <c r="N536" s="215"/>
      <c r="O536" s="215"/>
      <c r="P536" s="215"/>
      <c r="Q536" s="215"/>
      <c r="R536" s="215"/>
      <c r="S536" s="215"/>
      <c r="T536" s="215"/>
      <c r="U536" s="215"/>
      <c r="V536" s="215"/>
      <c r="W536" s="215"/>
      <c r="X536" s="215"/>
      <c r="Y536" s="215"/>
      <c r="Z536" s="215"/>
      <c r="AA536" s="215"/>
      <c r="AB536" s="215"/>
      <c r="AC536" s="215"/>
      <c r="AD536" s="215"/>
      <c r="AE536" s="215"/>
      <c r="AF536" s="215"/>
      <c r="AG536" s="216"/>
      <c r="AJ536" s="214"/>
      <c r="AO536" s="214"/>
      <c r="AQ536" s="214"/>
      <c r="AU536" s="217"/>
      <c r="AV536" s="217"/>
      <c r="AW536" s="217"/>
    </row>
    <row r="537">
      <c r="C537" s="214"/>
      <c r="E537" s="215"/>
      <c r="F537" s="215"/>
      <c r="G537" s="215"/>
      <c r="H537" s="215"/>
      <c r="I537" s="215"/>
      <c r="J537" s="215"/>
      <c r="K537" s="215"/>
      <c r="L537" s="215"/>
      <c r="M537" s="215"/>
      <c r="N537" s="215"/>
      <c r="O537" s="215"/>
      <c r="P537" s="215"/>
      <c r="Q537" s="215"/>
      <c r="R537" s="215"/>
      <c r="S537" s="215"/>
      <c r="T537" s="215"/>
      <c r="U537" s="215"/>
      <c r="V537" s="215"/>
      <c r="W537" s="215"/>
      <c r="X537" s="215"/>
      <c r="Y537" s="215"/>
      <c r="Z537" s="215"/>
      <c r="AA537" s="215"/>
      <c r="AB537" s="215"/>
      <c r="AC537" s="215"/>
      <c r="AD537" s="215"/>
      <c r="AE537" s="215"/>
      <c r="AF537" s="215"/>
      <c r="AG537" s="216"/>
      <c r="AJ537" s="214"/>
      <c r="AO537" s="214"/>
      <c r="AQ537" s="214"/>
      <c r="AU537" s="217"/>
      <c r="AV537" s="217"/>
      <c r="AW537" s="217"/>
    </row>
    <row r="538">
      <c r="C538" s="214"/>
      <c r="E538" s="215"/>
      <c r="F538" s="215"/>
      <c r="G538" s="215"/>
      <c r="H538" s="215"/>
      <c r="I538" s="215"/>
      <c r="J538" s="215"/>
      <c r="K538" s="215"/>
      <c r="L538" s="215"/>
      <c r="M538" s="215"/>
      <c r="N538" s="215"/>
      <c r="O538" s="215"/>
      <c r="P538" s="215"/>
      <c r="Q538" s="215"/>
      <c r="R538" s="215"/>
      <c r="S538" s="215"/>
      <c r="T538" s="215"/>
      <c r="U538" s="215"/>
      <c r="V538" s="215"/>
      <c r="W538" s="215"/>
      <c r="X538" s="215"/>
      <c r="Y538" s="215"/>
      <c r="Z538" s="215"/>
      <c r="AA538" s="215"/>
      <c r="AB538" s="215"/>
      <c r="AC538" s="215"/>
      <c r="AD538" s="215"/>
      <c r="AE538" s="215"/>
      <c r="AF538" s="215"/>
      <c r="AG538" s="216"/>
      <c r="AJ538" s="214"/>
      <c r="AO538" s="214"/>
      <c r="AQ538" s="214"/>
      <c r="AU538" s="217"/>
      <c r="AV538" s="217"/>
      <c r="AW538" s="217"/>
    </row>
    <row r="539">
      <c r="C539" s="214"/>
      <c r="E539" s="215"/>
      <c r="F539" s="215"/>
      <c r="G539" s="215"/>
      <c r="H539" s="215"/>
      <c r="I539" s="215"/>
      <c r="J539" s="215"/>
      <c r="K539" s="215"/>
      <c r="L539" s="215"/>
      <c r="M539" s="215"/>
      <c r="N539" s="215"/>
      <c r="O539" s="215"/>
      <c r="P539" s="215"/>
      <c r="Q539" s="215"/>
      <c r="R539" s="215"/>
      <c r="S539" s="215"/>
      <c r="T539" s="215"/>
      <c r="U539" s="215"/>
      <c r="V539" s="215"/>
      <c r="W539" s="215"/>
      <c r="X539" s="215"/>
      <c r="Y539" s="215"/>
      <c r="Z539" s="215"/>
      <c r="AA539" s="215"/>
      <c r="AB539" s="215"/>
      <c r="AC539" s="215"/>
      <c r="AD539" s="215"/>
      <c r="AE539" s="215"/>
      <c r="AF539" s="215"/>
      <c r="AG539" s="216"/>
      <c r="AJ539" s="214"/>
      <c r="AO539" s="214"/>
      <c r="AQ539" s="214"/>
      <c r="AU539" s="217"/>
      <c r="AV539" s="217"/>
      <c r="AW539" s="217"/>
    </row>
    <row r="540">
      <c r="C540" s="214"/>
      <c r="E540" s="215"/>
      <c r="F540" s="215"/>
      <c r="G540" s="215"/>
      <c r="H540" s="215"/>
      <c r="I540" s="215"/>
      <c r="J540" s="215"/>
      <c r="K540" s="215"/>
      <c r="L540" s="215"/>
      <c r="M540" s="215"/>
      <c r="N540" s="215"/>
      <c r="O540" s="215"/>
      <c r="P540" s="215"/>
      <c r="Q540" s="215"/>
      <c r="R540" s="215"/>
      <c r="S540" s="215"/>
      <c r="T540" s="215"/>
      <c r="U540" s="215"/>
      <c r="V540" s="215"/>
      <c r="W540" s="215"/>
      <c r="X540" s="215"/>
      <c r="Y540" s="215"/>
      <c r="Z540" s="215"/>
      <c r="AA540" s="215"/>
      <c r="AB540" s="215"/>
      <c r="AC540" s="215"/>
      <c r="AD540" s="215"/>
      <c r="AE540" s="215"/>
      <c r="AF540" s="215"/>
      <c r="AG540" s="216"/>
      <c r="AJ540" s="214"/>
      <c r="AO540" s="214"/>
      <c r="AQ540" s="214"/>
      <c r="AU540" s="217"/>
      <c r="AV540" s="217"/>
      <c r="AW540" s="217"/>
    </row>
    <row r="541">
      <c r="C541" s="214"/>
      <c r="E541" s="215"/>
      <c r="F541" s="215"/>
      <c r="G541" s="215"/>
      <c r="H541" s="215"/>
      <c r="I541" s="215"/>
      <c r="J541" s="215"/>
      <c r="K541" s="215"/>
      <c r="L541" s="215"/>
      <c r="M541" s="215"/>
      <c r="N541" s="215"/>
      <c r="O541" s="215"/>
      <c r="P541" s="215"/>
      <c r="Q541" s="215"/>
      <c r="R541" s="215"/>
      <c r="S541" s="215"/>
      <c r="T541" s="215"/>
      <c r="U541" s="215"/>
      <c r="V541" s="215"/>
      <c r="W541" s="215"/>
      <c r="X541" s="215"/>
      <c r="Y541" s="215"/>
      <c r="Z541" s="215"/>
      <c r="AA541" s="215"/>
      <c r="AB541" s="215"/>
      <c r="AC541" s="215"/>
      <c r="AD541" s="215"/>
      <c r="AE541" s="215"/>
      <c r="AF541" s="215"/>
      <c r="AG541" s="216"/>
      <c r="AJ541" s="214"/>
      <c r="AO541" s="214"/>
      <c r="AQ541" s="214"/>
      <c r="AU541" s="217"/>
      <c r="AV541" s="217"/>
      <c r="AW541" s="217"/>
    </row>
    <row r="542">
      <c r="C542" s="214"/>
      <c r="E542" s="215"/>
      <c r="F542" s="215"/>
      <c r="G542" s="215"/>
      <c r="H542" s="215"/>
      <c r="I542" s="215"/>
      <c r="J542" s="215"/>
      <c r="K542" s="215"/>
      <c r="L542" s="215"/>
      <c r="M542" s="215"/>
      <c r="N542" s="215"/>
      <c r="O542" s="215"/>
      <c r="P542" s="215"/>
      <c r="Q542" s="215"/>
      <c r="R542" s="215"/>
      <c r="S542" s="215"/>
      <c r="T542" s="215"/>
      <c r="U542" s="215"/>
      <c r="V542" s="215"/>
      <c r="W542" s="215"/>
      <c r="X542" s="215"/>
      <c r="Y542" s="215"/>
      <c r="Z542" s="215"/>
      <c r="AA542" s="215"/>
      <c r="AB542" s="215"/>
      <c r="AC542" s="215"/>
      <c r="AD542" s="215"/>
      <c r="AE542" s="215"/>
      <c r="AF542" s="215"/>
      <c r="AG542" s="216"/>
      <c r="AJ542" s="214"/>
      <c r="AO542" s="214"/>
      <c r="AQ542" s="214"/>
      <c r="AU542" s="217"/>
      <c r="AV542" s="217"/>
      <c r="AW542" s="217"/>
    </row>
    <row r="543">
      <c r="C543" s="214"/>
      <c r="E543" s="215"/>
      <c r="F543" s="215"/>
      <c r="G543" s="215"/>
      <c r="H543" s="215"/>
      <c r="I543" s="215"/>
      <c r="J543" s="215"/>
      <c r="K543" s="215"/>
      <c r="L543" s="215"/>
      <c r="M543" s="215"/>
      <c r="N543" s="215"/>
      <c r="O543" s="215"/>
      <c r="P543" s="215"/>
      <c r="Q543" s="215"/>
      <c r="R543" s="215"/>
      <c r="S543" s="215"/>
      <c r="T543" s="215"/>
      <c r="U543" s="215"/>
      <c r="V543" s="215"/>
      <c r="W543" s="215"/>
      <c r="X543" s="215"/>
      <c r="Y543" s="215"/>
      <c r="Z543" s="215"/>
      <c r="AA543" s="215"/>
      <c r="AB543" s="215"/>
      <c r="AC543" s="215"/>
      <c r="AD543" s="215"/>
      <c r="AE543" s="215"/>
      <c r="AF543" s="215"/>
      <c r="AG543" s="216"/>
      <c r="AJ543" s="214"/>
      <c r="AO543" s="214"/>
      <c r="AQ543" s="214"/>
      <c r="AU543" s="217"/>
      <c r="AV543" s="217"/>
      <c r="AW543" s="217"/>
    </row>
    <row r="544">
      <c r="C544" s="214"/>
      <c r="E544" s="215"/>
      <c r="F544" s="215"/>
      <c r="G544" s="215"/>
      <c r="H544" s="215"/>
      <c r="I544" s="215"/>
      <c r="J544" s="215"/>
      <c r="K544" s="215"/>
      <c r="L544" s="215"/>
      <c r="M544" s="215"/>
      <c r="N544" s="215"/>
      <c r="O544" s="215"/>
      <c r="P544" s="215"/>
      <c r="Q544" s="215"/>
      <c r="R544" s="215"/>
      <c r="S544" s="215"/>
      <c r="T544" s="215"/>
      <c r="U544" s="215"/>
      <c r="V544" s="215"/>
      <c r="W544" s="215"/>
      <c r="X544" s="215"/>
      <c r="Y544" s="215"/>
      <c r="Z544" s="215"/>
      <c r="AA544" s="215"/>
      <c r="AB544" s="215"/>
      <c r="AC544" s="215"/>
      <c r="AD544" s="215"/>
      <c r="AE544" s="215"/>
      <c r="AF544" s="215"/>
      <c r="AG544" s="216"/>
      <c r="AJ544" s="214"/>
      <c r="AO544" s="214"/>
      <c r="AQ544" s="214"/>
      <c r="AU544" s="217"/>
      <c r="AV544" s="217"/>
      <c r="AW544" s="217"/>
    </row>
    <row r="545">
      <c r="C545" s="214"/>
      <c r="E545" s="215"/>
      <c r="F545" s="215"/>
      <c r="G545" s="215"/>
      <c r="H545" s="215"/>
      <c r="I545" s="215"/>
      <c r="J545" s="215"/>
      <c r="K545" s="215"/>
      <c r="L545" s="215"/>
      <c r="M545" s="215"/>
      <c r="N545" s="215"/>
      <c r="O545" s="215"/>
      <c r="P545" s="215"/>
      <c r="Q545" s="215"/>
      <c r="R545" s="215"/>
      <c r="S545" s="215"/>
      <c r="T545" s="215"/>
      <c r="U545" s="215"/>
      <c r="V545" s="215"/>
      <c r="W545" s="215"/>
      <c r="X545" s="215"/>
      <c r="Y545" s="215"/>
      <c r="Z545" s="215"/>
      <c r="AA545" s="215"/>
      <c r="AB545" s="215"/>
      <c r="AC545" s="215"/>
      <c r="AD545" s="215"/>
      <c r="AE545" s="215"/>
      <c r="AF545" s="215"/>
      <c r="AG545" s="216"/>
      <c r="AJ545" s="214"/>
      <c r="AO545" s="214"/>
      <c r="AQ545" s="214"/>
      <c r="AU545" s="217"/>
      <c r="AV545" s="217"/>
      <c r="AW545" s="217"/>
    </row>
    <row r="546">
      <c r="C546" s="214"/>
      <c r="E546" s="215"/>
      <c r="F546" s="215"/>
      <c r="G546" s="215"/>
      <c r="H546" s="215"/>
      <c r="I546" s="215"/>
      <c r="J546" s="215"/>
      <c r="K546" s="215"/>
      <c r="L546" s="215"/>
      <c r="M546" s="215"/>
      <c r="N546" s="215"/>
      <c r="O546" s="215"/>
      <c r="P546" s="215"/>
      <c r="Q546" s="215"/>
      <c r="R546" s="215"/>
      <c r="S546" s="215"/>
      <c r="T546" s="215"/>
      <c r="U546" s="215"/>
      <c r="V546" s="215"/>
      <c r="W546" s="215"/>
      <c r="X546" s="215"/>
      <c r="Y546" s="215"/>
      <c r="Z546" s="215"/>
      <c r="AA546" s="215"/>
      <c r="AB546" s="215"/>
      <c r="AC546" s="215"/>
      <c r="AD546" s="215"/>
      <c r="AE546" s="215"/>
      <c r="AF546" s="215"/>
      <c r="AG546" s="216"/>
      <c r="AJ546" s="214"/>
      <c r="AO546" s="214"/>
      <c r="AQ546" s="214"/>
      <c r="AU546" s="217"/>
      <c r="AV546" s="217"/>
      <c r="AW546" s="217"/>
    </row>
    <row r="547">
      <c r="C547" s="214"/>
      <c r="E547" s="215"/>
      <c r="F547" s="215"/>
      <c r="G547" s="215"/>
      <c r="H547" s="215"/>
      <c r="I547" s="215"/>
      <c r="J547" s="215"/>
      <c r="K547" s="215"/>
      <c r="L547" s="215"/>
      <c r="M547" s="215"/>
      <c r="N547" s="215"/>
      <c r="O547" s="215"/>
      <c r="P547" s="215"/>
      <c r="Q547" s="215"/>
      <c r="R547" s="215"/>
      <c r="S547" s="215"/>
      <c r="T547" s="215"/>
      <c r="U547" s="215"/>
      <c r="V547" s="215"/>
      <c r="W547" s="215"/>
      <c r="X547" s="215"/>
      <c r="Y547" s="215"/>
      <c r="Z547" s="215"/>
      <c r="AA547" s="215"/>
      <c r="AB547" s="215"/>
      <c r="AC547" s="215"/>
      <c r="AD547" s="215"/>
      <c r="AE547" s="215"/>
      <c r="AF547" s="215"/>
      <c r="AG547" s="216"/>
      <c r="AJ547" s="214"/>
      <c r="AO547" s="214"/>
      <c r="AQ547" s="214"/>
      <c r="AU547" s="217"/>
      <c r="AV547" s="217"/>
      <c r="AW547" s="217"/>
    </row>
    <row r="548">
      <c r="C548" s="214"/>
      <c r="E548" s="215"/>
      <c r="F548" s="215"/>
      <c r="G548" s="215"/>
      <c r="H548" s="215"/>
      <c r="I548" s="215"/>
      <c r="J548" s="215"/>
      <c r="K548" s="215"/>
      <c r="L548" s="215"/>
      <c r="M548" s="215"/>
      <c r="N548" s="215"/>
      <c r="O548" s="215"/>
      <c r="P548" s="215"/>
      <c r="Q548" s="215"/>
      <c r="R548" s="215"/>
      <c r="S548" s="215"/>
      <c r="T548" s="215"/>
      <c r="U548" s="215"/>
      <c r="V548" s="215"/>
      <c r="W548" s="215"/>
      <c r="X548" s="215"/>
      <c r="Y548" s="215"/>
      <c r="Z548" s="215"/>
      <c r="AA548" s="215"/>
      <c r="AB548" s="215"/>
      <c r="AC548" s="215"/>
      <c r="AD548" s="215"/>
      <c r="AE548" s="215"/>
      <c r="AF548" s="215"/>
      <c r="AG548" s="216"/>
      <c r="AJ548" s="214"/>
      <c r="AO548" s="214"/>
      <c r="AQ548" s="214"/>
      <c r="AU548" s="217"/>
      <c r="AV548" s="217"/>
      <c r="AW548" s="217"/>
    </row>
    <row r="549">
      <c r="C549" s="214"/>
      <c r="E549" s="215"/>
      <c r="F549" s="215"/>
      <c r="G549" s="215"/>
      <c r="H549" s="215"/>
      <c r="I549" s="215"/>
      <c r="J549" s="215"/>
      <c r="K549" s="215"/>
      <c r="L549" s="215"/>
      <c r="M549" s="215"/>
      <c r="N549" s="215"/>
      <c r="O549" s="215"/>
      <c r="P549" s="215"/>
      <c r="Q549" s="215"/>
      <c r="R549" s="215"/>
      <c r="S549" s="215"/>
      <c r="T549" s="215"/>
      <c r="U549" s="215"/>
      <c r="V549" s="215"/>
      <c r="W549" s="215"/>
      <c r="X549" s="215"/>
      <c r="Y549" s="215"/>
      <c r="Z549" s="215"/>
      <c r="AA549" s="215"/>
      <c r="AB549" s="215"/>
      <c r="AC549" s="215"/>
      <c r="AD549" s="215"/>
      <c r="AE549" s="215"/>
      <c r="AF549" s="215"/>
      <c r="AG549" s="216"/>
      <c r="AJ549" s="214"/>
      <c r="AO549" s="214"/>
      <c r="AQ549" s="214"/>
      <c r="AU549" s="217"/>
      <c r="AV549" s="217"/>
      <c r="AW549" s="217"/>
    </row>
    <row r="550">
      <c r="C550" s="214"/>
      <c r="E550" s="215"/>
      <c r="F550" s="215"/>
      <c r="G550" s="215"/>
      <c r="H550" s="215"/>
      <c r="I550" s="215"/>
      <c r="J550" s="215"/>
      <c r="K550" s="215"/>
      <c r="L550" s="215"/>
      <c r="M550" s="215"/>
      <c r="N550" s="215"/>
      <c r="O550" s="215"/>
      <c r="P550" s="215"/>
      <c r="Q550" s="215"/>
      <c r="R550" s="215"/>
      <c r="S550" s="215"/>
      <c r="T550" s="215"/>
      <c r="U550" s="215"/>
      <c r="V550" s="215"/>
      <c r="W550" s="215"/>
      <c r="X550" s="215"/>
      <c r="Y550" s="215"/>
      <c r="Z550" s="215"/>
      <c r="AA550" s="215"/>
      <c r="AB550" s="215"/>
      <c r="AC550" s="215"/>
      <c r="AD550" s="215"/>
      <c r="AE550" s="215"/>
      <c r="AF550" s="215"/>
      <c r="AG550" s="216"/>
      <c r="AJ550" s="214"/>
      <c r="AO550" s="214"/>
      <c r="AQ550" s="214"/>
      <c r="AU550" s="217"/>
      <c r="AV550" s="217"/>
      <c r="AW550" s="217"/>
    </row>
    <row r="551">
      <c r="C551" s="214"/>
      <c r="E551" s="215"/>
      <c r="F551" s="215"/>
      <c r="G551" s="215"/>
      <c r="H551" s="215"/>
      <c r="I551" s="215"/>
      <c r="J551" s="215"/>
      <c r="K551" s="215"/>
      <c r="L551" s="215"/>
      <c r="M551" s="215"/>
      <c r="N551" s="215"/>
      <c r="O551" s="215"/>
      <c r="P551" s="215"/>
      <c r="Q551" s="215"/>
      <c r="R551" s="215"/>
      <c r="S551" s="215"/>
      <c r="T551" s="215"/>
      <c r="U551" s="215"/>
      <c r="V551" s="215"/>
      <c r="W551" s="215"/>
      <c r="X551" s="215"/>
      <c r="Y551" s="215"/>
      <c r="Z551" s="215"/>
      <c r="AA551" s="215"/>
      <c r="AB551" s="215"/>
      <c r="AC551" s="215"/>
      <c r="AD551" s="215"/>
      <c r="AE551" s="215"/>
      <c r="AF551" s="215"/>
      <c r="AG551" s="216"/>
      <c r="AJ551" s="214"/>
      <c r="AO551" s="214"/>
      <c r="AQ551" s="214"/>
      <c r="AU551" s="217"/>
      <c r="AV551" s="217"/>
      <c r="AW551" s="217"/>
    </row>
    <row r="552">
      <c r="C552" s="214"/>
      <c r="E552" s="215"/>
      <c r="F552" s="215"/>
      <c r="G552" s="215"/>
      <c r="H552" s="215"/>
      <c r="I552" s="215"/>
      <c r="J552" s="215"/>
      <c r="K552" s="215"/>
      <c r="L552" s="215"/>
      <c r="M552" s="215"/>
      <c r="N552" s="215"/>
      <c r="O552" s="215"/>
      <c r="P552" s="215"/>
      <c r="Q552" s="215"/>
      <c r="R552" s="215"/>
      <c r="S552" s="215"/>
      <c r="T552" s="215"/>
      <c r="U552" s="215"/>
      <c r="V552" s="215"/>
      <c r="W552" s="215"/>
      <c r="X552" s="215"/>
      <c r="Y552" s="215"/>
      <c r="Z552" s="215"/>
      <c r="AA552" s="215"/>
      <c r="AB552" s="215"/>
      <c r="AC552" s="215"/>
      <c r="AD552" s="215"/>
      <c r="AE552" s="215"/>
      <c r="AF552" s="215"/>
      <c r="AG552" s="216"/>
      <c r="AJ552" s="214"/>
      <c r="AO552" s="214"/>
      <c r="AQ552" s="214"/>
      <c r="AU552" s="217"/>
      <c r="AV552" s="217"/>
      <c r="AW552" s="217"/>
    </row>
    <row r="553">
      <c r="C553" s="214"/>
      <c r="E553" s="215"/>
      <c r="F553" s="215"/>
      <c r="G553" s="215"/>
      <c r="H553" s="215"/>
      <c r="I553" s="215"/>
      <c r="J553" s="215"/>
      <c r="K553" s="215"/>
      <c r="L553" s="215"/>
      <c r="M553" s="215"/>
      <c r="N553" s="215"/>
      <c r="O553" s="215"/>
      <c r="P553" s="215"/>
      <c r="Q553" s="215"/>
      <c r="R553" s="215"/>
      <c r="S553" s="215"/>
      <c r="T553" s="215"/>
      <c r="U553" s="215"/>
      <c r="V553" s="215"/>
      <c r="W553" s="215"/>
      <c r="X553" s="215"/>
      <c r="Y553" s="215"/>
      <c r="Z553" s="215"/>
      <c r="AA553" s="215"/>
      <c r="AB553" s="215"/>
      <c r="AC553" s="215"/>
      <c r="AD553" s="215"/>
      <c r="AE553" s="215"/>
      <c r="AF553" s="215"/>
      <c r="AG553" s="216"/>
      <c r="AJ553" s="214"/>
      <c r="AO553" s="214"/>
      <c r="AQ553" s="214"/>
      <c r="AU553" s="217"/>
      <c r="AV553" s="217"/>
      <c r="AW553" s="217"/>
    </row>
    <row r="554">
      <c r="C554" s="214"/>
      <c r="E554" s="215"/>
      <c r="F554" s="215"/>
      <c r="G554" s="215"/>
      <c r="H554" s="215"/>
      <c r="I554" s="215"/>
      <c r="J554" s="215"/>
      <c r="K554" s="215"/>
      <c r="L554" s="215"/>
      <c r="M554" s="215"/>
      <c r="N554" s="215"/>
      <c r="O554" s="215"/>
      <c r="P554" s="215"/>
      <c r="Q554" s="215"/>
      <c r="R554" s="215"/>
      <c r="S554" s="215"/>
      <c r="T554" s="215"/>
      <c r="U554" s="215"/>
      <c r="V554" s="215"/>
      <c r="W554" s="215"/>
      <c r="X554" s="215"/>
      <c r="Y554" s="215"/>
      <c r="Z554" s="215"/>
      <c r="AA554" s="215"/>
      <c r="AB554" s="215"/>
      <c r="AC554" s="215"/>
      <c r="AD554" s="215"/>
      <c r="AE554" s="215"/>
      <c r="AF554" s="215"/>
      <c r="AG554" s="216"/>
      <c r="AJ554" s="214"/>
      <c r="AO554" s="214"/>
      <c r="AQ554" s="214"/>
      <c r="AU554" s="217"/>
      <c r="AV554" s="217"/>
      <c r="AW554" s="217"/>
    </row>
    <row r="555">
      <c r="C555" s="214"/>
      <c r="E555" s="215"/>
      <c r="F555" s="215"/>
      <c r="G555" s="215"/>
      <c r="H555" s="215"/>
      <c r="I555" s="215"/>
      <c r="J555" s="215"/>
      <c r="K555" s="215"/>
      <c r="L555" s="215"/>
      <c r="M555" s="215"/>
      <c r="N555" s="215"/>
      <c r="O555" s="215"/>
      <c r="P555" s="215"/>
      <c r="Q555" s="215"/>
      <c r="R555" s="215"/>
      <c r="S555" s="215"/>
      <c r="T555" s="215"/>
      <c r="U555" s="215"/>
      <c r="V555" s="215"/>
      <c r="W555" s="215"/>
      <c r="X555" s="215"/>
      <c r="Y555" s="215"/>
      <c r="Z555" s="215"/>
      <c r="AA555" s="215"/>
      <c r="AB555" s="215"/>
      <c r="AC555" s="215"/>
      <c r="AD555" s="215"/>
      <c r="AE555" s="215"/>
      <c r="AF555" s="215"/>
      <c r="AG555" s="216"/>
      <c r="AJ555" s="214"/>
      <c r="AO555" s="214"/>
      <c r="AQ555" s="214"/>
      <c r="AU555" s="217"/>
      <c r="AV555" s="217"/>
      <c r="AW555" s="217"/>
    </row>
    <row r="556">
      <c r="C556" s="214"/>
      <c r="E556" s="215"/>
      <c r="F556" s="215"/>
      <c r="G556" s="215"/>
      <c r="H556" s="215"/>
      <c r="I556" s="215"/>
      <c r="J556" s="215"/>
      <c r="K556" s="215"/>
      <c r="L556" s="215"/>
      <c r="M556" s="215"/>
      <c r="N556" s="215"/>
      <c r="O556" s="215"/>
      <c r="P556" s="215"/>
      <c r="Q556" s="215"/>
      <c r="R556" s="215"/>
      <c r="S556" s="215"/>
      <c r="T556" s="215"/>
      <c r="U556" s="215"/>
      <c r="V556" s="215"/>
      <c r="W556" s="215"/>
      <c r="X556" s="215"/>
      <c r="Y556" s="215"/>
      <c r="Z556" s="215"/>
      <c r="AA556" s="215"/>
      <c r="AB556" s="215"/>
      <c r="AC556" s="215"/>
      <c r="AD556" s="215"/>
      <c r="AE556" s="215"/>
      <c r="AF556" s="215"/>
      <c r="AG556" s="216"/>
      <c r="AJ556" s="214"/>
      <c r="AO556" s="214"/>
      <c r="AQ556" s="214"/>
      <c r="AU556" s="217"/>
      <c r="AV556" s="217"/>
      <c r="AW556" s="217"/>
    </row>
    <row r="557">
      <c r="C557" s="214"/>
      <c r="E557" s="215"/>
      <c r="F557" s="215"/>
      <c r="G557" s="215"/>
      <c r="H557" s="215"/>
      <c r="I557" s="215"/>
      <c r="J557" s="215"/>
      <c r="K557" s="215"/>
      <c r="L557" s="215"/>
      <c r="M557" s="215"/>
      <c r="N557" s="215"/>
      <c r="O557" s="215"/>
      <c r="P557" s="215"/>
      <c r="Q557" s="215"/>
      <c r="R557" s="215"/>
      <c r="S557" s="215"/>
      <c r="T557" s="215"/>
      <c r="U557" s="215"/>
      <c r="V557" s="215"/>
      <c r="W557" s="215"/>
      <c r="X557" s="215"/>
      <c r="Y557" s="215"/>
      <c r="Z557" s="215"/>
      <c r="AA557" s="215"/>
      <c r="AB557" s="215"/>
      <c r="AC557" s="215"/>
      <c r="AD557" s="215"/>
      <c r="AE557" s="215"/>
      <c r="AF557" s="215"/>
      <c r="AG557" s="216"/>
      <c r="AJ557" s="214"/>
      <c r="AO557" s="214"/>
      <c r="AQ557" s="214"/>
      <c r="AU557" s="217"/>
      <c r="AV557" s="217"/>
      <c r="AW557" s="217"/>
    </row>
    <row r="558">
      <c r="C558" s="214"/>
      <c r="E558" s="215"/>
      <c r="F558" s="215"/>
      <c r="G558" s="215"/>
      <c r="H558" s="215"/>
      <c r="I558" s="215"/>
      <c r="J558" s="215"/>
      <c r="K558" s="215"/>
      <c r="L558" s="215"/>
      <c r="M558" s="215"/>
      <c r="N558" s="215"/>
      <c r="O558" s="215"/>
      <c r="P558" s="215"/>
      <c r="Q558" s="215"/>
      <c r="R558" s="215"/>
      <c r="S558" s="215"/>
      <c r="T558" s="215"/>
      <c r="U558" s="215"/>
      <c r="V558" s="215"/>
      <c r="W558" s="215"/>
      <c r="X558" s="215"/>
      <c r="Y558" s="215"/>
      <c r="Z558" s="215"/>
      <c r="AA558" s="215"/>
      <c r="AB558" s="215"/>
      <c r="AC558" s="215"/>
      <c r="AD558" s="215"/>
      <c r="AE558" s="215"/>
      <c r="AF558" s="215"/>
      <c r="AG558" s="216"/>
      <c r="AJ558" s="214"/>
      <c r="AO558" s="214"/>
      <c r="AQ558" s="214"/>
      <c r="AU558" s="217"/>
      <c r="AV558" s="217"/>
      <c r="AW558" s="217"/>
    </row>
    <row r="559">
      <c r="C559" s="214"/>
      <c r="E559" s="215"/>
      <c r="F559" s="215"/>
      <c r="G559" s="215"/>
      <c r="H559" s="215"/>
      <c r="I559" s="215"/>
      <c r="J559" s="215"/>
      <c r="K559" s="215"/>
      <c r="L559" s="215"/>
      <c r="M559" s="215"/>
      <c r="N559" s="215"/>
      <c r="O559" s="215"/>
      <c r="P559" s="215"/>
      <c r="Q559" s="215"/>
      <c r="R559" s="215"/>
      <c r="S559" s="215"/>
      <c r="T559" s="215"/>
      <c r="U559" s="215"/>
      <c r="V559" s="215"/>
      <c r="W559" s="215"/>
      <c r="X559" s="215"/>
      <c r="Y559" s="215"/>
      <c r="Z559" s="215"/>
      <c r="AA559" s="215"/>
      <c r="AB559" s="215"/>
      <c r="AC559" s="215"/>
      <c r="AD559" s="215"/>
      <c r="AE559" s="215"/>
      <c r="AF559" s="215"/>
      <c r="AG559" s="216"/>
      <c r="AJ559" s="214"/>
      <c r="AO559" s="214"/>
      <c r="AQ559" s="214"/>
      <c r="AU559" s="217"/>
      <c r="AV559" s="217"/>
      <c r="AW559" s="217"/>
    </row>
    <row r="560">
      <c r="C560" s="214"/>
      <c r="E560" s="215"/>
      <c r="F560" s="215"/>
      <c r="G560" s="215"/>
      <c r="H560" s="215"/>
      <c r="I560" s="215"/>
      <c r="J560" s="215"/>
      <c r="K560" s="215"/>
      <c r="L560" s="215"/>
      <c r="M560" s="215"/>
      <c r="N560" s="215"/>
      <c r="O560" s="215"/>
      <c r="P560" s="215"/>
      <c r="Q560" s="215"/>
      <c r="R560" s="215"/>
      <c r="S560" s="215"/>
      <c r="T560" s="215"/>
      <c r="U560" s="215"/>
      <c r="V560" s="215"/>
      <c r="W560" s="215"/>
      <c r="X560" s="215"/>
      <c r="Y560" s="215"/>
      <c r="Z560" s="215"/>
      <c r="AA560" s="215"/>
      <c r="AB560" s="215"/>
      <c r="AC560" s="215"/>
      <c r="AD560" s="215"/>
      <c r="AE560" s="215"/>
      <c r="AF560" s="215"/>
      <c r="AG560" s="216"/>
      <c r="AJ560" s="214"/>
      <c r="AO560" s="214"/>
      <c r="AQ560" s="214"/>
      <c r="AU560" s="217"/>
      <c r="AV560" s="217"/>
      <c r="AW560" s="217"/>
    </row>
    <row r="561">
      <c r="C561" s="214"/>
      <c r="E561" s="215"/>
      <c r="F561" s="215"/>
      <c r="G561" s="215"/>
      <c r="H561" s="215"/>
      <c r="I561" s="215"/>
      <c r="J561" s="215"/>
      <c r="K561" s="215"/>
      <c r="L561" s="215"/>
      <c r="M561" s="215"/>
      <c r="N561" s="215"/>
      <c r="O561" s="215"/>
      <c r="P561" s="215"/>
      <c r="Q561" s="215"/>
      <c r="R561" s="215"/>
      <c r="S561" s="215"/>
      <c r="T561" s="215"/>
      <c r="U561" s="215"/>
      <c r="V561" s="215"/>
      <c r="W561" s="215"/>
      <c r="X561" s="215"/>
      <c r="Y561" s="215"/>
      <c r="Z561" s="215"/>
      <c r="AA561" s="215"/>
      <c r="AB561" s="215"/>
      <c r="AC561" s="215"/>
      <c r="AD561" s="215"/>
      <c r="AE561" s="215"/>
      <c r="AF561" s="215"/>
      <c r="AG561" s="216"/>
      <c r="AJ561" s="214"/>
      <c r="AO561" s="214"/>
      <c r="AQ561" s="214"/>
      <c r="AU561" s="217"/>
      <c r="AV561" s="217"/>
      <c r="AW561" s="217"/>
    </row>
    <row r="562">
      <c r="C562" s="214"/>
      <c r="E562" s="215"/>
      <c r="F562" s="215"/>
      <c r="G562" s="215"/>
      <c r="H562" s="215"/>
      <c r="I562" s="215"/>
      <c r="J562" s="215"/>
      <c r="K562" s="215"/>
      <c r="L562" s="215"/>
      <c r="M562" s="215"/>
      <c r="N562" s="215"/>
      <c r="O562" s="215"/>
      <c r="P562" s="215"/>
      <c r="Q562" s="215"/>
      <c r="R562" s="215"/>
      <c r="S562" s="215"/>
      <c r="T562" s="215"/>
      <c r="U562" s="215"/>
      <c r="V562" s="215"/>
      <c r="W562" s="215"/>
      <c r="X562" s="215"/>
      <c r="Y562" s="215"/>
      <c r="Z562" s="215"/>
      <c r="AA562" s="215"/>
      <c r="AB562" s="215"/>
      <c r="AC562" s="215"/>
      <c r="AD562" s="215"/>
      <c r="AE562" s="215"/>
      <c r="AF562" s="215"/>
      <c r="AG562" s="216"/>
      <c r="AJ562" s="214"/>
      <c r="AO562" s="214"/>
      <c r="AQ562" s="214"/>
      <c r="AU562" s="217"/>
      <c r="AV562" s="217"/>
      <c r="AW562" s="217"/>
    </row>
    <row r="563">
      <c r="C563" s="214"/>
      <c r="E563" s="215"/>
      <c r="F563" s="215"/>
      <c r="G563" s="215"/>
      <c r="H563" s="215"/>
      <c r="I563" s="215"/>
      <c r="J563" s="215"/>
      <c r="K563" s="215"/>
      <c r="L563" s="215"/>
      <c r="M563" s="215"/>
      <c r="N563" s="215"/>
      <c r="O563" s="215"/>
      <c r="P563" s="215"/>
      <c r="Q563" s="215"/>
      <c r="R563" s="215"/>
      <c r="S563" s="215"/>
      <c r="T563" s="215"/>
      <c r="U563" s="215"/>
      <c r="V563" s="215"/>
      <c r="W563" s="215"/>
      <c r="X563" s="215"/>
      <c r="Y563" s="215"/>
      <c r="Z563" s="215"/>
      <c r="AA563" s="215"/>
      <c r="AB563" s="215"/>
      <c r="AC563" s="215"/>
      <c r="AD563" s="215"/>
      <c r="AE563" s="215"/>
      <c r="AF563" s="215"/>
      <c r="AG563" s="216"/>
      <c r="AJ563" s="214"/>
      <c r="AO563" s="214"/>
      <c r="AQ563" s="214"/>
      <c r="AU563" s="217"/>
      <c r="AV563" s="217"/>
      <c r="AW563" s="217"/>
    </row>
    <row r="564">
      <c r="C564" s="214"/>
      <c r="E564" s="215"/>
      <c r="F564" s="215"/>
      <c r="G564" s="215"/>
      <c r="H564" s="215"/>
      <c r="I564" s="215"/>
      <c r="J564" s="215"/>
      <c r="K564" s="215"/>
      <c r="L564" s="215"/>
      <c r="M564" s="215"/>
      <c r="N564" s="215"/>
      <c r="O564" s="215"/>
      <c r="P564" s="215"/>
      <c r="Q564" s="215"/>
      <c r="R564" s="215"/>
      <c r="S564" s="215"/>
      <c r="T564" s="215"/>
      <c r="U564" s="215"/>
      <c r="V564" s="215"/>
      <c r="W564" s="215"/>
      <c r="X564" s="215"/>
      <c r="Y564" s="215"/>
      <c r="Z564" s="215"/>
      <c r="AA564" s="215"/>
      <c r="AB564" s="215"/>
      <c r="AC564" s="215"/>
      <c r="AD564" s="215"/>
      <c r="AE564" s="215"/>
      <c r="AF564" s="215"/>
      <c r="AG564" s="216"/>
      <c r="AJ564" s="214"/>
      <c r="AO564" s="214"/>
      <c r="AQ564" s="214"/>
      <c r="AU564" s="217"/>
      <c r="AV564" s="217"/>
      <c r="AW564" s="217"/>
    </row>
    <row r="565">
      <c r="C565" s="214"/>
      <c r="E565" s="215"/>
      <c r="F565" s="215"/>
      <c r="G565" s="215"/>
      <c r="H565" s="215"/>
      <c r="I565" s="215"/>
      <c r="J565" s="215"/>
      <c r="K565" s="215"/>
      <c r="L565" s="215"/>
      <c r="M565" s="215"/>
      <c r="N565" s="215"/>
      <c r="O565" s="215"/>
      <c r="P565" s="215"/>
      <c r="Q565" s="215"/>
      <c r="R565" s="215"/>
      <c r="S565" s="215"/>
      <c r="T565" s="215"/>
      <c r="U565" s="215"/>
      <c r="V565" s="215"/>
      <c r="W565" s="215"/>
      <c r="X565" s="215"/>
      <c r="Y565" s="215"/>
      <c r="Z565" s="215"/>
      <c r="AA565" s="215"/>
      <c r="AB565" s="215"/>
      <c r="AC565" s="215"/>
      <c r="AD565" s="215"/>
      <c r="AE565" s="215"/>
      <c r="AF565" s="215"/>
      <c r="AG565" s="216"/>
      <c r="AJ565" s="214"/>
      <c r="AO565" s="214"/>
      <c r="AQ565" s="214"/>
      <c r="AU565" s="217"/>
      <c r="AV565" s="217"/>
      <c r="AW565" s="217"/>
    </row>
    <row r="566">
      <c r="C566" s="214"/>
      <c r="E566" s="215"/>
      <c r="F566" s="215"/>
      <c r="G566" s="215"/>
      <c r="H566" s="215"/>
      <c r="I566" s="215"/>
      <c r="J566" s="215"/>
      <c r="K566" s="215"/>
      <c r="L566" s="215"/>
      <c r="M566" s="215"/>
      <c r="N566" s="215"/>
      <c r="O566" s="215"/>
      <c r="P566" s="215"/>
      <c r="Q566" s="215"/>
      <c r="R566" s="215"/>
      <c r="S566" s="215"/>
      <c r="T566" s="215"/>
      <c r="U566" s="215"/>
      <c r="V566" s="215"/>
      <c r="W566" s="215"/>
      <c r="X566" s="215"/>
      <c r="Y566" s="215"/>
      <c r="Z566" s="215"/>
      <c r="AA566" s="215"/>
      <c r="AB566" s="215"/>
      <c r="AC566" s="215"/>
      <c r="AD566" s="215"/>
      <c r="AE566" s="215"/>
      <c r="AF566" s="215"/>
      <c r="AG566" s="216"/>
      <c r="AJ566" s="214"/>
      <c r="AO566" s="214"/>
      <c r="AQ566" s="214"/>
      <c r="AU566" s="217"/>
      <c r="AV566" s="217"/>
      <c r="AW566" s="217"/>
    </row>
    <row r="567">
      <c r="C567" s="214"/>
      <c r="E567" s="215"/>
      <c r="F567" s="215"/>
      <c r="G567" s="215"/>
      <c r="H567" s="215"/>
      <c r="I567" s="215"/>
      <c r="J567" s="215"/>
      <c r="K567" s="215"/>
      <c r="L567" s="215"/>
      <c r="M567" s="215"/>
      <c r="N567" s="215"/>
      <c r="O567" s="215"/>
      <c r="P567" s="215"/>
      <c r="Q567" s="215"/>
      <c r="R567" s="215"/>
      <c r="S567" s="215"/>
      <c r="T567" s="215"/>
      <c r="U567" s="215"/>
      <c r="V567" s="215"/>
      <c r="W567" s="215"/>
      <c r="X567" s="215"/>
      <c r="Y567" s="215"/>
      <c r="Z567" s="215"/>
      <c r="AA567" s="215"/>
      <c r="AB567" s="215"/>
      <c r="AC567" s="215"/>
      <c r="AD567" s="215"/>
      <c r="AE567" s="215"/>
      <c r="AF567" s="215"/>
      <c r="AG567" s="216"/>
      <c r="AJ567" s="214"/>
      <c r="AO567" s="214"/>
      <c r="AQ567" s="214"/>
      <c r="AU567" s="217"/>
      <c r="AV567" s="217"/>
      <c r="AW567" s="217"/>
    </row>
    <row r="568">
      <c r="C568" s="214"/>
      <c r="E568" s="215"/>
      <c r="F568" s="215"/>
      <c r="G568" s="215"/>
      <c r="H568" s="215"/>
      <c r="I568" s="215"/>
      <c r="J568" s="215"/>
      <c r="K568" s="215"/>
      <c r="L568" s="215"/>
      <c r="M568" s="215"/>
      <c r="N568" s="215"/>
      <c r="O568" s="215"/>
      <c r="P568" s="215"/>
      <c r="Q568" s="215"/>
      <c r="R568" s="215"/>
      <c r="S568" s="215"/>
      <c r="T568" s="215"/>
      <c r="U568" s="215"/>
      <c r="V568" s="215"/>
      <c r="W568" s="215"/>
      <c r="X568" s="215"/>
      <c r="Y568" s="215"/>
      <c r="Z568" s="215"/>
      <c r="AA568" s="215"/>
      <c r="AB568" s="215"/>
      <c r="AC568" s="215"/>
      <c r="AD568" s="215"/>
      <c r="AE568" s="215"/>
      <c r="AF568" s="215"/>
      <c r="AG568" s="216"/>
      <c r="AJ568" s="214"/>
      <c r="AO568" s="214"/>
      <c r="AQ568" s="214"/>
      <c r="AU568" s="217"/>
      <c r="AV568" s="217"/>
      <c r="AW568" s="217"/>
    </row>
    <row r="569">
      <c r="C569" s="214"/>
      <c r="E569" s="215"/>
      <c r="F569" s="215"/>
      <c r="G569" s="215"/>
      <c r="H569" s="215"/>
      <c r="I569" s="215"/>
      <c r="J569" s="215"/>
      <c r="K569" s="215"/>
      <c r="L569" s="215"/>
      <c r="M569" s="215"/>
      <c r="N569" s="215"/>
      <c r="O569" s="215"/>
      <c r="P569" s="215"/>
      <c r="Q569" s="215"/>
      <c r="R569" s="215"/>
      <c r="S569" s="215"/>
      <c r="T569" s="215"/>
      <c r="U569" s="215"/>
      <c r="V569" s="215"/>
      <c r="W569" s="215"/>
      <c r="X569" s="215"/>
      <c r="Y569" s="215"/>
      <c r="Z569" s="215"/>
      <c r="AA569" s="215"/>
      <c r="AB569" s="215"/>
      <c r="AC569" s="215"/>
      <c r="AD569" s="215"/>
      <c r="AE569" s="215"/>
      <c r="AF569" s="215"/>
      <c r="AG569" s="216"/>
      <c r="AJ569" s="214"/>
      <c r="AO569" s="214"/>
      <c r="AQ569" s="214"/>
      <c r="AU569" s="217"/>
      <c r="AV569" s="217"/>
      <c r="AW569" s="217"/>
    </row>
    <row r="570">
      <c r="C570" s="214"/>
      <c r="E570" s="215"/>
      <c r="F570" s="215"/>
      <c r="G570" s="215"/>
      <c r="H570" s="215"/>
      <c r="I570" s="215"/>
      <c r="J570" s="215"/>
      <c r="K570" s="215"/>
      <c r="L570" s="215"/>
      <c r="M570" s="215"/>
      <c r="N570" s="215"/>
      <c r="O570" s="215"/>
      <c r="P570" s="215"/>
      <c r="Q570" s="215"/>
      <c r="R570" s="215"/>
      <c r="S570" s="215"/>
      <c r="T570" s="215"/>
      <c r="U570" s="215"/>
      <c r="V570" s="215"/>
      <c r="W570" s="215"/>
      <c r="X570" s="215"/>
      <c r="Y570" s="215"/>
      <c r="Z570" s="215"/>
      <c r="AA570" s="215"/>
      <c r="AB570" s="215"/>
      <c r="AC570" s="215"/>
      <c r="AD570" s="215"/>
      <c r="AE570" s="215"/>
      <c r="AF570" s="215"/>
      <c r="AG570" s="216"/>
      <c r="AJ570" s="214"/>
      <c r="AO570" s="214"/>
      <c r="AQ570" s="214"/>
      <c r="AU570" s="217"/>
      <c r="AV570" s="217"/>
      <c r="AW570" s="217"/>
    </row>
    <row r="571">
      <c r="C571" s="214"/>
      <c r="E571" s="215"/>
      <c r="F571" s="215"/>
      <c r="G571" s="215"/>
      <c r="H571" s="215"/>
      <c r="I571" s="215"/>
      <c r="J571" s="215"/>
      <c r="K571" s="215"/>
      <c r="L571" s="215"/>
      <c r="M571" s="215"/>
      <c r="N571" s="215"/>
      <c r="O571" s="215"/>
      <c r="P571" s="215"/>
      <c r="Q571" s="215"/>
      <c r="R571" s="215"/>
      <c r="S571" s="215"/>
      <c r="T571" s="215"/>
      <c r="U571" s="215"/>
      <c r="V571" s="215"/>
      <c r="W571" s="215"/>
      <c r="X571" s="215"/>
      <c r="Y571" s="215"/>
      <c r="Z571" s="215"/>
      <c r="AA571" s="215"/>
      <c r="AB571" s="215"/>
      <c r="AC571" s="215"/>
      <c r="AD571" s="215"/>
      <c r="AE571" s="215"/>
      <c r="AF571" s="215"/>
      <c r="AG571" s="216"/>
      <c r="AJ571" s="214"/>
      <c r="AO571" s="214"/>
      <c r="AQ571" s="214"/>
      <c r="AU571" s="217"/>
      <c r="AV571" s="217"/>
      <c r="AW571" s="217"/>
    </row>
    <row r="572">
      <c r="C572" s="214"/>
      <c r="E572" s="215"/>
      <c r="F572" s="215"/>
      <c r="G572" s="215"/>
      <c r="H572" s="215"/>
      <c r="I572" s="215"/>
      <c r="J572" s="215"/>
      <c r="K572" s="215"/>
      <c r="L572" s="215"/>
      <c r="M572" s="215"/>
      <c r="N572" s="215"/>
      <c r="O572" s="215"/>
      <c r="P572" s="215"/>
      <c r="Q572" s="215"/>
      <c r="R572" s="215"/>
      <c r="S572" s="215"/>
      <c r="T572" s="215"/>
      <c r="U572" s="215"/>
      <c r="V572" s="215"/>
      <c r="W572" s="215"/>
      <c r="X572" s="215"/>
      <c r="Y572" s="215"/>
      <c r="Z572" s="215"/>
      <c r="AA572" s="215"/>
      <c r="AB572" s="215"/>
      <c r="AC572" s="215"/>
      <c r="AD572" s="215"/>
      <c r="AE572" s="215"/>
      <c r="AF572" s="215"/>
      <c r="AG572" s="216"/>
      <c r="AJ572" s="214"/>
      <c r="AO572" s="214"/>
      <c r="AQ572" s="214"/>
      <c r="AU572" s="217"/>
      <c r="AV572" s="217"/>
      <c r="AW572" s="217"/>
    </row>
    <row r="573">
      <c r="C573" s="214"/>
      <c r="E573" s="215"/>
      <c r="F573" s="215"/>
      <c r="G573" s="215"/>
      <c r="H573" s="215"/>
      <c r="I573" s="215"/>
      <c r="J573" s="215"/>
      <c r="K573" s="215"/>
      <c r="L573" s="215"/>
      <c r="M573" s="215"/>
      <c r="N573" s="215"/>
      <c r="O573" s="215"/>
      <c r="P573" s="215"/>
      <c r="Q573" s="215"/>
      <c r="R573" s="215"/>
      <c r="S573" s="215"/>
      <c r="T573" s="215"/>
      <c r="U573" s="215"/>
      <c r="V573" s="215"/>
      <c r="W573" s="215"/>
      <c r="X573" s="215"/>
      <c r="Y573" s="215"/>
      <c r="Z573" s="215"/>
      <c r="AA573" s="215"/>
      <c r="AB573" s="215"/>
      <c r="AC573" s="215"/>
      <c r="AD573" s="215"/>
      <c r="AE573" s="215"/>
      <c r="AF573" s="215"/>
      <c r="AG573" s="216"/>
      <c r="AJ573" s="214"/>
      <c r="AO573" s="214"/>
      <c r="AQ573" s="214"/>
      <c r="AU573" s="217"/>
      <c r="AV573" s="217"/>
      <c r="AW573" s="217"/>
    </row>
    <row r="574">
      <c r="C574" s="214"/>
      <c r="E574" s="215"/>
      <c r="F574" s="215"/>
      <c r="G574" s="215"/>
      <c r="H574" s="215"/>
      <c r="I574" s="215"/>
      <c r="J574" s="215"/>
      <c r="K574" s="215"/>
      <c r="L574" s="215"/>
      <c r="M574" s="215"/>
      <c r="N574" s="215"/>
      <c r="O574" s="215"/>
      <c r="P574" s="215"/>
      <c r="Q574" s="215"/>
      <c r="R574" s="215"/>
      <c r="S574" s="215"/>
      <c r="T574" s="215"/>
      <c r="U574" s="215"/>
      <c r="V574" s="215"/>
      <c r="W574" s="215"/>
      <c r="X574" s="215"/>
      <c r="Y574" s="215"/>
      <c r="Z574" s="215"/>
      <c r="AA574" s="215"/>
      <c r="AB574" s="215"/>
      <c r="AC574" s="215"/>
      <c r="AD574" s="215"/>
      <c r="AE574" s="215"/>
      <c r="AF574" s="215"/>
      <c r="AG574" s="216"/>
      <c r="AJ574" s="214"/>
      <c r="AO574" s="214"/>
      <c r="AQ574" s="214"/>
      <c r="AU574" s="217"/>
      <c r="AV574" s="217"/>
      <c r="AW574" s="217"/>
    </row>
    <row r="575">
      <c r="C575" s="214"/>
      <c r="E575" s="215"/>
      <c r="F575" s="215"/>
      <c r="G575" s="215"/>
      <c r="H575" s="215"/>
      <c r="I575" s="215"/>
      <c r="J575" s="215"/>
      <c r="K575" s="215"/>
      <c r="L575" s="215"/>
      <c r="M575" s="215"/>
      <c r="N575" s="215"/>
      <c r="O575" s="215"/>
      <c r="P575" s="215"/>
      <c r="Q575" s="215"/>
      <c r="R575" s="215"/>
      <c r="S575" s="215"/>
      <c r="T575" s="215"/>
      <c r="U575" s="215"/>
      <c r="V575" s="215"/>
      <c r="W575" s="215"/>
      <c r="X575" s="215"/>
      <c r="Y575" s="215"/>
      <c r="Z575" s="215"/>
      <c r="AA575" s="215"/>
      <c r="AB575" s="215"/>
      <c r="AC575" s="215"/>
      <c r="AD575" s="215"/>
      <c r="AE575" s="215"/>
      <c r="AF575" s="215"/>
      <c r="AG575" s="216"/>
      <c r="AJ575" s="214"/>
      <c r="AO575" s="214"/>
      <c r="AQ575" s="214"/>
      <c r="AU575" s="217"/>
      <c r="AV575" s="217"/>
      <c r="AW575" s="217"/>
    </row>
    <row r="576">
      <c r="C576" s="214"/>
      <c r="E576" s="215"/>
      <c r="F576" s="215"/>
      <c r="G576" s="215"/>
      <c r="H576" s="215"/>
      <c r="I576" s="215"/>
      <c r="J576" s="215"/>
      <c r="K576" s="215"/>
      <c r="L576" s="215"/>
      <c r="M576" s="215"/>
      <c r="N576" s="215"/>
      <c r="O576" s="215"/>
      <c r="P576" s="215"/>
      <c r="Q576" s="215"/>
      <c r="R576" s="215"/>
      <c r="S576" s="215"/>
      <c r="T576" s="215"/>
      <c r="U576" s="215"/>
      <c r="V576" s="215"/>
      <c r="W576" s="215"/>
      <c r="X576" s="215"/>
      <c r="Y576" s="215"/>
      <c r="Z576" s="215"/>
      <c r="AA576" s="215"/>
      <c r="AB576" s="215"/>
      <c r="AC576" s="215"/>
      <c r="AD576" s="215"/>
      <c r="AE576" s="215"/>
      <c r="AF576" s="215"/>
      <c r="AG576" s="216"/>
      <c r="AJ576" s="214"/>
      <c r="AO576" s="214"/>
      <c r="AQ576" s="214"/>
      <c r="AU576" s="217"/>
      <c r="AV576" s="217"/>
      <c r="AW576" s="217"/>
    </row>
    <row r="577">
      <c r="C577" s="214"/>
      <c r="E577" s="215"/>
      <c r="F577" s="215"/>
      <c r="G577" s="215"/>
      <c r="H577" s="215"/>
      <c r="I577" s="215"/>
      <c r="J577" s="215"/>
      <c r="K577" s="215"/>
      <c r="L577" s="215"/>
      <c r="M577" s="215"/>
      <c r="N577" s="215"/>
      <c r="O577" s="215"/>
      <c r="P577" s="215"/>
      <c r="Q577" s="215"/>
      <c r="R577" s="215"/>
      <c r="S577" s="215"/>
      <c r="T577" s="215"/>
      <c r="U577" s="215"/>
      <c r="V577" s="215"/>
      <c r="W577" s="215"/>
      <c r="X577" s="215"/>
      <c r="Y577" s="215"/>
      <c r="Z577" s="215"/>
      <c r="AA577" s="215"/>
      <c r="AB577" s="215"/>
      <c r="AC577" s="215"/>
      <c r="AD577" s="215"/>
      <c r="AE577" s="215"/>
      <c r="AF577" s="215"/>
      <c r="AG577" s="216"/>
      <c r="AJ577" s="214"/>
      <c r="AO577" s="214"/>
      <c r="AQ577" s="214"/>
      <c r="AU577" s="217"/>
      <c r="AV577" s="217"/>
      <c r="AW577" s="217"/>
    </row>
    <row r="578">
      <c r="C578" s="214"/>
      <c r="E578" s="215"/>
      <c r="F578" s="215"/>
      <c r="G578" s="215"/>
      <c r="H578" s="215"/>
      <c r="I578" s="215"/>
      <c r="J578" s="215"/>
      <c r="K578" s="215"/>
      <c r="L578" s="215"/>
      <c r="M578" s="215"/>
      <c r="N578" s="215"/>
      <c r="O578" s="215"/>
      <c r="P578" s="215"/>
      <c r="Q578" s="215"/>
      <c r="R578" s="215"/>
      <c r="S578" s="215"/>
      <c r="T578" s="215"/>
      <c r="U578" s="215"/>
      <c r="V578" s="215"/>
      <c r="W578" s="215"/>
      <c r="X578" s="215"/>
      <c r="Y578" s="215"/>
      <c r="Z578" s="215"/>
      <c r="AA578" s="215"/>
      <c r="AB578" s="215"/>
      <c r="AC578" s="215"/>
      <c r="AD578" s="215"/>
      <c r="AE578" s="215"/>
      <c r="AF578" s="215"/>
      <c r="AG578" s="216"/>
      <c r="AJ578" s="214"/>
      <c r="AO578" s="214"/>
      <c r="AQ578" s="214"/>
      <c r="AU578" s="217"/>
      <c r="AV578" s="217"/>
      <c r="AW578" s="217"/>
    </row>
    <row r="579">
      <c r="C579" s="214"/>
      <c r="E579" s="215"/>
      <c r="F579" s="215"/>
      <c r="G579" s="215"/>
      <c r="H579" s="215"/>
      <c r="I579" s="215"/>
      <c r="J579" s="215"/>
      <c r="K579" s="215"/>
      <c r="L579" s="215"/>
      <c r="M579" s="215"/>
      <c r="N579" s="215"/>
      <c r="O579" s="215"/>
      <c r="P579" s="215"/>
      <c r="Q579" s="215"/>
      <c r="R579" s="215"/>
      <c r="S579" s="215"/>
      <c r="T579" s="215"/>
      <c r="U579" s="215"/>
      <c r="V579" s="215"/>
      <c r="W579" s="215"/>
      <c r="X579" s="215"/>
      <c r="Y579" s="215"/>
      <c r="Z579" s="215"/>
      <c r="AA579" s="215"/>
      <c r="AB579" s="215"/>
      <c r="AC579" s="215"/>
      <c r="AD579" s="215"/>
      <c r="AE579" s="215"/>
      <c r="AF579" s="215"/>
      <c r="AG579" s="216"/>
      <c r="AJ579" s="214"/>
      <c r="AO579" s="214"/>
      <c r="AQ579" s="214"/>
      <c r="AU579" s="217"/>
      <c r="AV579" s="217"/>
      <c r="AW579" s="217"/>
    </row>
    <row r="580">
      <c r="C580" s="214"/>
      <c r="E580" s="215"/>
      <c r="F580" s="215"/>
      <c r="G580" s="215"/>
      <c r="H580" s="215"/>
      <c r="I580" s="215"/>
      <c r="J580" s="215"/>
      <c r="K580" s="215"/>
      <c r="L580" s="215"/>
      <c r="M580" s="215"/>
      <c r="N580" s="215"/>
      <c r="O580" s="215"/>
      <c r="P580" s="215"/>
      <c r="Q580" s="215"/>
      <c r="R580" s="215"/>
      <c r="S580" s="215"/>
      <c r="T580" s="215"/>
      <c r="U580" s="215"/>
      <c r="V580" s="215"/>
      <c r="W580" s="215"/>
      <c r="X580" s="215"/>
      <c r="Y580" s="215"/>
      <c r="Z580" s="215"/>
      <c r="AA580" s="215"/>
      <c r="AB580" s="215"/>
      <c r="AC580" s="215"/>
      <c r="AD580" s="215"/>
      <c r="AE580" s="215"/>
      <c r="AF580" s="215"/>
      <c r="AG580" s="216"/>
      <c r="AJ580" s="214"/>
      <c r="AO580" s="214"/>
      <c r="AQ580" s="214"/>
      <c r="AU580" s="217"/>
      <c r="AV580" s="217"/>
      <c r="AW580" s="217"/>
    </row>
    <row r="581">
      <c r="C581" s="214"/>
      <c r="E581" s="215"/>
      <c r="F581" s="215"/>
      <c r="G581" s="215"/>
      <c r="H581" s="215"/>
      <c r="I581" s="215"/>
      <c r="J581" s="215"/>
      <c r="K581" s="215"/>
      <c r="L581" s="215"/>
      <c r="M581" s="215"/>
      <c r="N581" s="215"/>
      <c r="O581" s="215"/>
      <c r="P581" s="215"/>
      <c r="Q581" s="215"/>
      <c r="R581" s="215"/>
      <c r="S581" s="215"/>
      <c r="T581" s="215"/>
      <c r="U581" s="215"/>
      <c r="V581" s="215"/>
      <c r="W581" s="215"/>
      <c r="X581" s="215"/>
      <c r="Y581" s="215"/>
      <c r="Z581" s="215"/>
      <c r="AA581" s="215"/>
      <c r="AB581" s="215"/>
      <c r="AC581" s="215"/>
      <c r="AD581" s="215"/>
      <c r="AE581" s="215"/>
      <c r="AF581" s="215"/>
      <c r="AG581" s="216"/>
      <c r="AJ581" s="214"/>
      <c r="AO581" s="214"/>
      <c r="AQ581" s="214"/>
      <c r="AU581" s="217"/>
      <c r="AV581" s="217"/>
      <c r="AW581" s="217"/>
    </row>
    <row r="582">
      <c r="C582" s="214"/>
      <c r="E582" s="215"/>
      <c r="F582" s="215"/>
      <c r="G582" s="215"/>
      <c r="H582" s="215"/>
      <c r="I582" s="215"/>
      <c r="J582" s="215"/>
      <c r="K582" s="215"/>
      <c r="L582" s="215"/>
      <c r="M582" s="215"/>
      <c r="N582" s="215"/>
      <c r="O582" s="215"/>
      <c r="P582" s="215"/>
      <c r="Q582" s="215"/>
      <c r="R582" s="215"/>
      <c r="S582" s="215"/>
      <c r="T582" s="215"/>
      <c r="U582" s="215"/>
      <c r="V582" s="215"/>
      <c r="W582" s="215"/>
      <c r="X582" s="215"/>
      <c r="Y582" s="215"/>
      <c r="Z582" s="215"/>
      <c r="AA582" s="215"/>
      <c r="AB582" s="215"/>
      <c r="AC582" s="215"/>
      <c r="AD582" s="215"/>
      <c r="AE582" s="215"/>
      <c r="AF582" s="215"/>
      <c r="AG582" s="216"/>
      <c r="AJ582" s="214"/>
      <c r="AO582" s="214"/>
      <c r="AQ582" s="214"/>
      <c r="AU582" s="217"/>
      <c r="AV582" s="217"/>
      <c r="AW582" s="217"/>
    </row>
    <row r="583">
      <c r="C583" s="214"/>
      <c r="E583" s="215"/>
      <c r="F583" s="215"/>
      <c r="G583" s="215"/>
      <c r="H583" s="215"/>
      <c r="I583" s="215"/>
      <c r="J583" s="215"/>
      <c r="K583" s="215"/>
      <c r="L583" s="215"/>
      <c r="M583" s="215"/>
      <c r="N583" s="215"/>
      <c r="O583" s="215"/>
      <c r="P583" s="215"/>
      <c r="Q583" s="215"/>
      <c r="R583" s="215"/>
      <c r="S583" s="215"/>
      <c r="T583" s="215"/>
      <c r="U583" s="215"/>
      <c r="V583" s="215"/>
      <c r="W583" s="215"/>
      <c r="X583" s="215"/>
      <c r="Y583" s="215"/>
      <c r="Z583" s="215"/>
      <c r="AA583" s="215"/>
      <c r="AB583" s="215"/>
      <c r="AC583" s="215"/>
      <c r="AD583" s="215"/>
      <c r="AE583" s="215"/>
      <c r="AF583" s="215"/>
      <c r="AG583" s="216"/>
      <c r="AJ583" s="214"/>
      <c r="AO583" s="214"/>
      <c r="AQ583" s="214"/>
      <c r="AU583" s="217"/>
      <c r="AV583" s="217"/>
      <c r="AW583" s="217"/>
    </row>
    <row r="584">
      <c r="C584" s="214"/>
      <c r="E584" s="215"/>
      <c r="F584" s="215"/>
      <c r="G584" s="215"/>
      <c r="H584" s="215"/>
      <c r="I584" s="215"/>
      <c r="J584" s="215"/>
      <c r="K584" s="215"/>
      <c r="L584" s="215"/>
      <c r="M584" s="215"/>
      <c r="N584" s="215"/>
      <c r="O584" s="215"/>
      <c r="P584" s="215"/>
      <c r="Q584" s="215"/>
      <c r="R584" s="215"/>
      <c r="S584" s="215"/>
      <c r="T584" s="215"/>
      <c r="U584" s="215"/>
      <c r="V584" s="215"/>
      <c r="W584" s="215"/>
      <c r="X584" s="215"/>
      <c r="Y584" s="215"/>
      <c r="Z584" s="215"/>
      <c r="AA584" s="215"/>
      <c r="AB584" s="215"/>
      <c r="AC584" s="215"/>
      <c r="AD584" s="215"/>
      <c r="AE584" s="215"/>
      <c r="AF584" s="215"/>
      <c r="AG584" s="216"/>
      <c r="AJ584" s="214"/>
      <c r="AO584" s="214"/>
      <c r="AQ584" s="214"/>
      <c r="AU584" s="217"/>
      <c r="AV584" s="217"/>
      <c r="AW584" s="217"/>
    </row>
    <row r="585">
      <c r="C585" s="214"/>
      <c r="E585" s="215"/>
      <c r="F585" s="215"/>
      <c r="G585" s="215"/>
      <c r="H585" s="215"/>
      <c r="I585" s="215"/>
      <c r="J585" s="215"/>
      <c r="K585" s="215"/>
      <c r="L585" s="215"/>
      <c r="M585" s="215"/>
      <c r="N585" s="215"/>
      <c r="O585" s="215"/>
      <c r="P585" s="215"/>
      <c r="Q585" s="215"/>
      <c r="R585" s="215"/>
      <c r="S585" s="215"/>
      <c r="T585" s="215"/>
      <c r="U585" s="215"/>
      <c r="V585" s="215"/>
      <c r="W585" s="215"/>
      <c r="X585" s="215"/>
      <c r="Y585" s="215"/>
      <c r="Z585" s="215"/>
      <c r="AA585" s="215"/>
      <c r="AB585" s="215"/>
      <c r="AC585" s="215"/>
      <c r="AD585" s="215"/>
      <c r="AE585" s="215"/>
      <c r="AF585" s="215"/>
      <c r="AG585" s="216"/>
      <c r="AJ585" s="214"/>
      <c r="AO585" s="214"/>
      <c r="AQ585" s="214"/>
      <c r="AU585" s="217"/>
      <c r="AV585" s="217"/>
      <c r="AW585" s="217"/>
    </row>
    <row r="586">
      <c r="C586" s="214"/>
      <c r="E586" s="215"/>
      <c r="F586" s="215"/>
      <c r="G586" s="215"/>
      <c r="H586" s="215"/>
      <c r="I586" s="215"/>
      <c r="J586" s="215"/>
      <c r="K586" s="215"/>
      <c r="L586" s="215"/>
      <c r="M586" s="215"/>
      <c r="N586" s="215"/>
      <c r="O586" s="215"/>
      <c r="P586" s="215"/>
      <c r="Q586" s="215"/>
      <c r="R586" s="215"/>
      <c r="S586" s="215"/>
      <c r="T586" s="215"/>
      <c r="U586" s="215"/>
      <c r="V586" s="215"/>
      <c r="W586" s="215"/>
      <c r="X586" s="215"/>
      <c r="Y586" s="215"/>
      <c r="Z586" s="215"/>
      <c r="AA586" s="215"/>
      <c r="AB586" s="215"/>
      <c r="AC586" s="215"/>
      <c r="AD586" s="215"/>
      <c r="AE586" s="215"/>
      <c r="AF586" s="215"/>
      <c r="AG586" s="216"/>
      <c r="AJ586" s="214"/>
      <c r="AO586" s="214"/>
      <c r="AQ586" s="214"/>
      <c r="AU586" s="217"/>
      <c r="AV586" s="217"/>
      <c r="AW586" s="217"/>
    </row>
    <row r="587">
      <c r="C587" s="214"/>
      <c r="E587" s="215"/>
      <c r="F587" s="215"/>
      <c r="G587" s="215"/>
      <c r="H587" s="215"/>
      <c r="I587" s="215"/>
      <c r="J587" s="215"/>
      <c r="K587" s="215"/>
      <c r="L587" s="215"/>
      <c r="M587" s="215"/>
      <c r="N587" s="215"/>
      <c r="O587" s="215"/>
      <c r="P587" s="215"/>
      <c r="Q587" s="215"/>
      <c r="R587" s="215"/>
      <c r="S587" s="215"/>
      <c r="T587" s="215"/>
      <c r="U587" s="215"/>
      <c r="V587" s="215"/>
      <c r="W587" s="215"/>
      <c r="X587" s="215"/>
      <c r="Y587" s="215"/>
      <c r="Z587" s="215"/>
      <c r="AA587" s="215"/>
      <c r="AB587" s="215"/>
      <c r="AC587" s="215"/>
      <c r="AD587" s="215"/>
      <c r="AE587" s="215"/>
      <c r="AF587" s="215"/>
      <c r="AG587" s="216"/>
      <c r="AJ587" s="214"/>
      <c r="AO587" s="214"/>
      <c r="AQ587" s="214"/>
      <c r="AU587" s="217"/>
      <c r="AV587" s="217"/>
      <c r="AW587" s="217"/>
    </row>
    <row r="588">
      <c r="C588" s="214"/>
      <c r="E588" s="215"/>
      <c r="F588" s="215"/>
      <c r="G588" s="215"/>
      <c r="H588" s="215"/>
      <c r="I588" s="215"/>
      <c r="J588" s="215"/>
      <c r="K588" s="215"/>
      <c r="L588" s="215"/>
      <c r="M588" s="215"/>
      <c r="N588" s="215"/>
      <c r="O588" s="215"/>
      <c r="P588" s="215"/>
      <c r="Q588" s="215"/>
      <c r="R588" s="215"/>
      <c r="S588" s="215"/>
      <c r="T588" s="215"/>
      <c r="U588" s="215"/>
      <c r="V588" s="215"/>
      <c r="W588" s="215"/>
      <c r="X588" s="215"/>
      <c r="Y588" s="215"/>
      <c r="Z588" s="215"/>
      <c r="AA588" s="215"/>
      <c r="AB588" s="215"/>
      <c r="AC588" s="215"/>
      <c r="AD588" s="215"/>
      <c r="AE588" s="215"/>
      <c r="AF588" s="215"/>
      <c r="AG588" s="216"/>
      <c r="AJ588" s="214"/>
      <c r="AO588" s="214"/>
      <c r="AQ588" s="214"/>
      <c r="AU588" s="217"/>
      <c r="AV588" s="217"/>
      <c r="AW588" s="217"/>
    </row>
    <row r="589">
      <c r="C589" s="214"/>
      <c r="E589" s="215"/>
      <c r="F589" s="215"/>
      <c r="G589" s="215"/>
      <c r="H589" s="215"/>
      <c r="I589" s="215"/>
      <c r="J589" s="215"/>
      <c r="K589" s="215"/>
      <c r="L589" s="215"/>
      <c r="M589" s="215"/>
      <c r="N589" s="215"/>
      <c r="O589" s="215"/>
      <c r="P589" s="215"/>
      <c r="Q589" s="215"/>
      <c r="R589" s="215"/>
      <c r="S589" s="215"/>
      <c r="T589" s="215"/>
      <c r="U589" s="215"/>
      <c r="V589" s="215"/>
      <c r="W589" s="215"/>
      <c r="X589" s="215"/>
      <c r="Y589" s="215"/>
      <c r="Z589" s="215"/>
      <c r="AA589" s="215"/>
      <c r="AB589" s="215"/>
      <c r="AC589" s="215"/>
      <c r="AD589" s="215"/>
      <c r="AE589" s="215"/>
      <c r="AF589" s="215"/>
      <c r="AG589" s="216"/>
      <c r="AJ589" s="214"/>
      <c r="AO589" s="214"/>
      <c r="AQ589" s="214"/>
      <c r="AU589" s="217"/>
      <c r="AV589" s="217"/>
      <c r="AW589" s="217"/>
    </row>
    <row r="590">
      <c r="C590" s="214"/>
      <c r="E590" s="215"/>
      <c r="F590" s="215"/>
      <c r="G590" s="215"/>
      <c r="H590" s="215"/>
      <c r="I590" s="215"/>
      <c r="J590" s="215"/>
      <c r="K590" s="215"/>
      <c r="L590" s="215"/>
      <c r="M590" s="215"/>
      <c r="N590" s="215"/>
      <c r="O590" s="215"/>
      <c r="P590" s="215"/>
      <c r="Q590" s="215"/>
      <c r="R590" s="215"/>
      <c r="S590" s="215"/>
      <c r="T590" s="215"/>
      <c r="U590" s="215"/>
      <c r="V590" s="215"/>
      <c r="W590" s="215"/>
      <c r="X590" s="215"/>
      <c r="Y590" s="215"/>
      <c r="Z590" s="215"/>
      <c r="AA590" s="215"/>
      <c r="AB590" s="215"/>
      <c r="AC590" s="215"/>
      <c r="AD590" s="215"/>
      <c r="AE590" s="215"/>
      <c r="AF590" s="215"/>
      <c r="AG590" s="216"/>
      <c r="AJ590" s="214"/>
      <c r="AO590" s="214"/>
      <c r="AQ590" s="214"/>
      <c r="AU590" s="217"/>
      <c r="AV590" s="217"/>
      <c r="AW590" s="217"/>
    </row>
    <row r="591">
      <c r="C591" s="214"/>
      <c r="E591" s="215"/>
      <c r="F591" s="215"/>
      <c r="G591" s="215"/>
      <c r="H591" s="215"/>
      <c r="I591" s="215"/>
      <c r="J591" s="215"/>
      <c r="K591" s="215"/>
      <c r="L591" s="215"/>
      <c r="M591" s="215"/>
      <c r="N591" s="215"/>
      <c r="O591" s="215"/>
      <c r="P591" s="215"/>
      <c r="Q591" s="215"/>
      <c r="R591" s="215"/>
      <c r="S591" s="215"/>
      <c r="T591" s="215"/>
      <c r="U591" s="215"/>
      <c r="V591" s="215"/>
      <c r="W591" s="215"/>
      <c r="X591" s="215"/>
      <c r="Y591" s="215"/>
      <c r="Z591" s="215"/>
      <c r="AA591" s="215"/>
      <c r="AB591" s="215"/>
      <c r="AC591" s="215"/>
      <c r="AD591" s="215"/>
      <c r="AE591" s="215"/>
      <c r="AF591" s="215"/>
      <c r="AG591" s="216"/>
      <c r="AJ591" s="214"/>
      <c r="AO591" s="214"/>
      <c r="AQ591" s="214"/>
      <c r="AU591" s="217"/>
      <c r="AV591" s="217"/>
      <c r="AW591" s="217"/>
    </row>
    <row r="592">
      <c r="C592" s="214"/>
      <c r="E592" s="215"/>
      <c r="F592" s="215"/>
      <c r="G592" s="215"/>
      <c r="H592" s="215"/>
      <c r="I592" s="215"/>
      <c r="J592" s="215"/>
      <c r="K592" s="215"/>
      <c r="L592" s="215"/>
      <c r="M592" s="215"/>
      <c r="N592" s="215"/>
      <c r="O592" s="215"/>
      <c r="P592" s="215"/>
      <c r="Q592" s="215"/>
      <c r="R592" s="215"/>
      <c r="S592" s="215"/>
      <c r="T592" s="215"/>
      <c r="U592" s="215"/>
      <c r="V592" s="215"/>
      <c r="W592" s="215"/>
      <c r="X592" s="215"/>
      <c r="Y592" s="215"/>
      <c r="Z592" s="215"/>
      <c r="AA592" s="215"/>
      <c r="AB592" s="215"/>
      <c r="AC592" s="215"/>
      <c r="AD592" s="215"/>
      <c r="AE592" s="215"/>
      <c r="AF592" s="215"/>
      <c r="AG592" s="216"/>
      <c r="AJ592" s="214"/>
      <c r="AO592" s="214"/>
      <c r="AQ592" s="214"/>
      <c r="AU592" s="217"/>
      <c r="AV592" s="217"/>
      <c r="AW592" s="217"/>
    </row>
    <row r="593">
      <c r="C593" s="214"/>
      <c r="E593" s="215"/>
      <c r="F593" s="215"/>
      <c r="G593" s="215"/>
      <c r="H593" s="215"/>
      <c r="I593" s="215"/>
      <c r="J593" s="215"/>
      <c r="K593" s="215"/>
      <c r="L593" s="215"/>
      <c r="M593" s="215"/>
      <c r="N593" s="215"/>
      <c r="O593" s="215"/>
      <c r="P593" s="215"/>
      <c r="Q593" s="215"/>
      <c r="R593" s="215"/>
      <c r="S593" s="215"/>
      <c r="T593" s="215"/>
      <c r="U593" s="215"/>
      <c r="V593" s="215"/>
      <c r="W593" s="215"/>
      <c r="X593" s="215"/>
      <c r="Y593" s="215"/>
      <c r="Z593" s="215"/>
      <c r="AA593" s="215"/>
      <c r="AB593" s="215"/>
      <c r="AC593" s="215"/>
      <c r="AD593" s="215"/>
      <c r="AE593" s="215"/>
      <c r="AF593" s="215"/>
      <c r="AG593" s="216"/>
      <c r="AJ593" s="214"/>
      <c r="AO593" s="214"/>
      <c r="AQ593" s="214"/>
      <c r="AU593" s="217"/>
      <c r="AV593" s="217"/>
      <c r="AW593" s="217"/>
    </row>
    <row r="594">
      <c r="C594" s="214"/>
      <c r="E594" s="215"/>
      <c r="F594" s="215"/>
      <c r="G594" s="215"/>
      <c r="H594" s="215"/>
      <c r="I594" s="215"/>
      <c r="J594" s="215"/>
      <c r="K594" s="215"/>
      <c r="L594" s="215"/>
      <c r="M594" s="215"/>
      <c r="N594" s="215"/>
      <c r="O594" s="215"/>
      <c r="P594" s="215"/>
      <c r="Q594" s="215"/>
      <c r="R594" s="215"/>
      <c r="S594" s="215"/>
      <c r="T594" s="215"/>
      <c r="U594" s="215"/>
      <c r="V594" s="215"/>
      <c r="W594" s="215"/>
      <c r="X594" s="215"/>
      <c r="Y594" s="215"/>
      <c r="Z594" s="215"/>
      <c r="AA594" s="215"/>
      <c r="AB594" s="215"/>
      <c r="AC594" s="215"/>
      <c r="AD594" s="215"/>
      <c r="AE594" s="215"/>
      <c r="AF594" s="215"/>
      <c r="AG594" s="216"/>
      <c r="AJ594" s="214"/>
      <c r="AO594" s="214"/>
      <c r="AQ594" s="214"/>
      <c r="AU594" s="217"/>
      <c r="AV594" s="217"/>
      <c r="AW594" s="217"/>
    </row>
    <row r="595">
      <c r="C595" s="214"/>
      <c r="E595" s="215"/>
      <c r="F595" s="215"/>
      <c r="G595" s="215"/>
      <c r="H595" s="215"/>
      <c r="I595" s="215"/>
      <c r="J595" s="215"/>
      <c r="K595" s="215"/>
      <c r="L595" s="215"/>
      <c r="M595" s="215"/>
      <c r="N595" s="215"/>
      <c r="O595" s="215"/>
      <c r="P595" s="215"/>
      <c r="Q595" s="215"/>
      <c r="R595" s="215"/>
      <c r="S595" s="215"/>
      <c r="T595" s="215"/>
      <c r="U595" s="215"/>
      <c r="V595" s="215"/>
      <c r="W595" s="215"/>
      <c r="X595" s="215"/>
      <c r="Y595" s="215"/>
      <c r="Z595" s="215"/>
      <c r="AA595" s="215"/>
      <c r="AB595" s="215"/>
      <c r="AC595" s="215"/>
      <c r="AD595" s="215"/>
      <c r="AE595" s="215"/>
      <c r="AF595" s="215"/>
      <c r="AG595" s="216"/>
      <c r="AJ595" s="214"/>
      <c r="AO595" s="214"/>
      <c r="AQ595" s="214"/>
      <c r="AU595" s="217"/>
      <c r="AV595" s="217"/>
      <c r="AW595" s="217"/>
    </row>
    <row r="596">
      <c r="C596" s="214"/>
      <c r="E596" s="215"/>
      <c r="F596" s="215"/>
      <c r="G596" s="215"/>
      <c r="H596" s="215"/>
      <c r="I596" s="215"/>
      <c r="J596" s="215"/>
      <c r="K596" s="215"/>
      <c r="L596" s="215"/>
      <c r="M596" s="215"/>
      <c r="N596" s="215"/>
      <c r="O596" s="215"/>
      <c r="P596" s="215"/>
      <c r="Q596" s="215"/>
      <c r="R596" s="215"/>
      <c r="S596" s="215"/>
      <c r="T596" s="215"/>
      <c r="U596" s="215"/>
      <c r="V596" s="215"/>
      <c r="W596" s="215"/>
      <c r="X596" s="215"/>
      <c r="Y596" s="215"/>
      <c r="Z596" s="215"/>
      <c r="AA596" s="215"/>
      <c r="AB596" s="215"/>
      <c r="AC596" s="215"/>
      <c r="AD596" s="215"/>
      <c r="AE596" s="215"/>
      <c r="AF596" s="215"/>
      <c r="AG596" s="216"/>
      <c r="AJ596" s="214"/>
      <c r="AO596" s="214"/>
      <c r="AQ596" s="214"/>
      <c r="AU596" s="217"/>
      <c r="AV596" s="217"/>
      <c r="AW596" s="217"/>
    </row>
    <row r="597">
      <c r="C597" s="214"/>
      <c r="E597" s="215"/>
      <c r="F597" s="215"/>
      <c r="G597" s="215"/>
      <c r="H597" s="215"/>
      <c r="I597" s="215"/>
      <c r="J597" s="215"/>
      <c r="K597" s="215"/>
      <c r="L597" s="215"/>
      <c r="M597" s="215"/>
      <c r="N597" s="215"/>
      <c r="O597" s="215"/>
      <c r="P597" s="215"/>
      <c r="Q597" s="215"/>
      <c r="R597" s="215"/>
      <c r="S597" s="215"/>
      <c r="T597" s="215"/>
      <c r="U597" s="215"/>
      <c r="V597" s="215"/>
      <c r="W597" s="215"/>
      <c r="X597" s="215"/>
      <c r="Y597" s="215"/>
      <c r="Z597" s="215"/>
      <c r="AA597" s="215"/>
      <c r="AB597" s="215"/>
      <c r="AC597" s="215"/>
      <c r="AD597" s="215"/>
      <c r="AE597" s="215"/>
      <c r="AF597" s="215"/>
      <c r="AG597" s="216"/>
      <c r="AJ597" s="214"/>
      <c r="AO597" s="214"/>
      <c r="AQ597" s="214"/>
      <c r="AU597" s="217"/>
      <c r="AV597" s="217"/>
      <c r="AW597" s="217"/>
    </row>
    <row r="598">
      <c r="C598" s="214"/>
      <c r="E598" s="215"/>
      <c r="F598" s="215"/>
      <c r="G598" s="215"/>
      <c r="H598" s="215"/>
      <c r="I598" s="215"/>
      <c r="J598" s="215"/>
      <c r="K598" s="215"/>
      <c r="L598" s="215"/>
      <c r="M598" s="215"/>
      <c r="N598" s="215"/>
      <c r="O598" s="215"/>
      <c r="P598" s="215"/>
      <c r="Q598" s="215"/>
      <c r="R598" s="215"/>
      <c r="S598" s="215"/>
      <c r="T598" s="215"/>
      <c r="U598" s="215"/>
      <c r="V598" s="215"/>
      <c r="W598" s="215"/>
      <c r="X598" s="215"/>
      <c r="Y598" s="215"/>
      <c r="Z598" s="215"/>
      <c r="AA598" s="215"/>
      <c r="AB598" s="215"/>
      <c r="AC598" s="215"/>
      <c r="AD598" s="215"/>
      <c r="AE598" s="215"/>
      <c r="AF598" s="215"/>
      <c r="AG598" s="216"/>
      <c r="AJ598" s="214"/>
      <c r="AO598" s="214"/>
      <c r="AQ598" s="214"/>
      <c r="AU598" s="217"/>
      <c r="AV598" s="217"/>
      <c r="AW598" s="217"/>
    </row>
    <row r="599">
      <c r="C599" s="214"/>
      <c r="E599" s="215"/>
      <c r="F599" s="215"/>
      <c r="G599" s="215"/>
      <c r="H599" s="215"/>
      <c r="I599" s="215"/>
      <c r="J599" s="215"/>
      <c r="K599" s="215"/>
      <c r="L599" s="215"/>
      <c r="M599" s="215"/>
      <c r="N599" s="215"/>
      <c r="O599" s="215"/>
      <c r="P599" s="215"/>
      <c r="Q599" s="215"/>
      <c r="R599" s="215"/>
      <c r="S599" s="215"/>
      <c r="T599" s="215"/>
      <c r="U599" s="215"/>
      <c r="V599" s="215"/>
      <c r="W599" s="215"/>
      <c r="X599" s="215"/>
      <c r="Y599" s="215"/>
      <c r="Z599" s="215"/>
      <c r="AA599" s="215"/>
      <c r="AB599" s="215"/>
      <c r="AC599" s="215"/>
      <c r="AD599" s="215"/>
      <c r="AE599" s="215"/>
      <c r="AF599" s="215"/>
      <c r="AG599" s="216"/>
      <c r="AJ599" s="214"/>
      <c r="AO599" s="214"/>
      <c r="AQ599" s="214"/>
      <c r="AU599" s="217"/>
      <c r="AV599" s="217"/>
      <c r="AW599" s="217"/>
    </row>
    <row r="600">
      <c r="C600" s="214"/>
      <c r="E600" s="215"/>
      <c r="F600" s="215"/>
      <c r="G600" s="215"/>
      <c r="H600" s="215"/>
      <c r="I600" s="215"/>
      <c r="J600" s="215"/>
      <c r="K600" s="215"/>
      <c r="L600" s="215"/>
      <c r="M600" s="215"/>
      <c r="N600" s="215"/>
      <c r="O600" s="215"/>
      <c r="P600" s="215"/>
      <c r="Q600" s="215"/>
      <c r="R600" s="215"/>
      <c r="S600" s="215"/>
      <c r="T600" s="215"/>
      <c r="U600" s="215"/>
      <c r="V600" s="215"/>
      <c r="W600" s="215"/>
      <c r="X600" s="215"/>
      <c r="Y600" s="215"/>
      <c r="Z600" s="215"/>
      <c r="AA600" s="215"/>
      <c r="AB600" s="215"/>
      <c r="AC600" s="215"/>
      <c r="AD600" s="215"/>
      <c r="AE600" s="215"/>
      <c r="AF600" s="215"/>
      <c r="AG600" s="216"/>
      <c r="AJ600" s="214"/>
      <c r="AO600" s="214"/>
      <c r="AQ600" s="214"/>
      <c r="AU600" s="217"/>
      <c r="AV600" s="217"/>
      <c r="AW600" s="217"/>
    </row>
    <row r="601">
      <c r="C601" s="214"/>
      <c r="E601" s="215"/>
      <c r="F601" s="215"/>
      <c r="G601" s="215"/>
      <c r="H601" s="215"/>
      <c r="I601" s="215"/>
      <c r="J601" s="215"/>
      <c r="K601" s="215"/>
      <c r="L601" s="215"/>
      <c r="M601" s="215"/>
      <c r="N601" s="215"/>
      <c r="O601" s="215"/>
      <c r="P601" s="215"/>
      <c r="Q601" s="215"/>
      <c r="R601" s="215"/>
      <c r="S601" s="215"/>
      <c r="T601" s="215"/>
      <c r="U601" s="215"/>
      <c r="V601" s="215"/>
      <c r="W601" s="215"/>
      <c r="X601" s="215"/>
      <c r="Y601" s="215"/>
      <c r="Z601" s="215"/>
      <c r="AA601" s="215"/>
      <c r="AB601" s="215"/>
      <c r="AC601" s="215"/>
      <c r="AD601" s="215"/>
      <c r="AE601" s="215"/>
      <c r="AF601" s="215"/>
      <c r="AG601" s="216"/>
      <c r="AJ601" s="214"/>
      <c r="AO601" s="214"/>
      <c r="AQ601" s="214"/>
      <c r="AU601" s="217"/>
      <c r="AV601" s="217"/>
      <c r="AW601" s="217"/>
    </row>
    <row r="602">
      <c r="C602" s="214"/>
      <c r="E602" s="215"/>
      <c r="F602" s="215"/>
      <c r="G602" s="215"/>
      <c r="H602" s="215"/>
      <c r="I602" s="215"/>
      <c r="J602" s="215"/>
      <c r="K602" s="215"/>
      <c r="L602" s="215"/>
      <c r="M602" s="215"/>
      <c r="N602" s="215"/>
      <c r="O602" s="215"/>
      <c r="P602" s="215"/>
      <c r="Q602" s="215"/>
      <c r="R602" s="215"/>
      <c r="S602" s="215"/>
      <c r="T602" s="215"/>
      <c r="U602" s="215"/>
      <c r="V602" s="215"/>
      <c r="W602" s="215"/>
      <c r="X602" s="215"/>
      <c r="Y602" s="215"/>
      <c r="Z602" s="215"/>
      <c r="AA602" s="215"/>
      <c r="AB602" s="215"/>
      <c r="AC602" s="215"/>
      <c r="AD602" s="215"/>
      <c r="AE602" s="215"/>
      <c r="AF602" s="215"/>
      <c r="AG602" s="216"/>
      <c r="AJ602" s="214"/>
      <c r="AO602" s="214"/>
      <c r="AQ602" s="214"/>
      <c r="AU602" s="217"/>
      <c r="AV602" s="217"/>
      <c r="AW602" s="217"/>
    </row>
    <row r="603">
      <c r="C603" s="214"/>
      <c r="E603" s="215"/>
      <c r="F603" s="215"/>
      <c r="G603" s="215"/>
      <c r="H603" s="215"/>
      <c r="I603" s="215"/>
      <c r="J603" s="215"/>
      <c r="K603" s="215"/>
      <c r="L603" s="215"/>
      <c r="M603" s="215"/>
      <c r="N603" s="215"/>
      <c r="O603" s="215"/>
      <c r="P603" s="215"/>
      <c r="Q603" s="215"/>
      <c r="R603" s="215"/>
      <c r="S603" s="215"/>
      <c r="T603" s="215"/>
      <c r="U603" s="215"/>
      <c r="V603" s="215"/>
      <c r="W603" s="215"/>
      <c r="X603" s="215"/>
      <c r="Y603" s="215"/>
      <c r="Z603" s="215"/>
      <c r="AA603" s="215"/>
      <c r="AB603" s="215"/>
      <c r="AC603" s="215"/>
      <c r="AD603" s="215"/>
      <c r="AE603" s="215"/>
      <c r="AF603" s="215"/>
      <c r="AG603" s="216"/>
      <c r="AJ603" s="214"/>
      <c r="AO603" s="214"/>
      <c r="AQ603" s="214"/>
      <c r="AU603" s="217"/>
      <c r="AV603" s="217"/>
      <c r="AW603" s="217"/>
    </row>
    <row r="604">
      <c r="C604" s="214"/>
      <c r="E604" s="215"/>
      <c r="F604" s="215"/>
      <c r="G604" s="215"/>
      <c r="H604" s="215"/>
      <c r="I604" s="215"/>
      <c r="J604" s="215"/>
      <c r="K604" s="215"/>
      <c r="L604" s="215"/>
      <c r="M604" s="215"/>
      <c r="N604" s="215"/>
      <c r="O604" s="215"/>
      <c r="P604" s="215"/>
      <c r="Q604" s="215"/>
      <c r="R604" s="215"/>
      <c r="S604" s="215"/>
      <c r="T604" s="215"/>
      <c r="U604" s="215"/>
      <c r="V604" s="215"/>
      <c r="W604" s="215"/>
      <c r="X604" s="215"/>
      <c r="Y604" s="215"/>
      <c r="Z604" s="215"/>
      <c r="AA604" s="215"/>
      <c r="AB604" s="215"/>
      <c r="AC604" s="215"/>
      <c r="AD604" s="215"/>
      <c r="AE604" s="215"/>
      <c r="AF604" s="215"/>
      <c r="AG604" s="216"/>
      <c r="AJ604" s="214"/>
      <c r="AO604" s="214"/>
      <c r="AQ604" s="214"/>
      <c r="AU604" s="217"/>
      <c r="AV604" s="217"/>
      <c r="AW604" s="217"/>
    </row>
    <row r="605">
      <c r="C605" s="214"/>
      <c r="E605" s="215"/>
      <c r="F605" s="215"/>
      <c r="G605" s="215"/>
      <c r="H605" s="215"/>
      <c r="I605" s="215"/>
      <c r="J605" s="215"/>
      <c r="K605" s="215"/>
      <c r="L605" s="215"/>
      <c r="M605" s="215"/>
      <c r="N605" s="215"/>
      <c r="O605" s="215"/>
      <c r="P605" s="215"/>
      <c r="Q605" s="215"/>
      <c r="R605" s="215"/>
      <c r="S605" s="215"/>
      <c r="T605" s="215"/>
      <c r="U605" s="215"/>
      <c r="V605" s="215"/>
      <c r="W605" s="215"/>
      <c r="X605" s="215"/>
      <c r="Y605" s="215"/>
      <c r="Z605" s="215"/>
      <c r="AA605" s="215"/>
      <c r="AB605" s="215"/>
      <c r="AC605" s="215"/>
      <c r="AD605" s="215"/>
      <c r="AE605" s="215"/>
      <c r="AF605" s="215"/>
      <c r="AG605" s="216"/>
      <c r="AJ605" s="214"/>
      <c r="AO605" s="214"/>
      <c r="AQ605" s="214"/>
      <c r="AU605" s="217"/>
      <c r="AV605" s="217"/>
      <c r="AW605" s="217"/>
    </row>
    <row r="606">
      <c r="C606" s="214"/>
      <c r="E606" s="215"/>
      <c r="F606" s="215"/>
      <c r="G606" s="215"/>
      <c r="H606" s="215"/>
      <c r="I606" s="215"/>
      <c r="J606" s="215"/>
      <c r="K606" s="215"/>
      <c r="L606" s="215"/>
      <c r="M606" s="215"/>
      <c r="N606" s="215"/>
      <c r="O606" s="215"/>
      <c r="P606" s="215"/>
      <c r="Q606" s="215"/>
      <c r="R606" s="215"/>
      <c r="S606" s="215"/>
      <c r="T606" s="215"/>
      <c r="U606" s="215"/>
      <c r="V606" s="215"/>
      <c r="W606" s="215"/>
      <c r="X606" s="215"/>
      <c r="Y606" s="215"/>
      <c r="Z606" s="215"/>
      <c r="AA606" s="215"/>
      <c r="AB606" s="215"/>
      <c r="AC606" s="215"/>
      <c r="AD606" s="215"/>
      <c r="AE606" s="215"/>
      <c r="AF606" s="215"/>
      <c r="AG606" s="216"/>
      <c r="AJ606" s="214"/>
      <c r="AO606" s="214"/>
      <c r="AQ606" s="214"/>
      <c r="AU606" s="217"/>
      <c r="AV606" s="217"/>
      <c r="AW606" s="217"/>
    </row>
    <row r="607">
      <c r="C607" s="214"/>
      <c r="E607" s="215"/>
      <c r="F607" s="215"/>
      <c r="G607" s="215"/>
      <c r="H607" s="215"/>
      <c r="I607" s="215"/>
      <c r="J607" s="215"/>
      <c r="K607" s="215"/>
      <c r="L607" s="215"/>
      <c r="M607" s="215"/>
      <c r="N607" s="215"/>
      <c r="O607" s="215"/>
      <c r="P607" s="215"/>
      <c r="Q607" s="215"/>
      <c r="R607" s="215"/>
      <c r="S607" s="215"/>
      <c r="T607" s="215"/>
      <c r="U607" s="215"/>
      <c r="V607" s="215"/>
      <c r="W607" s="215"/>
      <c r="X607" s="215"/>
      <c r="Y607" s="215"/>
      <c r="Z607" s="215"/>
      <c r="AA607" s="215"/>
      <c r="AB607" s="215"/>
      <c r="AC607" s="215"/>
      <c r="AD607" s="215"/>
      <c r="AE607" s="215"/>
      <c r="AF607" s="215"/>
      <c r="AG607" s="216"/>
      <c r="AJ607" s="214"/>
      <c r="AO607" s="214"/>
      <c r="AQ607" s="214"/>
      <c r="AU607" s="217"/>
      <c r="AV607" s="217"/>
      <c r="AW607" s="217"/>
    </row>
    <row r="608">
      <c r="C608" s="214"/>
      <c r="E608" s="215"/>
      <c r="F608" s="215"/>
      <c r="G608" s="215"/>
      <c r="H608" s="215"/>
      <c r="I608" s="215"/>
      <c r="J608" s="215"/>
      <c r="K608" s="215"/>
      <c r="L608" s="215"/>
      <c r="M608" s="215"/>
      <c r="N608" s="215"/>
      <c r="O608" s="215"/>
      <c r="P608" s="215"/>
      <c r="Q608" s="215"/>
      <c r="R608" s="215"/>
      <c r="S608" s="215"/>
      <c r="T608" s="215"/>
      <c r="U608" s="215"/>
      <c r="V608" s="215"/>
      <c r="W608" s="215"/>
      <c r="X608" s="215"/>
      <c r="Y608" s="215"/>
      <c r="Z608" s="215"/>
      <c r="AA608" s="215"/>
      <c r="AB608" s="215"/>
      <c r="AC608" s="215"/>
      <c r="AD608" s="215"/>
      <c r="AE608" s="215"/>
      <c r="AF608" s="215"/>
      <c r="AG608" s="216"/>
      <c r="AJ608" s="214"/>
      <c r="AO608" s="214"/>
      <c r="AQ608" s="214"/>
      <c r="AU608" s="217"/>
      <c r="AV608" s="217"/>
      <c r="AW608" s="217"/>
    </row>
    <row r="609">
      <c r="C609" s="214"/>
      <c r="E609" s="215"/>
      <c r="F609" s="215"/>
      <c r="G609" s="215"/>
      <c r="H609" s="215"/>
      <c r="I609" s="215"/>
      <c r="J609" s="215"/>
      <c r="K609" s="215"/>
      <c r="L609" s="215"/>
      <c r="M609" s="215"/>
      <c r="N609" s="215"/>
      <c r="O609" s="215"/>
      <c r="P609" s="215"/>
      <c r="Q609" s="215"/>
      <c r="R609" s="215"/>
      <c r="S609" s="215"/>
      <c r="T609" s="215"/>
      <c r="U609" s="215"/>
      <c r="V609" s="215"/>
      <c r="W609" s="215"/>
      <c r="X609" s="215"/>
      <c r="Y609" s="215"/>
      <c r="Z609" s="215"/>
      <c r="AA609" s="215"/>
      <c r="AB609" s="215"/>
      <c r="AC609" s="215"/>
      <c r="AD609" s="215"/>
      <c r="AE609" s="215"/>
      <c r="AF609" s="215"/>
      <c r="AG609" s="216"/>
      <c r="AJ609" s="214"/>
      <c r="AO609" s="214"/>
      <c r="AQ609" s="214"/>
      <c r="AU609" s="217"/>
      <c r="AV609" s="217"/>
      <c r="AW609" s="217"/>
    </row>
    <row r="610">
      <c r="C610" s="214"/>
      <c r="E610" s="215"/>
      <c r="F610" s="215"/>
      <c r="G610" s="215"/>
      <c r="H610" s="215"/>
      <c r="I610" s="215"/>
      <c r="J610" s="215"/>
      <c r="K610" s="215"/>
      <c r="L610" s="215"/>
      <c r="M610" s="215"/>
      <c r="N610" s="215"/>
      <c r="O610" s="215"/>
      <c r="P610" s="215"/>
      <c r="Q610" s="215"/>
      <c r="R610" s="215"/>
      <c r="S610" s="215"/>
      <c r="T610" s="215"/>
      <c r="U610" s="215"/>
      <c r="V610" s="215"/>
      <c r="W610" s="215"/>
      <c r="X610" s="215"/>
      <c r="Y610" s="215"/>
      <c r="Z610" s="215"/>
      <c r="AA610" s="215"/>
      <c r="AB610" s="215"/>
      <c r="AC610" s="215"/>
      <c r="AD610" s="215"/>
      <c r="AE610" s="215"/>
      <c r="AF610" s="215"/>
      <c r="AG610" s="216"/>
      <c r="AJ610" s="214"/>
      <c r="AO610" s="214"/>
      <c r="AQ610" s="214"/>
      <c r="AU610" s="217"/>
      <c r="AV610" s="217"/>
      <c r="AW610" s="217"/>
    </row>
    <row r="611">
      <c r="C611" s="214"/>
      <c r="E611" s="215"/>
      <c r="F611" s="215"/>
      <c r="G611" s="215"/>
      <c r="H611" s="215"/>
      <c r="I611" s="215"/>
      <c r="J611" s="215"/>
      <c r="K611" s="215"/>
      <c r="L611" s="215"/>
      <c r="M611" s="215"/>
      <c r="N611" s="215"/>
      <c r="O611" s="215"/>
      <c r="P611" s="215"/>
      <c r="Q611" s="215"/>
      <c r="R611" s="215"/>
      <c r="S611" s="215"/>
      <c r="T611" s="215"/>
      <c r="U611" s="215"/>
      <c r="V611" s="215"/>
      <c r="W611" s="215"/>
      <c r="X611" s="215"/>
      <c r="Y611" s="215"/>
      <c r="Z611" s="215"/>
      <c r="AA611" s="215"/>
      <c r="AB611" s="215"/>
      <c r="AC611" s="215"/>
      <c r="AD611" s="215"/>
      <c r="AE611" s="215"/>
      <c r="AF611" s="215"/>
      <c r="AG611" s="216"/>
      <c r="AJ611" s="214"/>
      <c r="AO611" s="214"/>
      <c r="AQ611" s="214"/>
      <c r="AU611" s="217"/>
      <c r="AV611" s="217"/>
      <c r="AW611" s="217"/>
    </row>
    <row r="612">
      <c r="C612" s="214"/>
      <c r="E612" s="215"/>
      <c r="F612" s="215"/>
      <c r="G612" s="215"/>
      <c r="H612" s="215"/>
      <c r="I612" s="215"/>
      <c r="J612" s="215"/>
      <c r="K612" s="215"/>
      <c r="L612" s="215"/>
      <c r="M612" s="215"/>
      <c r="N612" s="215"/>
      <c r="O612" s="215"/>
      <c r="P612" s="215"/>
      <c r="Q612" s="215"/>
      <c r="R612" s="215"/>
      <c r="S612" s="215"/>
      <c r="T612" s="215"/>
      <c r="U612" s="215"/>
      <c r="V612" s="215"/>
      <c r="W612" s="215"/>
      <c r="X612" s="215"/>
      <c r="Y612" s="215"/>
      <c r="Z612" s="215"/>
      <c r="AA612" s="215"/>
      <c r="AB612" s="215"/>
      <c r="AC612" s="215"/>
      <c r="AD612" s="215"/>
      <c r="AE612" s="215"/>
      <c r="AF612" s="215"/>
      <c r="AG612" s="216"/>
      <c r="AJ612" s="214"/>
      <c r="AO612" s="214"/>
      <c r="AQ612" s="214"/>
      <c r="AU612" s="217"/>
      <c r="AV612" s="217"/>
      <c r="AW612" s="217"/>
    </row>
    <row r="613">
      <c r="C613" s="214"/>
      <c r="E613" s="215"/>
      <c r="F613" s="215"/>
      <c r="G613" s="215"/>
      <c r="H613" s="215"/>
      <c r="I613" s="215"/>
      <c r="J613" s="215"/>
      <c r="K613" s="215"/>
      <c r="L613" s="215"/>
      <c r="M613" s="215"/>
      <c r="N613" s="215"/>
      <c r="O613" s="215"/>
      <c r="P613" s="215"/>
      <c r="Q613" s="215"/>
      <c r="R613" s="215"/>
      <c r="S613" s="215"/>
      <c r="T613" s="215"/>
      <c r="U613" s="215"/>
      <c r="V613" s="215"/>
      <c r="W613" s="215"/>
      <c r="X613" s="215"/>
      <c r="Y613" s="215"/>
      <c r="Z613" s="215"/>
      <c r="AA613" s="215"/>
      <c r="AB613" s="215"/>
      <c r="AC613" s="215"/>
      <c r="AD613" s="215"/>
      <c r="AE613" s="215"/>
      <c r="AF613" s="215"/>
      <c r="AG613" s="216"/>
      <c r="AJ613" s="214"/>
      <c r="AO613" s="214"/>
      <c r="AQ613" s="214"/>
      <c r="AU613" s="217"/>
      <c r="AV613" s="217"/>
      <c r="AW613" s="217"/>
    </row>
    <row r="614">
      <c r="C614" s="214"/>
      <c r="E614" s="215"/>
      <c r="F614" s="215"/>
      <c r="G614" s="215"/>
      <c r="H614" s="215"/>
      <c r="I614" s="215"/>
      <c r="J614" s="215"/>
      <c r="K614" s="215"/>
      <c r="L614" s="215"/>
      <c r="M614" s="215"/>
      <c r="N614" s="215"/>
      <c r="O614" s="215"/>
      <c r="P614" s="215"/>
      <c r="Q614" s="215"/>
      <c r="R614" s="215"/>
      <c r="S614" s="215"/>
      <c r="T614" s="215"/>
      <c r="U614" s="215"/>
      <c r="V614" s="215"/>
      <c r="W614" s="215"/>
      <c r="X614" s="215"/>
      <c r="Y614" s="215"/>
      <c r="Z614" s="215"/>
      <c r="AA614" s="215"/>
      <c r="AB614" s="215"/>
      <c r="AC614" s="215"/>
      <c r="AD614" s="215"/>
      <c r="AE614" s="215"/>
      <c r="AF614" s="215"/>
      <c r="AG614" s="216"/>
      <c r="AJ614" s="214"/>
      <c r="AO614" s="214"/>
      <c r="AQ614" s="214"/>
      <c r="AU614" s="217"/>
      <c r="AV614" s="217"/>
      <c r="AW614" s="217"/>
    </row>
    <row r="615">
      <c r="C615" s="214"/>
      <c r="E615" s="215"/>
      <c r="F615" s="215"/>
      <c r="G615" s="215"/>
      <c r="H615" s="215"/>
      <c r="I615" s="215"/>
      <c r="J615" s="215"/>
      <c r="K615" s="215"/>
      <c r="L615" s="215"/>
      <c r="M615" s="215"/>
      <c r="N615" s="215"/>
      <c r="O615" s="215"/>
      <c r="P615" s="215"/>
      <c r="Q615" s="215"/>
      <c r="R615" s="215"/>
      <c r="S615" s="215"/>
      <c r="T615" s="215"/>
      <c r="U615" s="215"/>
      <c r="V615" s="215"/>
      <c r="W615" s="215"/>
      <c r="X615" s="215"/>
      <c r="Y615" s="215"/>
      <c r="Z615" s="215"/>
      <c r="AA615" s="215"/>
      <c r="AB615" s="215"/>
      <c r="AC615" s="215"/>
      <c r="AD615" s="215"/>
      <c r="AE615" s="215"/>
      <c r="AF615" s="215"/>
      <c r="AG615" s="216"/>
      <c r="AJ615" s="214"/>
      <c r="AO615" s="214"/>
      <c r="AQ615" s="214"/>
      <c r="AU615" s="217"/>
      <c r="AV615" s="217"/>
      <c r="AW615" s="217"/>
    </row>
    <row r="616">
      <c r="C616" s="214"/>
      <c r="E616" s="215"/>
      <c r="F616" s="215"/>
      <c r="G616" s="215"/>
      <c r="H616" s="215"/>
      <c r="I616" s="215"/>
      <c r="J616" s="215"/>
      <c r="K616" s="215"/>
      <c r="L616" s="215"/>
      <c r="M616" s="215"/>
      <c r="N616" s="215"/>
      <c r="O616" s="215"/>
      <c r="P616" s="215"/>
      <c r="Q616" s="215"/>
      <c r="R616" s="215"/>
      <c r="S616" s="215"/>
      <c r="T616" s="215"/>
      <c r="U616" s="215"/>
      <c r="V616" s="215"/>
      <c r="W616" s="215"/>
      <c r="X616" s="215"/>
      <c r="Y616" s="215"/>
      <c r="Z616" s="215"/>
      <c r="AA616" s="215"/>
      <c r="AB616" s="215"/>
      <c r="AC616" s="215"/>
      <c r="AD616" s="215"/>
      <c r="AE616" s="215"/>
      <c r="AF616" s="215"/>
      <c r="AG616" s="216"/>
      <c r="AJ616" s="214"/>
      <c r="AO616" s="214"/>
      <c r="AQ616" s="214"/>
      <c r="AU616" s="217"/>
      <c r="AV616" s="217"/>
      <c r="AW616" s="217"/>
    </row>
    <row r="617">
      <c r="C617" s="214"/>
      <c r="E617" s="215"/>
      <c r="F617" s="215"/>
      <c r="G617" s="215"/>
      <c r="H617" s="215"/>
      <c r="I617" s="215"/>
      <c r="J617" s="215"/>
      <c r="K617" s="215"/>
      <c r="L617" s="215"/>
      <c r="M617" s="215"/>
      <c r="N617" s="215"/>
      <c r="O617" s="215"/>
      <c r="P617" s="215"/>
      <c r="Q617" s="215"/>
      <c r="R617" s="215"/>
      <c r="S617" s="215"/>
      <c r="T617" s="215"/>
      <c r="U617" s="215"/>
      <c r="V617" s="215"/>
      <c r="W617" s="215"/>
      <c r="X617" s="215"/>
      <c r="Y617" s="215"/>
      <c r="Z617" s="215"/>
      <c r="AA617" s="215"/>
      <c r="AB617" s="215"/>
      <c r="AC617" s="215"/>
      <c r="AD617" s="215"/>
      <c r="AE617" s="215"/>
      <c r="AF617" s="215"/>
      <c r="AG617" s="216"/>
      <c r="AJ617" s="214"/>
      <c r="AO617" s="214"/>
      <c r="AQ617" s="214"/>
      <c r="AU617" s="217"/>
      <c r="AV617" s="217"/>
      <c r="AW617" s="217"/>
    </row>
    <row r="618">
      <c r="C618" s="214"/>
      <c r="E618" s="215"/>
      <c r="F618" s="215"/>
      <c r="G618" s="215"/>
      <c r="H618" s="215"/>
      <c r="I618" s="215"/>
      <c r="J618" s="215"/>
      <c r="K618" s="215"/>
      <c r="L618" s="215"/>
      <c r="M618" s="215"/>
      <c r="N618" s="215"/>
      <c r="O618" s="215"/>
      <c r="P618" s="215"/>
      <c r="Q618" s="215"/>
      <c r="R618" s="215"/>
      <c r="S618" s="215"/>
      <c r="T618" s="215"/>
      <c r="U618" s="215"/>
      <c r="V618" s="215"/>
      <c r="W618" s="215"/>
      <c r="X618" s="215"/>
      <c r="Y618" s="215"/>
      <c r="Z618" s="215"/>
      <c r="AA618" s="215"/>
      <c r="AB618" s="215"/>
      <c r="AC618" s="215"/>
      <c r="AD618" s="215"/>
      <c r="AE618" s="215"/>
      <c r="AF618" s="215"/>
      <c r="AG618" s="216"/>
      <c r="AJ618" s="214"/>
      <c r="AO618" s="214"/>
      <c r="AQ618" s="214"/>
      <c r="AU618" s="217"/>
      <c r="AV618" s="217"/>
      <c r="AW618" s="217"/>
    </row>
    <row r="619">
      <c r="C619" s="214"/>
      <c r="E619" s="215"/>
      <c r="F619" s="215"/>
      <c r="G619" s="215"/>
      <c r="H619" s="215"/>
      <c r="I619" s="215"/>
      <c r="J619" s="215"/>
      <c r="K619" s="215"/>
      <c r="L619" s="215"/>
      <c r="M619" s="215"/>
      <c r="N619" s="215"/>
      <c r="O619" s="215"/>
      <c r="P619" s="215"/>
      <c r="Q619" s="215"/>
      <c r="R619" s="215"/>
      <c r="S619" s="215"/>
      <c r="T619" s="215"/>
      <c r="U619" s="215"/>
      <c r="V619" s="215"/>
      <c r="W619" s="215"/>
      <c r="X619" s="215"/>
      <c r="Y619" s="215"/>
      <c r="Z619" s="215"/>
      <c r="AA619" s="215"/>
      <c r="AB619" s="215"/>
      <c r="AC619" s="215"/>
      <c r="AD619" s="215"/>
      <c r="AE619" s="215"/>
      <c r="AF619" s="215"/>
      <c r="AG619" s="216"/>
      <c r="AJ619" s="214"/>
      <c r="AO619" s="214"/>
      <c r="AQ619" s="214"/>
      <c r="AU619" s="217"/>
      <c r="AV619" s="217"/>
      <c r="AW619" s="217"/>
    </row>
    <row r="620">
      <c r="C620" s="214"/>
      <c r="E620" s="215"/>
      <c r="F620" s="215"/>
      <c r="G620" s="215"/>
      <c r="H620" s="215"/>
      <c r="I620" s="215"/>
      <c r="J620" s="215"/>
      <c r="K620" s="215"/>
      <c r="L620" s="215"/>
      <c r="M620" s="215"/>
      <c r="N620" s="215"/>
      <c r="O620" s="215"/>
      <c r="P620" s="215"/>
      <c r="Q620" s="215"/>
      <c r="R620" s="215"/>
      <c r="S620" s="215"/>
      <c r="T620" s="215"/>
      <c r="U620" s="215"/>
      <c r="V620" s="215"/>
      <c r="W620" s="215"/>
      <c r="X620" s="215"/>
      <c r="Y620" s="215"/>
      <c r="Z620" s="215"/>
      <c r="AA620" s="215"/>
      <c r="AB620" s="215"/>
      <c r="AC620" s="215"/>
      <c r="AD620" s="215"/>
      <c r="AE620" s="215"/>
      <c r="AF620" s="215"/>
      <c r="AG620" s="216"/>
      <c r="AJ620" s="214"/>
      <c r="AO620" s="214"/>
      <c r="AQ620" s="214"/>
      <c r="AU620" s="217"/>
      <c r="AV620" s="217"/>
      <c r="AW620" s="217"/>
    </row>
    <row r="621">
      <c r="C621" s="214"/>
      <c r="E621" s="215"/>
      <c r="F621" s="215"/>
      <c r="G621" s="215"/>
      <c r="H621" s="215"/>
      <c r="I621" s="215"/>
      <c r="J621" s="215"/>
      <c r="K621" s="215"/>
      <c r="L621" s="215"/>
      <c r="M621" s="215"/>
      <c r="N621" s="215"/>
      <c r="O621" s="215"/>
      <c r="P621" s="215"/>
      <c r="Q621" s="215"/>
      <c r="R621" s="215"/>
      <c r="S621" s="215"/>
      <c r="T621" s="215"/>
      <c r="U621" s="215"/>
      <c r="V621" s="215"/>
      <c r="W621" s="215"/>
      <c r="X621" s="215"/>
      <c r="Y621" s="215"/>
      <c r="Z621" s="215"/>
      <c r="AA621" s="215"/>
      <c r="AB621" s="215"/>
      <c r="AC621" s="215"/>
      <c r="AD621" s="215"/>
      <c r="AE621" s="215"/>
      <c r="AF621" s="215"/>
      <c r="AG621" s="216"/>
      <c r="AJ621" s="214"/>
      <c r="AO621" s="214"/>
      <c r="AQ621" s="214"/>
      <c r="AU621" s="217"/>
      <c r="AV621" s="217"/>
      <c r="AW621" s="217"/>
    </row>
    <row r="622">
      <c r="C622" s="214"/>
      <c r="E622" s="215"/>
      <c r="F622" s="215"/>
      <c r="G622" s="215"/>
      <c r="H622" s="215"/>
      <c r="I622" s="215"/>
      <c r="J622" s="215"/>
      <c r="K622" s="215"/>
      <c r="L622" s="215"/>
      <c r="M622" s="215"/>
      <c r="N622" s="215"/>
      <c r="O622" s="215"/>
      <c r="P622" s="215"/>
      <c r="Q622" s="215"/>
      <c r="R622" s="215"/>
      <c r="S622" s="215"/>
      <c r="T622" s="215"/>
      <c r="U622" s="215"/>
      <c r="V622" s="215"/>
      <c r="W622" s="215"/>
      <c r="X622" s="215"/>
      <c r="Y622" s="215"/>
      <c r="Z622" s="215"/>
      <c r="AA622" s="215"/>
      <c r="AB622" s="215"/>
      <c r="AC622" s="215"/>
      <c r="AD622" s="215"/>
      <c r="AE622" s="215"/>
      <c r="AF622" s="215"/>
      <c r="AG622" s="216"/>
      <c r="AJ622" s="214"/>
      <c r="AO622" s="214"/>
      <c r="AQ622" s="214"/>
      <c r="AU622" s="217"/>
      <c r="AV622" s="217"/>
      <c r="AW622" s="217"/>
    </row>
    <row r="623">
      <c r="C623" s="214"/>
      <c r="E623" s="215"/>
      <c r="F623" s="215"/>
      <c r="G623" s="215"/>
      <c r="H623" s="215"/>
      <c r="I623" s="215"/>
      <c r="J623" s="215"/>
      <c r="K623" s="215"/>
      <c r="L623" s="215"/>
      <c r="M623" s="215"/>
      <c r="N623" s="215"/>
      <c r="O623" s="215"/>
      <c r="P623" s="215"/>
      <c r="Q623" s="215"/>
      <c r="R623" s="215"/>
      <c r="S623" s="215"/>
      <c r="T623" s="215"/>
      <c r="U623" s="215"/>
      <c r="V623" s="215"/>
      <c r="W623" s="215"/>
      <c r="X623" s="215"/>
      <c r="Y623" s="215"/>
      <c r="Z623" s="215"/>
      <c r="AA623" s="215"/>
      <c r="AB623" s="215"/>
      <c r="AC623" s="215"/>
      <c r="AD623" s="215"/>
      <c r="AE623" s="215"/>
      <c r="AF623" s="215"/>
      <c r="AG623" s="216"/>
      <c r="AJ623" s="214"/>
      <c r="AO623" s="214"/>
      <c r="AQ623" s="214"/>
      <c r="AU623" s="217"/>
      <c r="AV623" s="217"/>
      <c r="AW623" s="217"/>
    </row>
    <row r="624">
      <c r="C624" s="214"/>
      <c r="E624" s="215"/>
      <c r="F624" s="215"/>
      <c r="G624" s="215"/>
      <c r="H624" s="215"/>
      <c r="I624" s="215"/>
      <c r="J624" s="215"/>
      <c r="K624" s="215"/>
      <c r="L624" s="215"/>
      <c r="M624" s="215"/>
      <c r="N624" s="215"/>
      <c r="O624" s="215"/>
      <c r="P624" s="215"/>
      <c r="Q624" s="215"/>
      <c r="R624" s="215"/>
      <c r="S624" s="215"/>
      <c r="T624" s="215"/>
      <c r="U624" s="215"/>
      <c r="V624" s="215"/>
      <c r="W624" s="215"/>
      <c r="X624" s="215"/>
      <c r="Y624" s="215"/>
      <c r="Z624" s="215"/>
      <c r="AA624" s="215"/>
      <c r="AB624" s="215"/>
      <c r="AC624" s="215"/>
      <c r="AD624" s="215"/>
      <c r="AE624" s="215"/>
      <c r="AF624" s="215"/>
      <c r="AG624" s="216"/>
      <c r="AJ624" s="214"/>
      <c r="AO624" s="214"/>
      <c r="AQ624" s="214"/>
      <c r="AU624" s="217"/>
      <c r="AV624" s="217"/>
      <c r="AW624" s="217"/>
    </row>
    <row r="625">
      <c r="C625" s="214"/>
      <c r="E625" s="215"/>
      <c r="F625" s="215"/>
      <c r="G625" s="215"/>
      <c r="H625" s="215"/>
      <c r="I625" s="215"/>
      <c r="J625" s="215"/>
      <c r="K625" s="215"/>
      <c r="L625" s="215"/>
      <c r="M625" s="215"/>
      <c r="N625" s="215"/>
      <c r="O625" s="215"/>
      <c r="P625" s="215"/>
      <c r="Q625" s="215"/>
      <c r="R625" s="215"/>
      <c r="S625" s="215"/>
      <c r="T625" s="215"/>
      <c r="U625" s="215"/>
      <c r="V625" s="215"/>
      <c r="W625" s="215"/>
      <c r="X625" s="215"/>
      <c r="Y625" s="215"/>
      <c r="Z625" s="215"/>
      <c r="AA625" s="215"/>
      <c r="AB625" s="215"/>
      <c r="AC625" s="215"/>
      <c r="AD625" s="215"/>
      <c r="AE625" s="215"/>
      <c r="AF625" s="215"/>
      <c r="AG625" s="216"/>
      <c r="AJ625" s="214"/>
      <c r="AO625" s="214"/>
      <c r="AQ625" s="214"/>
      <c r="AU625" s="217"/>
      <c r="AV625" s="217"/>
      <c r="AW625" s="217"/>
    </row>
    <row r="626">
      <c r="C626" s="214"/>
      <c r="E626" s="215"/>
      <c r="F626" s="215"/>
      <c r="G626" s="215"/>
      <c r="H626" s="215"/>
      <c r="I626" s="215"/>
      <c r="J626" s="215"/>
      <c r="K626" s="215"/>
      <c r="L626" s="215"/>
      <c r="M626" s="215"/>
      <c r="N626" s="215"/>
      <c r="O626" s="215"/>
      <c r="P626" s="215"/>
      <c r="Q626" s="215"/>
      <c r="R626" s="215"/>
      <c r="S626" s="215"/>
      <c r="T626" s="215"/>
      <c r="U626" s="215"/>
      <c r="V626" s="215"/>
      <c r="W626" s="215"/>
      <c r="X626" s="215"/>
      <c r="Y626" s="215"/>
      <c r="Z626" s="215"/>
      <c r="AA626" s="215"/>
      <c r="AB626" s="215"/>
      <c r="AC626" s="215"/>
      <c r="AD626" s="215"/>
      <c r="AE626" s="215"/>
      <c r="AF626" s="215"/>
      <c r="AG626" s="216"/>
      <c r="AJ626" s="214"/>
      <c r="AO626" s="214"/>
      <c r="AQ626" s="214"/>
      <c r="AU626" s="217"/>
      <c r="AV626" s="217"/>
      <c r="AW626" s="217"/>
    </row>
    <row r="627">
      <c r="C627" s="214"/>
      <c r="E627" s="215"/>
      <c r="F627" s="215"/>
      <c r="G627" s="215"/>
      <c r="H627" s="215"/>
      <c r="I627" s="215"/>
      <c r="J627" s="215"/>
      <c r="K627" s="215"/>
      <c r="L627" s="215"/>
      <c r="M627" s="215"/>
      <c r="N627" s="215"/>
      <c r="O627" s="215"/>
      <c r="P627" s="215"/>
      <c r="Q627" s="215"/>
      <c r="R627" s="215"/>
      <c r="S627" s="215"/>
      <c r="T627" s="215"/>
      <c r="U627" s="215"/>
      <c r="V627" s="215"/>
      <c r="W627" s="215"/>
      <c r="X627" s="215"/>
      <c r="Y627" s="215"/>
      <c r="Z627" s="215"/>
      <c r="AA627" s="215"/>
      <c r="AB627" s="215"/>
      <c r="AC627" s="215"/>
      <c r="AD627" s="215"/>
      <c r="AE627" s="215"/>
      <c r="AF627" s="215"/>
      <c r="AG627" s="216"/>
      <c r="AJ627" s="214"/>
      <c r="AO627" s="214"/>
      <c r="AQ627" s="214"/>
      <c r="AU627" s="217"/>
      <c r="AV627" s="217"/>
      <c r="AW627" s="217"/>
    </row>
    <row r="628">
      <c r="C628" s="214"/>
      <c r="E628" s="215"/>
      <c r="F628" s="215"/>
      <c r="G628" s="215"/>
      <c r="H628" s="215"/>
      <c r="I628" s="215"/>
      <c r="J628" s="215"/>
      <c r="K628" s="215"/>
      <c r="L628" s="215"/>
      <c r="M628" s="215"/>
      <c r="N628" s="215"/>
      <c r="O628" s="215"/>
      <c r="P628" s="215"/>
      <c r="Q628" s="215"/>
      <c r="R628" s="215"/>
      <c r="S628" s="215"/>
      <c r="T628" s="215"/>
      <c r="U628" s="215"/>
      <c r="V628" s="215"/>
      <c r="W628" s="215"/>
      <c r="X628" s="215"/>
      <c r="Y628" s="215"/>
      <c r="Z628" s="215"/>
      <c r="AA628" s="215"/>
      <c r="AB628" s="215"/>
      <c r="AC628" s="215"/>
      <c r="AD628" s="215"/>
      <c r="AE628" s="215"/>
      <c r="AF628" s="215"/>
      <c r="AG628" s="216"/>
      <c r="AJ628" s="214"/>
      <c r="AO628" s="214"/>
      <c r="AQ628" s="214"/>
      <c r="AU628" s="217"/>
      <c r="AV628" s="217"/>
      <c r="AW628" s="217"/>
    </row>
    <row r="629">
      <c r="C629" s="214"/>
      <c r="E629" s="215"/>
      <c r="F629" s="215"/>
      <c r="G629" s="215"/>
      <c r="H629" s="215"/>
      <c r="I629" s="215"/>
      <c r="J629" s="215"/>
      <c r="K629" s="215"/>
      <c r="L629" s="215"/>
      <c r="M629" s="215"/>
      <c r="N629" s="215"/>
      <c r="O629" s="215"/>
      <c r="P629" s="215"/>
      <c r="Q629" s="215"/>
      <c r="R629" s="215"/>
      <c r="S629" s="215"/>
      <c r="T629" s="215"/>
      <c r="U629" s="215"/>
      <c r="V629" s="215"/>
      <c r="W629" s="215"/>
      <c r="X629" s="215"/>
      <c r="Y629" s="215"/>
      <c r="Z629" s="215"/>
      <c r="AA629" s="215"/>
      <c r="AB629" s="215"/>
      <c r="AC629" s="215"/>
      <c r="AD629" s="215"/>
      <c r="AE629" s="215"/>
      <c r="AF629" s="215"/>
      <c r="AG629" s="216"/>
      <c r="AJ629" s="214"/>
      <c r="AO629" s="214"/>
      <c r="AQ629" s="214"/>
      <c r="AU629" s="217"/>
      <c r="AV629" s="217"/>
      <c r="AW629" s="217"/>
    </row>
    <row r="630">
      <c r="C630" s="214"/>
      <c r="E630" s="215"/>
      <c r="F630" s="215"/>
      <c r="G630" s="215"/>
      <c r="H630" s="215"/>
      <c r="I630" s="215"/>
      <c r="J630" s="215"/>
      <c r="K630" s="215"/>
      <c r="L630" s="215"/>
      <c r="M630" s="215"/>
      <c r="N630" s="215"/>
      <c r="O630" s="215"/>
      <c r="P630" s="215"/>
      <c r="Q630" s="215"/>
      <c r="R630" s="215"/>
      <c r="S630" s="215"/>
      <c r="T630" s="215"/>
      <c r="U630" s="215"/>
      <c r="V630" s="215"/>
      <c r="W630" s="215"/>
      <c r="X630" s="215"/>
      <c r="Y630" s="215"/>
      <c r="Z630" s="215"/>
      <c r="AA630" s="215"/>
      <c r="AB630" s="215"/>
      <c r="AC630" s="215"/>
      <c r="AD630" s="215"/>
      <c r="AE630" s="215"/>
      <c r="AF630" s="215"/>
      <c r="AG630" s="216"/>
      <c r="AJ630" s="214"/>
      <c r="AO630" s="214"/>
      <c r="AQ630" s="214"/>
      <c r="AU630" s="217"/>
      <c r="AV630" s="217"/>
      <c r="AW630" s="217"/>
    </row>
    <row r="631">
      <c r="C631" s="214"/>
      <c r="E631" s="215"/>
      <c r="F631" s="215"/>
      <c r="G631" s="215"/>
      <c r="H631" s="215"/>
      <c r="I631" s="215"/>
      <c r="J631" s="215"/>
      <c r="K631" s="215"/>
      <c r="L631" s="215"/>
      <c r="M631" s="215"/>
      <c r="N631" s="215"/>
      <c r="O631" s="215"/>
      <c r="P631" s="215"/>
      <c r="Q631" s="215"/>
      <c r="R631" s="215"/>
      <c r="S631" s="215"/>
      <c r="T631" s="215"/>
      <c r="U631" s="215"/>
      <c r="V631" s="215"/>
      <c r="W631" s="215"/>
      <c r="X631" s="215"/>
      <c r="Y631" s="215"/>
      <c r="Z631" s="215"/>
      <c r="AA631" s="215"/>
      <c r="AB631" s="215"/>
      <c r="AC631" s="215"/>
      <c r="AD631" s="215"/>
      <c r="AE631" s="215"/>
      <c r="AF631" s="215"/>
      <c r="AG631" s="216"/>
      <c r="AJ631" s="214"/>
      <c r="AO631" s="214"/>
      <c r="AQ631" s="214"/>
      <c r="AU631" s="217"/>
      <c r="AV631" s="217"/>
      <c r="AW631" s="217"/>
    </row>
    <row r="632">
      <c r="C632" s="214"/>
      <c r="E632" s="215"/>
      <c r="F632" s="215"/>
      <c r="G632" s="215"/>
      <c r="H632" s="215"/>
      <c r="I632" s="215"/>
      <c r="J632" s="215"/>
      <c r="K632" s="215"/>
      <c r="L632" s="215"/>
      <c r="M632" s="215"/>
      <c r="N632" s="215"/>
      <c r="O632" s="215"/>
      <c r="P632" s="215"/>
      <c r="Q632" s="215"/>
      <c r="R632" s="215"/>
      <c r="S632" s="215"/>
      <c r="T632" s="215"/>
      <c r="U632" s="215"/>
      <c r="V632" s="215"/>
      <c r="W632" s="215"/>
      <c r="X632" s="215"/>
      <c r="Y632" s="215"/>
      <c r="Z632" s="215"/>
      <c r="AA632" s="215"/>
      <c r="AB632" s="215"/>
      <c r="AC632" s="215"/>
      <c r="AD632" s="215"/>
      <c r="AE632" s="215"/>
      <c r="AF632" s="215"/>
      <c r="AG632" s="216"/>
      <c r="AJ632" s="214"/>
      <c r="AO632" s="214"/>
      <c r="AQ632" s="214"/>
      <c r="AU632" s="217"/>
      <c r="AV632" s="217"/>
      <c r="AW632" s="217"/>
    </row>
    <row r="633">
      <c r="C633" s="214"/>
      <c r="E633" s="215"/>
      <c r="F633" s="215"/>
      <c r="G633" s="215"/>
      <c r="H633" s="215"/>
      <c r="I633" s="215"/>
      <c r="J633" s="215"/>
      <c r="K633" s="215"/>
      <c r="L633" s="215"/>
      <c r="M633" s="215"/>
      <c r="N633" s="215"/>
      <c r="O633" s="215"/>
      <c r="P633" s="215"/>
      <c r="Q633" s="215"/>
      <c r="R633" s="215"/>
      <c r="S633" s="215"/>
      <c r="T633" s="215"/>
      <c r="U633" s="215"/>
      <c r="V633" s="215"/>
      <c r="W633" s="215"/>
      <c r="X633" s="215"/>
      <c r="Y633" s="215"/>
      <c r="Z633" s="215"/>
      <c r="AA633" s="215"/>
      <c r="AB633" s="215"/>
      <c r="AC633" s="215"/>
      <c r="AD633" s="215"/>
      <c r="AE633" s="215"/>
      <c r="AF633" s="215"/>
      <c r="AG633" s="216"/>
      <c r="AJ633" s="214"/>
      <c r="AO633" s="214"/>
      <c r="AQ633" s="214"/>
      <c r="AU633" s="217"/>
      <c r="AV633" s="217"/>
      <c r="AW633" s="217"/>
    </row>
    <row r="634">
      <c r="C634" s="214"/>
      <c r="E634" s="215"/>
      <c r="F634" s="215"/>
      <c r="G634" s="215"/>
      <c r="H634" s="215"/>
      <c r="I634" s="215"/>
      <c r="J634" s="215"/>
      <c r="K634" s="215"/>
      <c r="L634" s="215"/>
      <c r="M634" s="215"/>
      <c r="N634" s="215"/>
      <c r="O634" s="215"/>
      <c r="P634" s="215"/>
      <c r="Q634" s="215"/>
      <c r="R634" s="215"/>
      <c r="S634" s="215"/>
      <c r="T634" s="215"/>
      <c r="U634" s="215"/>
      <c r="V634" s="215"/>
      <c r="W634" s="215"/>
      <c r="X634" s="215"/>
      <c r="Y634" s="215"/>
      <c r="Z634" s="215"/>
      <c r="AA634" s="215"/>
      <c r="AB634" s="215"/>
      <c r="AC634" s="215"/>
      <c r="AD634" s="215"/>
      <c r="AE634" s="215"/>
      <c r="AF634" s="215"/>
      <c r="AG634" s="216"/>
      <c r="AJ634" s="214"/>
      <c r="AO634" s="214"/>
      <c r="AQ634" s="214"/>
      <c r="AU634" s="217"/>
      <c r="AV634" s="217"/>
      <c r="AW634" s="217"/>
    </row>
    <row r="635">
      <c r="C635" s="214"/>
      <c r="E635" s="215"/>
      <c r="F635" s="215"/>
      <c r="G635" s="215"/>
      <c r="H635" s="215"/>
      <c r="I635" s="215"/>
      <c r="J635" s="215"/>
      <c r="K635" s="215"/>
      <c r="L635" s="215"/>
      <c r="M635" s="215"/>
      <c r="N635" s="215"/>
      <c r="O635" s="215"/>
      <c r="P635" s="215"/>
      <c r="Q635" s="215"/>
      <c r="R635" s="215"/>
      <c r="S635" s="215"/>
      <c r="T635" s="215"/>
      <c r="U635" s="215"/>
      <c r="V635" s="215"/>
      <c r="W635" s="215"/>
      <c r="X635" s="215"/>
      <c r="Y635" s="215"/>
      <c r="Z635" s="215"/>
      <c r="AA635" s="215"/>
      <c r="AB635" s="215"/>
      <c r="AC635" s="215"/>
      <c r="AD635" s="215"/>
      <c r="AE635" s="215"/>
      <c r="AF635" s="215"/>
      <c r="AG635" s="216"/>
      <c r="AJ635" s="214"/>
      <c r="AO635" s="214"/>
      <c r="AQ635" s="214"/>
      <c r="AU635" s="217"/>
      <c r="AV635" s="217"/>
      <c r="AW635" s="217"/>
    </row>
    <row r="636">
      <c r="C636" s="214"/>
      <c r="E636" s="215"/>
      <c r="F636" s="215"/>
      <c r="G636" s="215"/>
      <c r="H636" s="215"/>
      <c r="I636" s="215"/>
      <c r="J636" s="215"/>
      <c r="K636" s="215"/>
      <c r="L636" s="215"/>
      <c r="M636" s="215"/>
      <c r="N636" s="215"/>
      <c r="O636" s="215"/>
      <c r="P636" s="215"/>
      <c r="Q636" s="215"/>
      <c r="R636" s="215"/>
      <c r="S636" s="215"/>
      <c r="T636" s="215"/>
      <c r="U636" s="215"/>
      <c r="V636" s="215"/>
      <c r="W636" s="215"/>
      <c r="X636" s="215"/>
      <c r="Y636" s="215"/>
      <c r="Z636" s="215"/>
      <c r="AA636" s="215"/>
      <c r="AB636" s="215"/>
      <c r="AC636" s="215"/>
      <c r="AD636" s="215"/>
      <c r="AE636" s="215"/>
      <c r="AF636" s="215"/>
      <c r="AG636" s="216"/>
      <c r="AJ636" s="214"/>
      <c r="AO636" s="214"/>
      <c r="AQ636" s="214"/>
      <c r="AU636" s="217"/>
      <c r="AV636" s="217"/>
      <c r="AW636" s="217"/>
    </row>
    <row r="637">
      <c r="C637" s="214"/>
      <c r="E637" s="215"/>
      <c r="F637" s="215"/>
      <c r="G637" s="215"/>
      <c r="H637" s="215"/>
      <c r="I637" s="215"/>
      <c r="J637" s="215"/>
      <c r="K637" s="215"/>
      <c r="L637" s="215"/>
      <c r="M637" s="215"/>
      <c r="N637" s="215"/>
      <c r="O637" s="215"/>
      <c r="P637" s="215"/>
      <c r="Q637" s="215"/>
      <c r="R637" s="215"/>
      <c r="S637" s="215"/>
      <c r="T637" s="215"/>
      <c r="U637" s="215"/>
      <c r="V637" s="215"/>
      <c r="W637" s="215"/>
      <c r="X637" s="215"/>
      <c r="Y637" s="215"/>
      <c r="Z637" s="215"/>
      <c r="AA637" s="215"/>
      <c r="AB637" s="215"/>
      <c r="AC637" s="215"/>
      <c r="AD637" s="215"/>
      <c r="AE637" s="215"/>
      <c r="AF637" s="215"/>
      <c r="AG637" s="216"/>
      <c r="AJ637" s="214"/>
      <c r="AO637" s="214"/>
      <c r="AQ637" s="214"/>
      <c r="AU637" s="217"/>
      <c r="AV637" s="217"/>
      <c r="AW637" s="217"/>
    </row>
    <row r="638">
      <c r="C638" s="214"/>
      <c r="E638" s="215"/>
      <c r="F638" s="215"/>
      <c r="G638" s="215"/>
      <c r="H638" s="215"/>
      <c r="I638" s="215"/>
      <c r="J638" s="215"/>
      <c r="K638" s="215"/>
      <c r="L638" s="215"/>
      <c r="M638" s="215"/>
      <c r="N638" s="215"/>
      <c r="O638" s="215"/>
      <c r="P638" s="215"/>
      <c r="Q638" s="215"/>
      <c r="R638" s="215"/>
      <c r="S638" s="215"/>
      <c r="T638" s="215"/>
      <c r="U638" s="215"/>
      <c r="V638" s="215"/>
      <c r="W638" s="215"/>
      <c r="X638" s="215"/>
      <c r="Y638" s="215"/>
      <c r="Z638" s="215"/>
      <c r="AA638" s="215"/>
      <c r="AB638" s="215"/>
      <c r="AC638" s="215"/>
      <c r="AD638" s="215"/>
      <c r="AE638" s="215"/>
      <c r="AF638" s="215"/>
      <c r="AG638" s="216"/>
      <c r="AJ638" s="214"/>
      <c r="AO638" s="214"/>
      <c r="AQ638" s="214"/>
      <c r="AU638" s="217"/>
      <c r="AV638" s="217"/>
      <c r="AW638" s="217"/>
    </row>
    <row r="639">
      <c r="C639" s="214"/>
      <c r="E639" s="215"/>
      <c r="F639" s="215"/>
      <c r="G639" s="215"/>
      <c r="H639" s="215"/>
      <c r="I639" s="215"/>
      <c r="J639" s="215"/>
      <c r="K639" s="215"/>
      <c r="L639" s="215"/>
      <c r="M639" s="215"/>
      <c r="N639" s="215"/>
      <c r="O639" s="215"/>
      <c r="P639" s="215"/>
      <c r="Q639" s="215"/>
      <c r="R639" s="215"/>
      <c r="S639" s="215"/>
      <c r="T639" s="215"/>
      <c r="U639" s="215"/>
      <c r="V639" s="215"/>
      <c r="W639" s="215"/>
      <c r="X639" s="215"/>
      <c r="Y639" s="215"/>
      <c r="Z639" s="215"/>
      <c r="AA639" s="215"/>
      <c r="AB639" s="215"/>
      <c r="AC639" s="215"/>
      <c r="AD639" s="215"/>
      <c r="AE639" s="215"/>
      <c r="AF639" s="215"/>
      <c r="AG639" s="216"/>
      <c r="AJ639" s="214"/>
      <c r="AO639" s="214"/>
      <c r="AQ639" s="214"/>
      <c r="AU639" s="217"/>
      <c r="AV639" s="217"/>
      <c r="AW639" s="217"/>
    </row>
    <row r="640">
      <c r="C640" s="214"/>
      <c r="E640" s="215"/>
      <c r="F640" s="215"/>
      <c r="G640" s="215"/>
      <c r="H640" s="215"/>
      <c r="I640" s="215"/>
      <c r="J640" s="215"/>
      <c r="K640" s="215"/>
      <c r="L640" s="215"/>
      <c r="M640" s="215"/>
      <c r="N640" s="215"/>
      <c r="O640" s="215"/>
      <c r="P640" s="215"/>
      <c r="Q640" s="215"/>
      <c r="R640" s="215"/>
      <c r="S640" s="215"/>
      <c r="T640" s="215"/>
      <c r="U640" s="215"/>
      <c r="V640" s="215"/>
      <c r="W640" s="215"/>
      <c r="X640" s="215"/>
      <c r="Y640" s="215"/>
      <c r="Z640" s="215"/>
      <c r="AA640" s="215"/>
      <c r="AB640" s="215"/>
      <c r="AC640" s="215"/>
      <c r="AD640" s="215"/>
      <c r="AE640" s="215"/>
      <c r="AF640" s="215"/>
      <c r="AG640" s="216"/>
      <c r="AJ640" s="214"/>
      <c r="AO640" s="214"/>
      <c r="AQ640" s="214"/>
      <c r="AU640" s="217"/>
      <c r="AV640" s="217"/>
      <c r="AW640" s="217"/>
    </row>
    <row r="641">
      <c r="C641" s="214"/>
      <c r="E641" s="215"/>
      <c r="F641" s="215"/>
      <c r="G641" s="215"/>
      <c r="H641" s="215"/>
      <c r="I641" s="215"/>
      <c r="J641" s="215"/>
      <c r="K641" s="215"/>
      <c r="L641" s="215"/>
      <c r="M641" s="215"/>
      <c r="N641" s="215"/>
      <c r="O641" s="215"/>
      <c r="P641" s="215"/>
      <c r="Q641" s="215"/>
      <c r="R641" s="215"/>
      <c r="S641" s="215"/>
      <c r="T641" s="215"/>
      <c r="U641" s="215"/>
      <c r="V641" s="215"/>
      <c r="W641" s="215"/>
      <c r="X641" s="215"/>
      <c r="Y641" s="215"/>
      <c r="Z641" s="215"/>
      <c r="AA641" s="215"/>
      <c r="AB641" s="215"/>
      <c r="AC641" s="215"/>
      <c r="AD641" s="215"/>
      <c r="AE641" s="215"/>
      <c r="AF641" s="215"/>
      <c r="AG641" s="216"/>
      <c r="AJ641" s="214"/>
      <c r="AO641" s="214"/>
      <c r="AQ641" s="214"/>
      <c r="AU641" s="217"/>
      <c r="AV641" s="217"/>
      <c r="AW641" s="217"/>
    </row>
    <row r="642">
      <c r="C642" s="214"/>
      <c r="E642" s="215"/>
      <c r="F642" s="215"/>
      <c r="G642" s="215"/>
      <c r="H642" s="215"/>
      <c r="I642" s="215"/>
      <c r="J642" s="215"/>
      <c r="K642" s="215"/>
      <c r="L642" s="215"/>
      <c r="M642" s="215"/>
      <c r="N642" s="215"/>
      <c r="O642" s="215"/>
      <c r="P642" s="215"/>
      <c r="Q642" s="215"/>
      <c r="R642" s="215"/>
      <c r="S642" s="215"/>
      <c r="T642" s="215"/>
      <c r="U642" s="215"/>
      <c r="V642" s="215"/>
      <c r="W642" s="215"/>
      <c r="X642" s="215"/>
      <c r="Y642" s="215"/>
      <c r="Z642" s="215"/>
      <c r="AA642" s="215"/>
      <c r="AB642" s="215"/>
      <c r="AC642" s="215"/>
      <c r="AD642" s="215"/>
      <c r="AE642" s="215"/>
      <c r="AF642" s="215"/>
      <c r="AG642" s="216"/>
      <c r="AJ642" s="214"/>
      <c r="AO642" s="214"/>
      <c r="AQ642" s="214"/>
      <c r="AU642" s="217"/>
      <c r="AV642" s="217"/>
      <c r="AW642" s="217"/>
    </row>
    <row r="643">
      <c r="C643" s="214"/>
      <c r="E643" s="215"/>
      <c r="F643" s="215"/>
      <c r="G643" s="215"/>
      <c r="H643" s="215"/>
      <c r="I643" s="215"/>
      <c r="J643" s="215"/>
      <c r="K643" s="215"/>
      <c r="L643" s="215"/>
      <c r="M643" s="215"/>
      <c r="N643" s="215"/>
      <c r="O643" s="215"/>
      <c r="P643" s="215"/>
      <c r="Q643" s="215"/>
      <c r="R643" s="215"/>
      <c r="S643" s="215"/>
      <c r="T643" s="215"/>
      <c r="U643" s="215"/>
      <c r="V643" s="215"/>
      <c r="W643" s="215"/>
      <c r="X643" s="215"/>
      <c r="Y643" s="215"/>
      <c r="Z643" s="215"/>
      <c r="AA643" s="215"/>
      <c r="AB643" s="215"/>
      <c r="AC643" s="215"/>
      <c r="AD643" s="215"/>
      <c r="AE643" s="215"/>
      <c r="AF643" s="215"/>
      <c r="AG643" s="216"/>
      <c r="AJ643" s="214"/>
      <c r="AO643" s="214"/>
      <c r="AQ643" s="214"/>
      <c r="AU643" s="217"/>
      <c r="AV643" s="217"/>
      <c r="AW643" s="217"/>
    </row>
    <row r="644">
      <c r="C644" s="214"/>
      <c r="E644" s="215"/>
      <c r="F644" s="215"/>
      <c r="G644" s="215"/>
      <c r="H644" s="215"/>
      <c r="I644" s="215"/>
      <c r="J644" s="215"/>
      <c r="K644" s="215"/>
      <c r="L644" s="215"/>
      <c r="M644" s="215"/>
      <c r="N644" s="215"/>
      <c r="O644" s="215"/>
      <c r="P644" s="215"/>
      <c r="Q644" s="215"/>
      <c r="R644" s="215"/>
      <c r="S644" s="215"/>
      <c r="T644" s="215"/>
      <c r="U644" s="215"/>
      <c r="V644" s="215"/>
      <c r="W644" s="215"/>
      <c r="X644" s="215"/>
      <c r="Y644" s="215"/>
      <c r="Z644" s="215"/>
      <c r="AA644" s="215"/>
      <c r="AB644" s="215"/>
      <c r="AC644" s="215"/>
      <c r="AD644" s="215"/>
      <c r="AE644" s="215"/>
      <c r="AF644" s="215"/>
      <c r="AG644" s="216"/>
      <c r="AJ644" s="214"/>
      <c r="AO644" s="214"/>
      <c r="AQ644" s="214"/>
      <c r="AU644" s="217"/>
      <c r="AV644" s="217"/>
      <c r="AW644" s="217"/>
    </row>
    <row r="645">
      <c r="C645" s="214"/>
      <c r="E645" s="215"/>
      <c r="F645" s="215"/>
      <c r="G645" s="215"/>
      <c r="H645" s="215"/>
      <c r="I645" s="215"/>
      <c r="J645" s="215"/>
      <c r="K645" s="215"/>
      <c r="L645" s="215"/>
      <c r="M645" s="215"/>
      <c r="N645" s="215"/>
      <c r="O645" s="215"/>
      <c r="P645" s="215"/>
      <c r="Q645" s="215"/>
      <c r="R645" s="215"/>
      <c r="S645" s="215"/>
      <c r="T645" s="215"/>
      <c r="U645" s="215"/>
      <c r="V645" s="215"/>
      <c r="W645" s="215"/>
      <c r="X645" s="215"/>
      <c r="Y645" s="215"/>
      <c r="Z645" s="215"/>
      <c r="AA645" s="215"/>
      <c r="AB645" s="215"/>
      <c r="AC645" s="215"/>
      <c r="AD645" s="215"/>
      <c r="AE645" s="215"/>
      <c r="AF645" s="215"/>
      <c r="AG645" s="216"/>
      <c r="AJ645" s="214"/>
      <c r="AO645" s="214"/>
      <c r="AQ645" s="214"/>
      <c r="AU645" s="217"/>
      <c r="AV645" s="217"/>
      <c r="AW645" s="217"/>
    </row>
    <row r="646">
      <c r="C646" s="214"/>
      <c r="E646" s="215"/>
      <c r="F646" s="215"/>
      <c r="G646" s="215"/>
      <c r="H646" s="215"/>
      <c r="I646" s="215"/>
      <c r="J646" s="215"/>
      <c r="K646" s="215"/>
      <c r="L646" s="215"/>
      <c r="M646" s="215"/>
      <c r="N646" s="215"/>
      <c r="O646" s="215"/>
      <c r="P646" s="215"/>
      <c r="Q646" s="215"/>
      <c r="R646" s="215"/>
      <c r="S646" s="215"/>
      <c r="T646" s="215"/>
      <c r="U646" s="215"/>
      <c r="V646" s="215"/>
      <c r="W646" s="215"/>
      <c r="X646" s="215"/>
      <c r="Y646" s="215"/>
      <c r="Z646" s="215"/>
      <c r="AA646" s="215"/>
      <c r="AB646" s="215"/>
      <c r="AC646" s="215"/>
      <c r="AD646" s="215"/>
      <c r="AE646" s="215"/>
      <c r="AF646" s="215"/>
      <c r="AG646" s="216"/>
      <c r="AJ646" s="214"/>
      <c r="AO646" s="214"/>
      <c r="AQ646" s="214"/>
      <c r="AU646" s="217"/>
      <c r="AV646" s="217"/>
      <c r="AW646" s="217"/>
    </row>
    <row r="647">
      <c r="C647" s="214"/>
      <c r="E647" s="215"/>
      <c r="F647" s="215"/>
      <c r="G647" s="215"/>
      <c r="H647" s="215"/>
      <c r="I647" s="215"/>
      <c r="J647" s="215"/>
      <c r="K647" s="215"/>
      <c r="L647" s="215"/>
      <c r="M647" s="215"/>
      <c r="N647" s="215"/>
      <c r="O647" s="215"/>
      <c r="P647" s="215"/>
      <c r="Q647" s="215"/>
      <c r="R647" s="215"/>
      <c r="S647" s="215"/>
      <c r="T647" s="215"/>
      <c r="U647" s="215"/>
      <c r="V647" s="215"/>
      <c r="W647" s="215"/>
      <c r="X647" s="215"/>
      <c r="Y647" s="215"/>
      <c r="Z647" s="215"/>
      <c r="AA647" s="215"/>
      <c r="AB647" s="215"/>
      <c r="AC647" s="215"/>
      <c r="AD647" s="215"/>
      <c r="AE647" s="215"/>
      <c r="AF647" s="215"/>
      <c r="AG647" s="216"/>
      <c r="AJ647" s="214"/>
      <c r="AO647" s="214"/>
      <c r="AQ647" s="214"/>
      <c r="AU647" s="217"/>
      <c r="AV647" s="217"/>
      <c r="AW647" s="217"/>
    </row>
    <row r="648">
      <c r="C648" s="214"/>
      <c r="E648" s="215"/>
      <c r="F648" s="215"/>
      <c r="G648" s="215"/>
      <c r="H648" s="215"/>
      <c r="I648" s="215"/>
      <c r="J648" s="215"/>
      <c r="K648" s="215"/>
      <c r="L648" s="215"/>
      <c r="M648" s="215"/>
      <c r="N648" s="215"/>
      <c r="O648" s="215"/>
      <c r="P648" s="215"/>
      <c r="Q648" s="215"/>
      <c r="R648" s="215"/>
      <c r="S648" s="215"/>
      <c r="T648" s="215"/>
      <c r="U648" s="215"/>
      <c r="V648" s="215"/>
      <c r="W648" s="215"/>
      <c r="X648" s="215"/>
      <c r="Y648" s="215"/>
      <c r="Z648" s="215"/>
      <c r="AA648" s="215"/>
      <c r="AB648" s="215"/>
      <c r="AC648" s="215"/>
      <c r="AD648" s="215"/>
      <c r="AE648" s="215"/>
      <c r="AF648" s="215"/>
      <c r="AG648" s="216"/>
      <c r="AJ648" s="214"/>
      <c r="AO648" s="214"/>
      <c r="AQ648" s="214"/>
      <c r="AU648" s="217"/>
      <c r="AV648" s="217"/>
      <c r="AW648" s="217"/>
    </row>
    <row r="649">
      <c r="C649" s="214"/>
      <c r="E649" s="215"/>
      <c r="F649" s="215"/>
      <c r="G649" s="215"/>
      <c r="H649" s="215"/>
      <c r="I649" s="215"/>
      <c r="J649" s="215"/>
      <c r="K649" s="215"/>
      <c r="L649" s="215"/>
      <c r="M649" s="215"/>
      <c r="N649" s="215"/>
      <c r="O649" s="215"/>
      <c r="P649" s="215"/>
      <c r="Q649" s="215"/>
      <c r="R649" s="215"/>
      <c r="S649" s="215"/>
      <c r="T649" s="215"/>
      <c r="U649" s="215"/>
      <c r="V649" s="215"/>
      <c r="W649" s="215"/>
      <c r="X649" s="215"/>
      <c r="Y649" s="215"/>
      <c r="Z649" s="215"/>
      <c r="AA649" s="215"/>
      <c r="AB649" s="215"/>
      <c r="AC649" s="215"/>
      <c r="AD649" s="215"/>
      <c r="AE649" s="215"/>
      <c r="AF649" s="215"/>
      <c r="AG649" s="216"/>
      <c r="AJ649" s="214"/>
      <c r="AO649" s="214"/>
      <c r="AQ649" s="214"/>
      <c r="AU649" s="217"/>
      <c r="AV649" s="217"/>
      <c r="AW649" s="217"/>
    </row>
    <row r="650">
      <c r="C650" s="214"/>
      <c r="E650" s="215"/>
      <c r="F650" s="215"/>
      <c r="G650" s="215"/>
      <c r="H650" s="215"/>
      <c r="I650" s="215"/>
      <c r="J650" s="215"/>
      <c r="K650" s="215"/>
      <c r="L650" s="215"/>
      <c r="M650" s="215"/>
      <c r="N650" s="215"/>
      <c r="O650" s="215"/>
      <c r="P650" s="215"/>
      <c r="Q650" s="215"/>
      <c r="R650" s="215"/>
      <c r="S650" s="215"/>
      <c r="T650" s="215"/>
      <c r="U650" s="215"/>
      <c r="V650" s="215"/>
      <c r="W650" s="215"/>
      <c r="X650" s="215"/>
      <c r="Y650" s="215"/>
      <c r="Z650" s="215"/>
      <c r="AA650" s="215"/>
      <c r="AB650" s="215"/>
      <c r="AC650" s="215"/>
      <c r="AD650" s="215"/>
      <c r="AE650" s="215"/>
      <c r="AF650" s="215"/>
      <c r="AG650" s="216"/>
      <c r="AJ650" s="214"/>
      <c r="AO650" s="214"/>
      <c r="AQ650" s="214"/>
      <c r="AU650" s="217"/>
      <c r="AV650" s="217"/>
      <c r="AW650" s="217"/>
    </row>
    <row r="651">
      <c r="C651" s="214"/>
      <c r="E651" s="215"/>
      <c r="F651" s="215"/>
      <c r="G651" s="215"/>
      <c r="H651" s="215"/>
      <c r="I651" s="215"/>
      <c r="J651" s="215"/>
      <c r="K651" s="215"/>
      <c r="L651" s="215"/>
      <c r="M651" s="215"/>
      <c r="N651" s="215"/>
      <c r="O651" s="215"/>
      <c r="P651" s="215"/>
      <c r="Q651" s="215"/>
      <c r="R651" s="215"/>
      <c r="S651" s="215"/>
      <c r="T651" s="215"/>
      <c r="U651" s="215"/>
      <c r="V651" s="215"/>
      <c r="W651" s="215"/>
      <c r="X651" s="215"/>
      <c r="Y651" s="215"/>
      <c r="Z651" s="215"/>
      <c r="AA651" s="215"/>
      <c r="AB651" s="215"/>
      <c r="AC651" s="215"/>
      <c r="AD651" s="215"/>
      <c r="AE651" s="215"/>
      <c r="AF651" s="215"/>
      <c r="AG651" s="216"/>
      <c r="AJ651" s="214"/>
      <c r="AO651" s="214"/>
      <c r="AQ651" s="214"/>
      <c r="AU651" s="217"/>
      <c r="AV651" s="217"/>
      <c r="AW651" s="217"/>
    </row>
    <row r="652">
      <c r="C652" s="214"/>
      <c r="E652" s="215"/>
      <c r="F652" s="215"/>
      <c r="G652" s="215"/>
      <c r="H652" s="215"/>
      <c r="I652" s="215"/>
      <c r="J652" s="215"/>
      <c r="K652" s="215"/>
      <c r="L652" s="215"/>
      <c r="M652" s="215"/>
      <c r="N652" s="215"/>
      <c r="O652" s="215"/>
      <c r="P652" s="215"/>
      <c r="Q652" s="215"/>
      <c r="R652" s="215"/>
      <c r="S652" s="215"/>
      <c r="T652" s="215"/>
      <c r="U652" s="215"/>
      <c r="V652" s="215"/>
      <c r="W652" s="215"/>
      <c r="X652" s="215"/>
      <c r="Y652" s="215"/>
      <c r="Z652" s="215"/>
      <c r="AA652" s="215"/>
      <c r="AB652" s="215"/>
      <c r="AC652" s="215"/>
      <c r="AD652" s="215"/>
      <c r="AE652" s="215"/>
      <c r="AF652" s="215"/>
      <c r="AG652" s="216"/>
      <c r="AJ652" s="214"/>
      <c r="AO652" s="214"/>
      <c r="AQ652" s="214"/>
      <c r="AU652" s="217"/>
      <c r="AV652" s="217"/>
      <c r="AW652" s="217"/>
    </row>
    <row r="653">
      <c r="C653" s="214"/>
      <c r="E653" s="215"/>
      <c r="F653" s="215"/>
      <c r="G653" s="215"/>
      <c r="H653" s="215"/>
      <c r="I653" s="215"/>
      <c r="J653" s="215"/>
      <c r="K653" s="215"/>
      <c r="L653" s="215"/>
      <c r="M653" s="215"/>
      <c r="N653" s="215"/>
      <c r="O653" s="215"/>
      <c r="P653" s="215"/>
      <c r="Q653" s="215"/>
      <c r="R653" s="215"/>
      <c r="S653" s="215"/>
      <c r="T653" s="215"/>
      <c r="U653" s="215"/>
      <c r="V653" s="215"/>
      <c r="W653" s="215"/>
      <c r="X653" s="215"/>
      <c r="Y653" s="215"/>
      <c r="Z653" s="215"/>
      <c r="AA653" s="215"/>
      <c r="AB653" s="215"/>
      <c r="AC653" s="215"/>
      <c r="AD653" s="215"/>
      <c r="AE653" s="215"/>
      <c r="AF653" s="215"/>
      <c r="AG653" s="216"/>
      <c r="AJ653" s="214"/>
      <c r="AO653" s="214"/>
      <c r="AQ653" s="214"/>
      <c r="AU653" s="217"/>
      <c r="AV653" s="217"/>
      <c r="AW653" s="217"/>
    </row>
    <row r="654">
      <c r="C654" s="214"/>
      <c r="E654" s="215"/>
      <c r="F654" s="215"/>
      <c r="G654" s="215"/>
      <c r="H654" s="215"/>
      <c r="I654" s="215"/>
      <c r="J654" s="215"/>
      <c r="K654" s="215"/>
      <c r="L654" s="215"/>
      <c r="M654" s="215"/>
      <c r="N654" s="215"/>
      <c r="O654" s="215"/>
      <c r="P654" s="215"/>
      <c r="Q654" s="215"/>
      <c r="R654" s="215"/>
      <c r="S654" s="215"/>
      <c r="T654" s="215"/>
      <c r="U654" s="215"/>
      <c r="V654" s="215"/>
      <c r="W654" s="215"/>
      <c r="X654" s="215"/>
      <c r="Y654" s="215"/>
      <c r="Z654" s="215"/>
      <c r="AA654" s="215"/>
      <c r="AB654" s="215"/>
      <c r="AC654" s="215"/>
      <c r="AD654" s="215"/>
      <c r="AE654" s="215"/>
      <c r="AF654" s="215"/>
      <c r="AG654" s="216"/>
      <c r="AJ654" s="214"/>
      <c r="AO654" s="214"/>
      <c r="AQ654" s="214"/>
      <c r="AU654" s="217"/>
      <c r="AV654" s="217"/>
      <c r="AW654" s="217"/>
    </row>
    <row r="655">
      <c r="C655" s="214"/>
      <c r="E655" s="215"/>
      <c r="F655" s="215"/>
      <c r="G655" s="215"/>
      <c r="H655" s="215"/>
      <c r="I655" s="215"/>
      <c r="J655" s="215"/>
      <c r="K655" s="215"/>
      <c r="L655" s="215"/>
      <c r="M655" s="215"/>
      <c r="N655" s="215"/>
      <c r="O655" s="215"/>
      <c r="P655" s="215"/>
      <c r="Q655" s="215"/>
      <c r="R655" s="215"/>
      <c r="S655" s="215"/>
      <c r="T655" s="215"/>
      <c r="U655" s="215"/>
      <c r="V655" s="215"/>
      <c r="W655" s="215"/>
      <c r="X655" s="215"/>
      <c r="Y655" s="215"/>
      <c r="Z655" s="215"/>
      <c r="AA655" s="215"/>
      <c r="AB655" s="215"/>
      <c r="AC655" s="215"/>
      <c r="AD655" s="215"/>
      <c r="AE655" s="215"/>
      <c r="AF655" s="215"/>
      <c r="AG655" s="216"/>
      <c r="AJ655" s="214"/>
      <c r="AO655" s="214"/>
      <c r="AQ655" s="214"/>
      <c r="AU655" s="217"/>
      <c r="AV655" s="217"/>
      <c r="AW655" s="217"/>
    </row>
    <row r="656">
      <c r="C656" s="214"/>
      <c r="E656" s="215"/>
      <c r="F656" s="215"/>
      <c r="G656" s="215"/>
      <c r="H656" s="215"/>
      <c r="I656" s="215"/>
      <c r="J656" s="215"/>
      <c r="K656" s="215"/>
      <c r="L656" s="215"/>
      <c r="M656" s="215"/>
      <c r="N656" s="215"/>
      <c r="O656" s="215"/>
      <c r="P656" s="215"/>
      <c r="Q656" s="215"/>
      <c r="R656" s="215"/>
      <c r="S656" s="215"/>
      <c r="T656" s="215"/>
      <c r="U656" s="215"/>
      <c r="V656" s="215"/>
      <c r="W656" s="215"/>
      <c r="X656" s="215"/>
      <c r="Y656" s="215"/>
      <c r="Z656" s="215"/>
      <c r="AA656" s="215"/>
      <c r="AB656" s="215"/>
      <c r="AC656" s="215"/>
      <c r="AD656" s="215"/>
      <c r="AE656" s="215"/>
      <c r="AF656" s="215"/>
      <c r="AG656" s="216"/>
      <c r="AJ656" s="214"/>
      <c r="AO656" s="214"/>
      <c r="AQ656" s="214"/>
      <c r="AU656" s="217"/>
      <c r="AV656" s="217"/>
      <c r="AW656" s="217"/>
    </row>
    <row r="657">
      <c r="C657" s="214"/>
      <c r="E657" s="215"/>
      <c r="F657" s="215"/>
      <c r="G657" s="215"/>
      <c r="H657" s="215"/>
      <c r="I657" s="215"/>
      <c r="J657" s="215"/>
      <c r="K657" s="215"/>
      <c r="L657" s="215"/>
      <c r="M657" s="215"/>
      <c r="N657" s="215"/>
      <c r="O657" s="215"/>
      <c r="P657" s="215"/>
      <c r="Q657" s="215"/>
      <c r="R657" s="215"/>
      <c r="S657" s="215"/>
      <c r="T657" s="215"/>
      <c r="U657" s="215"/>
      <c r="V657" s="215"/>
      <c r="W657" s="215"/>
      <c r="X657" s="215"/>
      <c r="Y657" s="215"/>
      <c r="Z657" s="215"/>
      <c r="AA657" s="215"/>
      <c r="AB657" s="215"/>
      <c r="AC657" s="215"/>
      <c r="AD657" s="215"/>
      <c r="AE657" s="215"/>
      <c r="AF657" s="215"/>
      <c r="AG657" s="216"/>
      <c r="AJ657" s="214"/>
      <c r="AO657" s="214"/>
      <c r="AQ657" s="214"/>
      <c r="AU657" s="217"/>
      <c r="AV657" s="217"/>
      <c r="AW657" s="217"/>
    </row>
    <row r="658">
      <c r="C658" s="214"/>
      <c r="E658" s="215"/>
      <c r="F658" s="215"/>
      <c r="G658" s="215"/>
      <c r="H658" s="215"/>
      <c r="I658" s="215"/>
      <c r="J658" s="215"/>
      <c r="K658" s="215"/>
      <c r="L658" s="215"/>
      <c r="M658" s="215"/>
      <c r="N658" s="215"/>
      <c r="O658" s="215"/>
      <c r="P658" s="215"/>
      <c r="Q658" s="215"/>
      <c r="R658" s="215"/>
      <c r="S658" s="215"/>
      <c r="T658" s="215"/>
      <c r="U658" s="215"/>
      <c r="V658" s="215"/>
      <c r="W658" s="215"/>
      <c r="X658" s="215"/>
      <c r="Y658" s="215"/>
      <c r="Z658" s="215"/>
      <c r="AA658" s="215"/>
      <c r="AB658" s="215"/>
      <c r="AC658" s="215"/>
      <c r="AD658" s="215"/>
      <c r="AE658" s="215"/>
      <c r="AF658" s="215"/>
      <c r="AG658" s="216"/>
      <c r="AJ658" s="214"/>
      <c r="AO658" s="214"/>
      <c r="AQ658" s="214"/>
      <c r="AU658" s="217"/>
      <c r="AV658" s="217"/>
      <c r="AW658" s="217"/>
    </row>
    <row r="659">
      <c r="C659" s="214"/>
      <c r="E659" s="215"/>
      <c r="F659" s="215"/>
      <c r="G659" s="215"/>
      <c r="H659" s="215"/>
      <c r="I659" s="215"/>
      <c r="J659" s="215"/>
      <c r="K659" s="215"/>
      <c r="L659" s="215"/>
      <c r="M659" s="215"/>
      <c r="N659" s="215"/>
      <c r="O659" s="215"/>
      <c r="P659" s="215"/>
      <c r="Q659" s="215"/>
      <c r="R659" s="215"/>
      <c r="S659" s="215"/>
      <c r="T659" s="215"/>
      <c r="U659" s="215"/>
      <c r="V659" s="215"/>
      <c r="W659" s="215"/>
      <c r="X659" s="215"/>
      <c r="Y659" s="215"/>
      <c r="Z659" s="215"/>
      <c r="AA659" s="215"/>
      <c r="AB659" s="215"/>
      <c r="AC659" s="215"/>
      <c r="AD659" s="215"/>
      <c r="AE659" s="215"/>
      <c r="AF659" s="215"/>
      <c r="AG659" s="216"/>
      <c r="AJ659" s="214"/>
      <c r="AO659" s="214"/>
      <c r="AQ659" s="214"/>
      <c r="AU659" s="217"/>
      <c r="AV659" s="217"/>
      <c r="AW659" s="217"/>
    </row>
    <row r="660">
      <c r="C660" s="214"/>
      <c r="E660" s="215"/>
      <c r="F660" s="215"/>
      <c r="G660" s="215"/>
      <c r="H660" s="215"/>
      <c r="I660" s="215"/>
      <c r="J660" s="215"/>
      <c r="K660" s="215"/>
      <c r="L660" s="215"/>
      <c r="M660" s="215"/>
      <c r="N660" s="215"/>
      <c r="O660" s="215"/>
      <c r="P660" s="215"/>
      <c r="Q660" s="215"/>
      <c r="R660" s="215"/>
      <c r="S660" s="215"/>
      <c r="T660" s="215"/>
      <c r="U660" s="215"/>
      <c r="V660" s="215"/>
      <c r="W660" s="215"/>
      <c r="X660" s="215"/>
      <c r="Y660" s="215"/>
      <c r="Z660" s="215"/>
      <c r="AA660" s="215"/>
      <c r="AB660" s="215"/>
      <c r="AC660" s="215"/>
      <c r="AD660" s="215"/>
      <c r="AE660" s="215"/>
      <c r="AF660" s="215"/>
      <c r="AG660" s="216"/>
      <c r="AJ660" s="214"/>
      <c r="AO660" s="214"/>
      <c r="AQ660" s="214"/>
      <c r="AU660" s="217"/>
      <c r="AV660" s="217"/>
      <c r="AW660" s="217"/>
    </row>
    <row r="661">
      <c r="C661" s="214"/>
      <c r="E661" s="215"/>
      <c r="F661" s="215"/>
      <c r="G661" s="215"/>
      <c r="H661" s="215"/>
      <c r="I661" s="215"/>
      <c r="J661" s="215"/>
      <c r="K661" s="215"/>
      <c r="L661" s="215"/>
      <c r="M661" s="215"/>
      <c r="N661" s="215"/>
      <c r="O661" s="215"/>
      <c r="P661" s="215"/>
      <c r="Q661" s="215"/>
      <c r="R661" s="215"/>
      <c r="S661" s="215"/>
      <c r="T661" s="215"/>
      <c r="U661" s="215"/>
      <c r="V661" s="215"/>
      <c r="W661" s="215"/>
      <c r="X661" s="215"/>
      <c r="Y661" s="215"/>
      <c r="Z661" s="215"/>
      <c r="AA661" s="215"/>
      <c r="AB661" s="215"/>
      <c r="AC661" s="215"/>
      <c r="AD661" s="215"/>
      <c r="AE661" s="215"/>
      <c r="AF661" s="215"/>
      <c r="AG661" s="216"/>
      <c r="AJ661" s="214"/>
      <c r="AO661" s="214"/>
      <c r="AQ661" s="214"/>
      <c r="AU661" s="217"/>
      <c r="AV661" s="217"/>
      <c r="AW661" s="217"/>
    </row>
    <row r="662">
      <c r="C662" s="214"/>
      <c r="E662" s="215"/>
      <c r="F662" s="215"/>
      <c r="G662" s="215"/>
      <c r="H662" s="215"/>
      <c r="I662" s="215"/>
      <c r="J662" s="215"/>
      <c r="K662" s="215"/>
      <c r="L662" s="215"/>
      <c r="M662" s="215"/>
      <c r="N662" s="215"/>
      <c r="O662" s="215"/>
      <c r="P662" s="215"/>
      <c r="Q662" s="215"/>
      <c r="R662" s="215"/>
      <c r="S662" s="215"/>
      <c r="T662" s="215"/>
      <c r="U662" s="215"/>
      <c r="V662" s="215"/>
      <c r="W662" s="215"/>
      <c r="X662" s="215"/>
      <c r="Y662" s="215"/>
      <c r="Z662" s="215"/>
      <c r="AA662" s="215"/>
      <c r="AB662" s="215"/>
      <c r="AC662" s="215"/>
      <c r="AD662" s="215"/>
      <c r="AE662" s="215"/>
      <c r="AF662" s="215"/>
      <c r="AG662" s="216"/>
      <c r="AJ662" s="214"/>
      <c r="AO662" s="214"/>
      <c r="AQ662" s="214"/>
      <c r="AU662" s="217"/>
      <c r="AV662" s="217"/>
      <c r="AW662" s="217"/>
    </row>
    <row r="663">
      <c r="C663" s="214"/>
      <c r="E663" s="215"/>
      <c r="F663" s="215"/>
      <c r="G663" s="215"/>
      <c r="H663" s="215"/>
      <c r="I663" s="215"/>
      <c r="J663" s="215"/>
      <c r="K663" s="215"/>
      <c r="L663" s="215"/>
      <c r="M663" s="215"/>
      <c r="N663" s="215"/>
      <c r="O663" s="215"/>
      <c r="P663" s="215"/>
      <c r="Q663" s="215"/>
      <c r="R663" s="215"/>
      <c r="S663" s="215"/>
      <c r="T663" s="215"/>
      <c r="U663" s="215"/>
      <c r="V663" s="215"/>
      <c r="W663" s="215"/>
      <c r="X663" s="215"/>
      <c r="Y663" s="215"/>
      <c r="Z663" s="215"/>
      <c r="AA663" s="215"/>
      <c r="AB663" s="215"/>
      <c r="AC663" s="215"/>
      <c r="AD663" s="215"/>
      <c r="AE663" s="215"/>
      <c r="AF663" s="215"/>
      <c r="AG663" s="216"/>
      <c r="AJ663" s="214"/>
      <c r="AO663" s="214"/>
      <c r="AQ663" s="214"/>
      <c r="AU663" s="217"/>
      <c r="AV663" s="217"/>
      <c r="AW663" s="217"/>
    </row>
    <row r="664">
      <c r="C664" s="214"/>
      <c r="E664" s="215"/>
      <c r="F664" s="215"/>
      <c r="G664" s="215"/>
      <c r="H664" s="215"/>
      <c r="I664" s="215"/>
      <c r="J664" s="215"/>
      <c r="K664" s="215"/>
      <c r="L664" s="215"/>
      <c r="M664" s="215"/>
      <c r="N664" s="215"/>
      <c r="O664" s="215"/>
      <c r="P664" s="215"/>
      <c r="Q664" s="215"/>
      <c r="R664" s="215"/>
      <c r="S664" s="215"/>
      <c r="T664" s="215"/>
      <c r="U664" s="215"/>
      <c r="V664" s="215"/>
      <c r="W664" s="215"/>
      <c r="X664" s="215"/>
      <c r="Y664" s="215"/>
      <c r="Z664" s="215"/>
      <c r="AA664" s="215"/>
      <c r="AB664" s="215"/>
      <c r="AC664" s="215"/>
      <c r="AD664" s="215"/>
      <c r="AE664" s="215"/>
      <c r="AF664" s="215"/>
      <c r="AG664" s="216"/>
      <c r="AJ664" s="214"/>
      <c r="AO664" s="214"/>
      <c r="AQ664" s="214"/>
      <c r="AU664" s="217"/>
      <c r="AV664" s="217"/>
      <c r="AW664" s="217"/>
    </row>
    <row r="665">
      <c r="C665" s="214"/>
      <c r="E665" s="215"/>
      <c r="F665" s="215"/>
      <c r="G665" s="215"/>
      <c r="H665" s="215"/>
      <c r="I665" s="215"/>
      <c r="J665" s="215"/>
      <c r="K665" s="215"/>
      <c r="L665" s="215"/>
      <c r="M665" s="215"/>
      <c r="N665" s="215"/>
      <c r="O665" s="215"/>
      <c r="P665" s="215"/>
      <c r="Q665" s="215"/>
      <c r="R665" s="215"/>
      <c r="S665" s="215"/>
      <c r="T665" s="215"/>
      <c r="U665" s="215"/>
      <c r="V665" s="215"/>
      <c r="W665" s="215"/>
      <c r="X665" s="215"/>
      <c r="Y665" s="215"/>
      <c r="Z665" s="215"/>
      <c r="AA665" s="215"/>
      <c r="AB665" s="215"/>
      <c r="AC665" s="215"/>
      <c r="AD665" s="215"/>
      <c r="AE665" s="215"/>
      <c r="AF665" s="215"/>
      <c r="AG665" s="216"/>
      <c r="AJ665" s="214"/>
      <c r="AO665" s="214"/>
      <c r="AQ665" s="214"/>
      <c r="AU665" s="217"/>
      <c r="AV665" s="217"/>
      <c r="AW665" s="217"/>
    </row>
    <row r="666">
      <c r="C666" s="214"/>
      <c r="E666" s="215"/>
      <c r="F666" s="215"/>
      <c r="G666" s="215"/>
      <c r="H666" s="215"/>
      <c r="I666" s="215"/>
      <c r="J666" s="215"/>
      <c r="K666" s="215"/>
      <c r="L666" s="215"/>
      <c r="M666" s="215"/>
      <c r="N666" s="215"/>
      <c r="O666" s="215"/>
      <c r="P666" s="215"/>
      <c r="Q666" s="215"/>
      <c r="R666" s="215"/>
      <c r="S666" s="215"/>
      <c r="T666" s="215"/>
      <c r="U666" s="215"/>
      <c r="V666" s="215"/>
      <c r="W666" s="215"/>
      <c r="X666" s="215"/>
      <c r="Y666" s="215"/>
      <c r="Z666" s="215"/>
      <c r="AA666" s="215"/>
      <c r="AB666" s="215"/>
      <c r="AC666" s="215"/>
      <c r="AD666" s="215"/>
      <c r="AE666" s="215"/>
      <c r="AF666" s="215"/>
      <c r="AG666" s="216"/>
      <c r="AJ666" s="214"/>
      <c r="AO666" s="214"/>
      <c r="AQ666" s="214"/>
      <c r="AU666" s="217"/>
      <c r="AV666" s="217"/>
      <c r="AW666" s="217"/>
    </row>
    <row r="667">
      <c r="C667" s="214"/>
      <c r="E667" s="215"/>
      <c r="F667" s="215"/>
      <c r="G667" s="215"/>
      <c r="H667" s="215"/>
      <c r="I667" s="215"/>
      <c r="J667" s="215"/>
      <c r="K667" s="215"/>
      <c r="L667" s="215"/>
      <c r="M667" s="215"/>
      <c r="N667" s="215"/>
      <c r="O667" s="215"/>
      <c r="P667" s="215"/>
      <c r="Q667" s="215"/>
      <c r="R667" s="215"/>
      <c r="S667" s="215"/>
      <c r="T667" s="215"/>
      <c r="U667" s="215"/>
      <c r="V667" s="215"/>
      <c r="W667" s="215"/>
      <c r="X667" s="215"/>
      <c r="Y667" s="215"/>
      <c r="Z667" s="215"/>
      <c r="AA667" s="215"/>
      <c r="AB667" s="215"/>
      <c r="AC667" s="215"/>
      <c r="AD667" s="215"/>
      <c r="AE667" s="215"/>
      <c r="AF667" s="215"/>
      <c r="AG667" s="216"/>
      <c r="AJ667" s="214"/>
      <c r="AO667" s="214"/>
      <c r="AQ667" s="214"/>
      <c r="AU667" s="217"/>
      <c r="AV667" s="217"/>
      <c r="AW667" s="217"/>
    </row>
    <row r="668">
      <c r="C668" s="214"/>
      <c r="E668" s="215"/>
      <c r="F668" s="215"/>
      <c r="G668" s="215"/>
      <c r="H668" s="215"/>
      <c r="I668" s="215"/>
      <c r="J668" s="215"/>
      <c r="K668" s="215"/>
      <c r="L668" s="215"/>
      <c r="M668" s="215"/>
      <c r="N668" s="215"/>
      <c r="O668" s="215"/>
      <c r="P668" s="215"/>
      <c r="Q668" s="215"/>
      <c r="R668" s="215"/>
      <c r="S668" s="215"/>
      <c r="T668" s="215"/>
      <c r="U668" s="215"/>
      <c r="V668" s="215"/>
      <c r="W668" s="215"/>
      <c r="X668" s="215"/>
      <c r="Y668" s="215"/>
      <c r="Z668" s="215"/>
      <c r="AA668" s="215"/>
      <c r="AB668" s="215"/>
      <c r="AC668" s="215"/>
      <c r="AD668" s="215"/>
      <c r="AE668" s="215"/>
      <c r="AF668" s="215"/>
      <c r="AG668" s="216"/>
      <c r="AJ668" s="214"/>
      <c r="AO668" s="214"/>
      <c r="AQ668" s="214"/>
      <c r="AU668" s="217"/>
      <c r="AV668" s="217"/>
      <c r="AW668" s="217"/>
    </row>
    <row r="669">
      <c r="C669" s="214"/>
      <c r="E669" s="215"/>
      <c r="F669" s="215"/>
      <c r="G669" s="215"/>
      <c r="H669" s="215"/>
      <c r="I669" s="215"/>
      <c r="J669" s="215"/>
      <c r="K669" s="215"/>
      <c r="L669" s="215"/>
      <c r="M669" s="215"/>
      <c r="N669" s="215"/>
      <c r="O669" s="215"/>
      <c r="P669" s="215"/>
      <c r="Q669" s="215"/>
      <c r="R669" s="215"/>
      <c r="S669" s="215"/>
      <c r="T669" s="215"/>
      <c r="U669" s="215"/>
      <c r="V669" s="215"/>
      <c r="W669" s="215"/>
      <c r="X669" s="215"/>
      <c r="Y669" s="215"/>
      <c r="Z669" s="215"/>
      <c r="AA669" s="215"/>
      <c r="AB669" s="215"/>
      <c r="AC669" s="215"/>
      <c r="AD669" s="215"/>
      <c r="AE669" s="215"/>
      <c r="AF669" s="215"/>
      <c r="AG669" s="216"/>
      <c r="AJ669" s="214"/>
      <c r="AO669" s="214"/>
      <c r="AQ669" s="214"/>
      <c r="AU669" s="217"/>
      <c r="AV669" s="217"/>
      <c r="AW669" s="217"/>
    </row>
    <row r="670">
      <c r="C670" s="214"/>
      <c r="E670" s="215"/>
      <c r="F670" s="215"/>
      <c r="G670" s="215"/>
      <c r="H670" s="215"/>
      <c r="I670" s="215"/>
      <c r="J670" s="215"/>
      <c r="K670" s="215"/>
      <c r="L670" s="215"/>
      <c r="M670" s="215"/>
      <c r="N670" s="215"/>
      <c r="O670" s="215"/>
      <c r="P670" s="215"/>
      <c r="Q670" s="215"/>
      <c r="R670" s="215"/>
      <c r="S670" s="215"/>
      <c r="T670" s="215"/>
      <c r="U670" s="215"/>
      <c r="V670" s="215"/>
      <c r="W670" s="215"/>
      <c r="X670" s="215"/>
      <c r="Y670" s="215"/>
      <c r="Z670" s="215"/>
      <c r="AA670" s="215"/>
      <c r="AB670" s="215"/>
      <c r="AC670" s="215"/>
      <c r="AD670" s="215"/>
      <c r="AE670" s="215"/>
      <c r="AF670" s="215"/>
      <c r="AG670" s="216"/>
      <c r="AJ670" s="214"/>
      <c r="AO670" s="214"/>
      <c r="AQ670" s="214"/>
      <c r="AU670" s="217"/>
      <c r="AV670" s="217"/>
      <c r="AW670" s="217"/>
    </row>
    <row r="671">
      <c r="C671" s="214"/>
      <c r="E671" s="215"/>
      <c r="F671" s="215"/>
      <c r="G671" s="215"/>
      <c r="H671" s="215"/>
      <c r="I671" s="215"/>
      <c r="J671" s="215"/>
      <c r="K671" s="215"/>
      <c r="L671" s="215"/>
      <c r="M671" s="215"/>
      <c r="N671" s="215"/>
      <c r="O671" s="215"/>
      <c r="P671" s="215"/>
      <c r="Q671" s="215"/>
      <c r="R671" s="215"/>
      <c r="S671" s="215"/>
      <c r="T671" s="215"/>
      <c r="U671" s="215"/>
      <c r="V671" s="215"/>
      <c r="W671" s="215"/>
      <c r="X671" s="215"/>
      <c r="Y671" s="215"/>
      <c r="Z671" s="215"/>
      <c r="AA671" s="215"/>
      <c r="AB671" s="215"/>
      <c r="AC671" s="215"/>
      <c r="AD671" s="215"/>
      <c r="AE671" s="215"/>
      <c r="AF671" s="215"/>
      <c r="AG671" s="216"/>
      <c r="AJ671" s="214"/>
      <c r="AO671" s="214"/>
      <c r="AQ671" s="214"/>
      <c r="AU671" s="217"/>
      <c r="AV671" s="217"/>
      <c r="AW671" s="217"/>
    </row>
    <row r="672">
      <c r="C672" s="214"/>
      <c r="E672" s="215"/>
      <c r="F672" s="215"/>
      <c r="G672" s="215"/>
      <c r="H672" s="215"/>
      <c r="I672" s="215"/>
      <c r="J672" s="215"/>
      <c r="K672" s="215"/>
      <c r="L672" s="215"/>
      <c r="M672" s="215"/>
      <c r="N672" s="215"/>
      <c r="O672" s="215"/>
      <c r="P672" s="215"/>
      <c r="Q672" s="215"/>
      <c r="R672" s="215"/>
      <c r="S672" s="215"/>
      <c r="T672" s="215"/>
      <c r="U672" s="215"/>
      <c r="V672" s="215"/>
      <c r="W672" s="215"/>
      <c r="X672" s="215"/>
      <c r="Y672" s="215"/>
      <c r="Z672" s="215"/>
      <c r="AA672" s="215"/>
      <c r="AB672" s="215"/>
      <c r="AC672" s="215"/>
      <c r="AD672" s="215"/>
      <c r="AE672" s="215"/>
      <c r="AF672" s="215"/>
      <c r="AG672" s="216"/>
      <c r="AJ672" s="214"/>
      <c r="AO672" s="214"/>
      <c r="AQ672" s="214"/>
      <c r="AU672" s="217"/>
      <c r="AV672" s="217"/>
      <c r="AW672" s="217"/>
    </row>
    <row r="673">
      <c r="C673" s="214"/>
      <c r="E673" s="215"/>
      <c r="F673" s="215"/>
      <c r="G673" s="215"/>
      <c r="H673" s="215"/>
      <c r="I673" s="215"/>
      <c r="J673" s="215"/>
      <c r="K673" s="215"/>
      <c r="L673" s="215"/>
      <c r="M673" s="215"/>
      <c r="N673" s="215"/>
      <c r="O673" s="215"/>
      <c r="P673" s="215"/>
      <c r="Q673" s="215"/>
      <c r="R673" s="215"/>
      <c r="S673" s="215"/>
      <c r="T673" s="215"/>
      <c r="U673" s="215"/>
      <c r="V673" s="215"/>
      <c r="W673" s="215"/>
      <c r="X673" s="215"/>
      <c r="Y673" s="215"/>
      <c r="Z673" s="215"/>
      <c r="AA673" s="215"/>
      <c r="AB673" s="215"/>
      <c r="AC673" s="215"/>
      <c r="AD673" s="215"/>
      <c r="AE673" s="215"/>
      <c r="AF673" s="215"/>
      <c r="AG673" s="216"/>
      <c r="AJ673" s="214"/>
      <c r="AO673" s="214"/>
      <c r="AQ673" s="214"/>
      <c r="AU673" s="217"/>
      <c r="AV673" s="217"/>
      <c r="AW673" s="217"/>
    </row>
    <row r="674">
      <c r="C674" s="214"/>
      <c r="E674" s="215"/>
      <c r="F674" s="215"/>
      <c r="G674" s="215"/>
      <c r="H674" s="215"/>
      <c r="I674" s="215"/>
      <c r="J674" s="215"/>
      <c r="K674" s="215"/>
      <c r="L674" s="215"/>
      <c r="M674" s="215"/>
      <c r="N674" s="215"/>
      <c r="O674" s="215"/>
      <c r="P674" s="215"/>
      <c r="Q674" s="215"/>
      <c r="R674" s="215"/>
      <c r="S674" s="215"/>
      <c r="T674" s="215"/>
      <c r="U674" s="215"/>
      <c r="V674" s="215"/>
      <c r="W674" s="215"/>
      <c r="X674" s="215"/>
      <c r="Y674" s="215"/>
      <c r="Z674" s="215"/>
      <c r="AA674" s="215"/>
      <c r="AB674" s="215"/>
      <c r="AC674" s="215"/>
      <c r="AD674" s="215"/>
      <c r="AE674" s="215"/>
      <c r="AF674" s="215"/>
      <c r="AG674" s="216"/>
      <c r="AJ674" s="214"/>
      <c r="AO674" s="214"/>
      <c r="AQ674" s="214"/>
      <c r="AU674" s="217"/>
      <c r="AV674" s="217"/>
      <c r="AW674" s="217"/>
    </row>
    <row r="675">
      <c r="C675" s="214"/>
      <c r="E675" s="215"/>
      <c r="F675" s="215"/>
      <c r="G675" s="215"/>
      <c r="H675" s="215"/>
      <c r="I675" s="215"/>
      <c r="J675" s="215"/>
      <c r="K675" s="215"/>
      <c r="L675" s="215"/>
      <c r="M675" s="215"/>
      <c r="N675" s="215"/>
      <c r="O675" s="215"/>
      <c r="P675" s="215"/>
      <c r="Q675" s="215"/>
      <c r="R675" s="215"/>
      <c r="S675" s="215"/>
      <c r="T675" s="215"/>
      <c r="U675" s="215"/>
      <c r="V675" s="215"/>
      <c r="W675" s="215"/>
      <c r="X675" s="215"/>
      <c r="Y675" s="215"/>
      <c r="Z675" s="215"/>
      <c r="AA675" s="215"/>
      <c r="AB675" s="215"/>
      <c r="AC675" s="215"/>
      <c r="AD675" s="215"/>
      <c r="AE675" s="215"/>
      <c r="AF675" s="215"/>
      <c r="AG675" s="216"/>
      <c r="AJ675" s="214"/>
      <c r="AO675" s="214"/>
      <c r="AQ675" s="214"/>
      <c r="AU675" s="217"/>
      <c r="AV675" s="217"/>
      <c r="AW675" s="217"/>
    </row>
    <row r="676">
      <c r="C676" s="214"/>
      <c r="E676" s="215"/>
      <c r="F676" s="215"/>
      <c r="G676" s="215"/>
      <c r="H676" s="215"/>
      <c r="I676" s="215"/>
      <c r="J676" s="215"/>
      <c r="K676" s="215"/>
      <c r="L676" s="215"/>
      <c r="M676" s="215"/>
      <c r="N676" s="215"/>
      <c r="O676" s="215"/>
      <c r="P676" s="215"/>
      <c r="Q676" s="215"/>
      <c r="R676" s="215"/>
      <c r="S676" s="215"/>
      <c r="T676" s="215"/>
      <c r="U676" s="215"/>
      <c r="V676" s="215"/>
      <c r="W676" s="215"/>
      <c r="X676" s="215"/>
      <c r="Y676" s="215"/>
      <c r="Z676" s="215"/>
      <c r="AA676" s="215"/>
      <c r="AB676" s="215"/>
      <c r="AC676" s="215"/>
      <c r="AD676" s="215"/>
      <c r="AE676" s="215"/>
      <c r="AF676" s="215"/>
      <c r="AG676" s="216"/>
      <c r="AJ676" s="214"/>
      <c r="AO676" s="214"/>
      <c r="AQ676" s="214"/>
      <c r="AU676" s="217"/>
      <c r="AV676" s="217"/>
      <c r="AW676" s="217"/>
    </row>
    <row r="677">
      <c r="C677" s="214"/>
      <c r="E677" s="215"/>
      <c r="F677" s="215"/>
      <c r="G677" s="215"/>
      <c r="H677" s="215"/>
      <c r="I677" s="215"/>
      <c r="J677" s="215"/>
      <c r="K677" s="215"/>
      <c r="L677" s="215"/>
      <c r="M677" s="215"/>
      <c r="N677" s="215"/>
      <c r="O677" s="215"/>
      <c r="P677" s="215"/>
      <c r="Q677" s="215"/>
      <c r="R677" s="215"/>
      <c r="S677" s="215"/>
      <c r="T677" s="215"/>
      <c r="U677" s="215"/>
      <c r="V677" s="215"/>
      <c r="W677" s="215"/>
      <c r="X677" s="215"/>
      <c r="Y677" s="215"/>
      <c r="Z677" s="215"/>
      <c r="AA677" s="215"/>
      <c r="AB677" s="215"/>
      <c r="AC677" s="215"/>
      <c r="AD677" s="215"/>
      <c r="AE677" s="215"/>
      <c r="AF677" s="215"/>
      <c r="AG677" s="216"/>
      <c r="AJ677" s="214"/>
      <c r="AO677" s="214"/>
      <c r="AQ677" s="214"/>
      <c r="AU677" s="217"/>
      <c r="AV677" s="217"/>
      <c r="AW677" s="217"/>
    </row>
    <row r="678">
      <c r="C678" s="214"/>
      <c r="E678" s="215"/>
      <c r="F678" s="215"/>
      <c r="G678" s="215"/>
      <c r="H678" s="215"/>
      <c r="I678" s="215"/>
      <c r="J678" s="215"/>
      <c r="K678" s="215"/>
      <c r="L678" s="215"/>
      <c r="M678" s="215"/>
      <c r="N678" s="215"/>
      <c r="O678" s="215"/>
      <c r="P678" s="215"/>
      <c r="Q678" s="215"/>
      <c r="R678" s="215"/>
      <c r="S678" s="215"/>
      <c r="T678" s="215"/>
      <c r="U678" s="215"/>
      <c r="V678" s="215"/>
      <c r="W678" s="215"/>
      <c r="X678" s="215"/>
      <c r="Y678" s="215"/>
      <c r="Z678" s="215"/>
      <c r="AA678" s="215"/>
      <c r="AB678" s="215"/>
      <c r="AC678" s="215"/>
      <c r="AD678" s="215"/>
      <c r="AE678" s="215"/>
      <c r="AF678" s="215"/>
      <c r="AG678" s="216"/>
      <c r="AJ678" s="214"/>
      <c r="AO678" s="214"/>
      <c r="AQ678" s="214"/>
      <c r="AU678" s="217"/>
      <c r="AV678" s="217"/>
      <c r="AW678" s="217"/>
    </row>
    <row r="679">
      <c r="C679" s="214"/>
      <c r="E679" s="215"/>
      <c r="F679" s="215"/>
      <c r="G679" s="215"/>
      <c r="H679" s="215"/>
      <c r="I679" s="215"/>
      <c r="J679" s="215"/>
      <c r="K679" s="215"/>
      <c r="L679" s="215"/>
      <c r="M679" s="215"/>
      <c r="N679" s="215"/>
      <c r="O679" s="215"/>
      <c r="P679" s="215"/>
      <c r="Q679" s="215"/>
      <c r="R679" s="215"/>
      <c r="S679" s="215"/>
      <c r="T679" s="215"/>
      <c r="U679" s="215"/>
      <c r="V679" s="215"/>
      <c r="W679" s="215"/>
      <c r="X679" s="215"/>
      <c r="Y679" s="215"/>
      <c r="Z679" s="215"/>
      <c r="AA679" s="215"/>
      <c r="AB679" s="215"/>
      <c r="AC679" s="215"/>
      <c r="AD679" s="215"/>
      <c r="AE679" s="215"/>
      <c r="AF679" s="215"/>
      <c r="AG679" s="216"/>
      <c r="AJ679" s="214"/>
      <c r="AO679" s="214"/>
      <c r="AQ679" s="214"/>
      <c r="AU679" s="217"/>
      <c r="AV679" s="217"/>
      <c r="AW679" s="217"/>
    </row>
    <row r="680">
      <c r="C680" s="214"/>
      <c r="E680" s="215"/>
      <c r="F680" s="215"/>
      <c r="G680" s="215"/>
      <c r="H680" s="215"/>
      <c r="I680" s="215"/>
      <c r="J680" s="215"/>
      <c r="K680" s="215"/>
      <c r="L680" s="215"/>
      <c r="M680" s="215"/>
      <c r="N680" s="215"/>
      <c r="O680" s="215"/>
      <c r="P680" s="215"/>
      <c r="Q680" s="215"/>
      <c r="R680" s="215"/>
      <c r="S680" s="215"/>
      <c r="T680" s="215"/>
      <c r="U680" s="215"/>
      <c r="V680" s="215"/>
      <c r="W680" s="215"/>
      <c r="X680" s="215"/>
      <c r="Y680" s="215"/>
      <c r="Z680" s="215"/>
      <c r="AA680" s="215"/>
      <c r="AB680" s="215"/>
      <c r="AC680" s="215"/>
      <c r="AD680" s="215"/>
      <c r="AE680" s="215"/>
      <c r="AF680" s="215"/>
      <c r="AG680" s="216"/>
      <c r="AJ680" s="214"/>
      <c r="AO680" s="214"/>
      <c r="AQ680" s="214"/>
      <c r="AU680" s="217"/>
      <c r="AV680" s="217"/>
      <c r="AW680" s="217"/>
    </row>
    <row r="681">
      <c r="C681" s="214"/>
      <c r="E681" s="215"/>
      <c r="F681" s="215"/>
      <c r="G681" s="215"/>
      <c r="H681" s="215"/>
      <c r="I681" s="215"/>
      <c r="J681" s="215"/>
      <c r="K681" s="215"/>
      <c r="L681" s="215"/>
      <c r="M681" s="215"/>
      <c r="N681" s="215"/>
      <c r="O681" s="215"/>
      <c r="P681" s="215"/>
      <c r="Q681" s="215"/>
      <c r="R681" s="215"/>
      <c r="S681" s="215"/>
      <c r="T681" s="215"/>
      <c r="U681" s="215"/>
      <c r="V681" s="215"/>
      <c r="W681" s="215"/>
      <c r="X681" s="215"/>
      <c r="Y681" s="215"/>
      <c r="Z681" s="215"/>
      <c r="AA681" s="215"/>
      <c r="AB681" s="215"/>
      <c r="AC681" s="215"/>
      <c r="AD681" s="215"/>
      <c r="AE681" s="215"/>
      <c r="AF681" s="215"/>
      <c r="AG681" s="216"/>
      <c r="AJ681" s="214"/>
      <c r="AO681" s="214"/>
      <c r="AQ681" s="214"/>
      <c r="AU681" s="217"/>
      <c r="AV681" s="217"/>
      <c r="AW681" s="217"/>
    </row>
    <row r="682">
      <c r="C682" s="214"/>
      <c r="E682" s="215"/>
      <c r="F682" s="215"/>
      <c r="G682" s="215"/>
      <c r="H682" s="215"/>
      <c r="I682" s="215"/>
      <c r="J682" s="215"/>
      <c r="K682" s="215"/>
      <c r="L682" s="215"/>
      <c r="M682" s="215"/>
      <c r="N682" s="215"/>
      <c r="O682" s="215"/>
      <c r="P682" s="215"/>
      <c r="Q682" s="215"/>
      <c r="R682" s="215"/>
      <c r="S682" s="215"/>
      <c r="T682" s="215"/>
      <c r="U682" s="215"/>
      <c r="V682" s="215"/>
      <c r="W682" s="215"/>
      <c r="X682" s="215"/>
      <c r="Y682" s="215"/>
      <c r="Z682" s="215"/>
      <c r="AA682" s="215"/>
      <c r="AB682" s="215"/>
      <c r="AC682" s="215"/>
      <c r="AD682" s="215"/>
      <c r="AE682" s="215"/>
      <c r="AF682" s="215"/>
      <c r="AG682" s="216"/>
      <c r="AJ682" s="214"/>
      <c r="AO682" s="214"/>
      <c r="AQ682" s="214"/>
      <c r="AU682" s="217"/>
      <c r="AV682" s="217"/>
      <c r="AW682" s="217"/>
    </row>
    <row r="683">
      <c r="C683" s="214"/>
      <c r="E683" s="215"/>
      <c r="F683" s="215"/>
      <c r="G683" s="215"/>
      <c r="H683" s="215"/>
      <c r="I683" s="215"/>
      <c r="J683" s="215"/>
      <c r="K683" s="215"/>
      <c r="L683" s="215"/>
      <c r="M683" s="215"/>
      <c r="N683" s="215"/>
      <c r="O683" s="215"/>
      <c r="P683" s="215"/>
      <c r="Q683" s="215"/>
      <c r="R683" s="215"/>
      <c r="S683" s="215"/>
      <c r="T683" s="215"/>
      <c r="U683" s="215"/>
      <c r="V683" s="215"/>
      <c r="W683" s="215"/>
      <c r="X683" s="215"/>
      <c r="Y683" s="215"/>
      <c r="Z683" s="215"/>
      <c r="AA683" s="215"/>
      <c r="AB683" s="215"/>
      <c r="AC683" s="215"/>
      <c r="AD683" s="215"/>
      <c r="AE683" s="215"/>
      <c r="AF683" s="215"/>
      <c r="AG683" s="216"/>
      <c r="AJ683" s="214"/>
      <c r="AO683" s="214"/>
      <c r="AQ683" s="214"/>
      <c r="AU683" s="217"/>
      <c r="AV683" s="217"/>
      <c r="AW683" s="217"/>
    </row>
    <row r="684">
      <c r="C684" s="214"/>
      <c r="E684" s="215"/>
      <c r="F684" s="215"/>
      <c r="G684" s="215"/>
      <c r="H684" s="215"/>
      <c r="I684" s="215"/>
      <c r="J684" s="215"/>
      <c r="K684" s="215"/>
      <c r="L684" s="215"/>
      <c r="M684" s="215"/>
      <c r="N684" s="215"/>
      <c r="O684" s="215"/>
      <c r="P684" s="215"/>
      <c r="Q684" s="215"/>
      <c r="R684" s="215"/>
      <c r="S684" s="215"/>
      <c r="T684" s="215"/>
      <c r="U684" s="215"/>
      <c r="V684" s="215"/>
      <c r="W684" s="215"/>
      <c r="X684" s="215"/>
      <c r="Y684" s="215"/>
      <c r="Z684" s="215"/>
      <c r="AA684" s="215"/>
      <c r="AB684" s="215"/>
      <c r="AC684" s="215"/>
      <c r="AD684" s="215"/>
      <c r="AE684" s="215"/>
      <c r="AF684" s="215"/>
      <c r="AG684" s="216"/>
      <c r="AJ684" s="214"/>
      <c r="AO684" s="214"/>
      <c r="AQ684" s="214"/>
      <c r="AU684" s="217"/>
      <c r="AV684" s="217"/>
      <c r="AW684" s="217"/>
    </row>
    <row r="685">
      <c r="C685" s="214"/>
      <c r="E685" s="215"/>
      <c r="F685" s="215"/>
      <c r="G685" s="215"/>
      <c r="H685" s="215"/>
      <c r="I685" s="215"/>
      <c r="J685" s="215"/>
      <c r="K685" s="215"/>
      <c r="L685" s="215"/>
      <c r="M685" s="215"/>
      <c r="N685" s="215"/>
      <c r="O685" s="215"/>
      <c r="P685" s="215"/>
      <c r="Q685" s="215"/>
      <c r="R685" s="215"/>
      <c r="S685" s="215"/>
      <c r="T685" s="215"/>
      <c r="U685" s="215"/>
      <c r="V685" s="215"/>
      <c r="W685" s="215"/>
      <c r="X685" s="215"/>
      <c r="Y685" s="215"/>
      <c r="Z685" s="215"/>
      <c r="AA685" s="215"/>
      <c r="AB685" s="215"/>
      <c r="AC685" s="215"/>
      <c r="AD685" s="215"/>
      <c r="AE685" s="215"/>
      <c r="AF685" s="215"/>
      <c r="AG685" s="216"/>
      <c r="AJ685" s="214"/>
      <c r="AO685" s="214"/>
      <c r="AQ685" s="214"/>
      <c r="AU685" s="217"/>
      <c r="AV685" s="217"/>
      <c r="AW685" s="217"/>
    </row>
    <row r="686">
      <c r="C686" s="214"/>
      <c r="E686" s="215"/>
      <c r="F686" s="215"/>
      <c r="G686" s="215"/>
      <c r="H686" s="215"/>
      <c r="I686" s="215"/>
      <c r="J686" s="215"/>
      <c r="K686" s="215"/>
      <c r="L686" s="215"/>
      <c r="M686" s="215"/>
      <c r="N686" s="215"/>
      <c r="O686" s="215"/>
      <c r="P686" s="215"/>
      <c r="Q686" s="215"/>
      <c r="R686" s="215"/>
      <c r="S686" s="215"/>
      <c r="T686" s="215"/>
      <c r="U686" s="215"/>
      <c r="V686" s="215"/>
      <c r="W686" s="215"/>
      <c r="X686" s="215"/>
      <c r="Y686" s="215"/>
      <c r="Z686" s="215"/>
      <c r="AA686" s="215"/>
      <c r="AB686" s="215"/>
      <c r="AC686" s="215"/>
      <c r="AD686" s="215"/>
      <c r="AE686" s="215"/>
      <c r="AF686" s="215"/>
      <c r="AG686" s="216"/>
      <c r="AJ686" s="214"/>
      <c r="AO686" s="214"/>
      <c r="AQ686" s="214"/>
      <c r="AU686" s="217"/>
      <c r="AV686" s="217"/>
      <c r="AW686" s="217"/>
    </row>
    <row r="687">
      <c r="C687" s="214"/>
      <c r="E687" s="215"/>
      <c r="F687" s="215"/>
      <c r="G687" s="215"/>
      <c r="H687" s="215"/>
      <c r="I687" s="215"/>
      <c r="J687" s="215"/>
      <c r="K687" s="215"/>
      <c r="L687" s="215"/>
      <c r="M687" s="215"/>
      <c r="N687" s="215"/>
      <c r="O687" s="215"/>
      <c r="P687" s="215"/>
      <c r="Q687" s="215"/>
      <c r="R687" s="215"/>
      <c r="S687" s="215"/>
      <c r="T687" s="215"/>
      <c r="U687" s="215"/>
      <c r="V687" s="215"/>
      <c r="W687" s="215"/>
      <c r="X687" s="215"/>
      <c r="Y687" s="215"/>
      <c r="Z687" s="215"/>
      <c r="AA687" s="215"/>
      <c r="AB687" s="215"/>
      <c r="AC687" s="215"/>
      <c r="AD687" s="215"/>
      <c r="AE687" s="215"/>
      <c r="AF687" s="215"/>
      <c r="AG687" s="216"/>
      <c r="AJ687" s="214"/>
      <c r="AO687" s="214"/>
      <c r="AQ687" s="214"/>
      <c r="AU687" s="217"/>
      <c r="AV687" s="217"/>
      <c r="AW687" s="217"/>
    </row>
    <row r="688">
      <c r="C688" s="214"/>
      <c r="E688" s="215"/>
      <c r="F688" s="215"/>
      <c r="G688" s="215"/>
      <c r="H688" s="215"/>
      <c r="I688" s="215"/>
      <c r="J688" s="215"/>
      <c r="K688" s="215"/>
      <c r="L688" s="215"/>
      <c r="M688" s="215"/>
      <c r="N688" s="215"/>
      <c r="O688" s="215"/>
      <c r="P688" s="215"/>
      <c r="Q688" s="215"/>
      <c r="R688" s="215"/>
      <c r="S688" s="215"/>
      <c r="T688" s="215"/>
      <c r="U688" s="215"/>
      <c r="V688" s="215"/>
      <c r="W688" s="215"/>
      <c r="X688" s="215"/>
      <c r="Y688" s="215"/>
      <c r="Z688" s="215"/>
      <c r="AA688" s="215"/>
      <c r="AB688" s="215"/>
      <c r="AC688" s="215"/>
      <c r="AD688" s="215"/>
      <c r="AE688" s="215"/>
      <c r="AF688" s="215"/>
      <c r="AG688" s="216"/>
      <c r="AJ688" s="214"/>
      <c r="AO688" s="214"/>
      <c r="AQ688" s="214"/>
      <c r="AU688" s="217"/>
      <c r="AV688" s="217"/>
      <c r="AW688" s="217"/>
    </row>
    <row r="689">
      <c r="C689" s="214"/>
      <c r="E689" s="215"/>
      <c r="F689" s="215"/>
      <c r="G689" s="215"/>
      <c r="H689" s="215"/>
      <c r="I689" s="215"/>
      <c r="J689" s="215"/>
      <c r="K689" s="215"/>
      <c r="L689" s="215"/>
      <c r="M689" s="215"/>
      <c r="N689" s="215"/>
      <c r="O689" s="215"/>
      <c r="P689" s="215"/>
      <c r="Q689" s="215"/>
      <c r="R689" s="215"/>
      <c r="S689" s="215"/>
      <c r="T689" s="215"/>
      <c r="U689" s="215"/>
      <c r="V689" s="215"/>
      <c r="W689" s="215"/>
      <c r="X689" s="215"/>
      <c r="Y689" s="215"/>
      <c r="Z689" s="215"/>
      <c r="AA689" s="215"/>
      <c r="AB689" s="215"/>
      <c r="AC689" s="215"/>
      <c r="AD689" s="215"/>
      <c r="AE689" s="215"/>
      <c r="AF689" s="215"/>
      <c r="AG689" s="216"/>
      <c r="AJ689" s="214"/>
      <c r="AO689" s="214"/>
      <c r="AQ689" s="214"/>
      <c r="AU689" s="217"/>
      <c r="AV689" s="217"/>
      <c r="AW689" s="217"/>
    </row>
    <row r="690">
      <c r="C690" s="214"/>
      <c r="E690" s="215"/>
      <c r="F690" s="215"/>
      <c r="G690" s="215"/>
      <c r="H690" s="215"/>
      <c r="I690" s="215"/>
      <c r="J690" s="215"/>
      <c r="K690" s="215"/>
      <c r="L690" s="215"/>
      <c r="M690" s="215"/>
      <c r="N690" s="215"/>
      <c r="O690" s="215"/>
      <c r="P690" s="215"/>
      <c r="Q690" s="215"/>
      <c r="R690" s="215"/>
      <c r="S690" s="215"/>
      <c r="T690" s="215"/>
      <c r="U690" s="215"/>
      <c r="V690" s="215"/>
      <c r="W690" s="215"/>
      <c r="X690" s="215"/>
      <c r="Y690" s="215"/>
      <c r="Z690" s="215"/>
      <c r="AA690" s="215"/>
      <c r="AB690" s="215"/>
      <c r="AC690" s="215"/>
      <c r="AD690" s="215"/>
      <c r="AE690" s="215"/>
      <c r="AF690" s="215"/>
      <c r="AG690" s="216"/>
      <c r="AJ690" s="214"/>
      <c r="AO690" s="214"/>
      <c r="AQ690" s="214"/>
      <c r="AU690" s="217"/>
      <c r="AV690" s="217"/>
      <c r="AW690" s="217"/>
    </row>
    <row r="691">
      <c r="C691" s="214"/>
      <c r="E691" s="215"/>
      <c r="F691" s="215"/>
      <c r="G691" s="215"/>
      <c r="H691" s="215"/>
      <c r="I691" s="215"/>
      <c r="J691" s="215"/>
      <c r="K691" s="215"/>
      <c r="L691" s="215"/>
      <c r="M691" s="215"/>
      <c r="N691" s="215"/>
      <c r="O691" s="215"/>
      <c r="P691" s="215"/>
      <c r="Q691" s="215"/>
      <c r="R691" s="215"/>
      <c r="S691" s="215"/>
      <c r="T691" s="215"/>
      <c r="U691" s="215"/>
      <c r="V691" s="215"/>
      <c r="W691" s="215"/>
      <c r="X691" s="215"/>
      <c r="Y691" s="215"/>
      <c r="Z691" s="215"/>
      <c r="AA691" s="215"/>
      <c r="AB691" s="215"/>
      <c r="AC691" s="215"/>
      <c r="AD691" s="215"/>
      <c r="AE691" s="215"/>
      <c r="AF691" s="215"/>
      <c r="AG691" s="216"/>
      <c r="AJ691" s="214"/>
      <c r="AO691" s="214"/>
      <c r="AQ691" s="214"/>
      <c r="AU691" s="217"/>
      <c r="AV691" s="217"/>
      <c r="AW691" s="217"/>
    </row>
    <row r="692">
      <c r="C692" s="214"/>
      <c r="E692" s="215"/>
      <c r="F692" s="215"/>
      <c r="G692" s="215"/>
      <c r="H692" s="215"/>
      <c r="I692" s="215"/>
      <c r="J692" s="215"/>
      <c r="K692" s="215"/>
      <c r="L692" s="215"/>
      <c r="M692" s="215"/>
      <c r="N692" s="215"/>
      <c r="O692" s="215"/>
      <c r="P692" s="215"/>
      <c r="Q692" s="215"/>
      <c r="R692" s="215"/>
      <c r="S692" s="215"/>
      <c r="T692" s="215"/>
      <c r="U692" s="215"/>
      <c r="V692" s="215"/>
      <c r="W692" s="215"/>
      <c r="X692" s="215"/>
      <c r="Y692" s="215"/>
      <c r="Z692" s="215"/>
      <c r="AA692" s="215"/>
      <c r="AB692" s="215"/>
      <c r="AC692" s="215"/>
      <c r="AD692" s="215"/>
      <c r="AE692" s="215"/>
      <c r="AF692" s="215"/>
      <c r="AG692" s="216"/>
      <c r="AJ692" s="214"/>
      <c r="AO692" s="214"/>
      <c r="AQ692" s="214"/>
      <c r="AU692" s="217"/>
      <c r="AV692" s="217"/>
      <c r="AW692" s="217"/>
    </row>
    <row r="693">
      <c r="C693" s="214"/>
      <c r="E693" s="215"/>
      <c r="F693" s="215"/>
      <c r="G693" s="215"/>
      <c r="H693" s="215"/>
      <c r="I693" s="215"/>
      <c r="J693" s="215"/>
      <c r="K693" s="215"/>
      <c r="L693" s="215"/>
      <c r="M693" s="215"/>
      <c r="N693" s="215"/>
      <c r="O693" s="215"/>
      <c r="P693" s="215"/>
      <c r="Q693" s="215"/>
      <c r="R693" s="215"/>
      <c r="S693" s="215"/>
      <c r="T693" s="215"/>
      <c r="U693" s="215"/>
      <c r="V693" s="215"/>
      <c r="W693" s="215"/>
      <c r="X693" s="215"/>
      <c r="Y693" s="215"/>
      <c r="Z693" s="215"/>
      <c r="AA693" s="215"/>
      <c r="AB693" s="215"/>
      <c r="AC693" s="215"/>
      <c r="AD693" s="215"/>
      <c r="AE693" s="215"/>
      <c r="AF693" s="215"/>
      <c r="AG693" s="216"/>
      <c r="AJ693" s="214"/>
      <c r="AO693" s="214"/>
      <c r="AQ693" s="214"/>
      <c r="AU693" s="217"/>
      <c r="AV693" s="217"/>
      <c r="AW693" s="217"/>
    </row>
    <row r="694">
      <c r="C694" s="214"/>
      <c r="E694" s="215"/>
      <c r="F694" s="215"/>
      <c r="G694" s="215"/>
      <c r="H694" s="215"/>
      <c r="I694" s="215"/>
      <c r="J694" s="215"/>
      <c r="K694" s="215"/>
      <c r="L694" s="215"/>
      <c r="M694" s="215"/>
      <c r="N694" s="215"/>
      <c r="O694" s="215"/>
      <c r="P694" s="215"/>
      <c r="Q694" s="215"/>
      <c r="R694" s="215"/>
      <c r="S694" s="215"/>
      <c r="T694" s="215"/>
      <c r="U694" s="215"/>
      <c r="V694" s="215"/>
      <c r="W694" s="215"/>
      <c r="X694" s="215"/>
      <c r="Y694" s="215"/>
      <c r="Z694" s="215"/>
      <c r="AA694" s="215"/>
      <c r="AB694" s="215"/>
      <c r="AC694" s="215"/>
      <c r="AD694" s="215"/>
      <c r="AE694" s="215"/>
      <c r="AF694" s="215"/>
      <c r="AG694" s="216"/>
      <c r="AJ694" s="214"/>
      <c r="AO694" s="214"/>
      <c r="AQ694" s="214"/>
      <c r="AU694" s="217"/>
      <c r="AV694" s="217"/>
      <c r="AW694" s="217"/>
    </row>
    <row r="695">
      <c r="C695" s="214"/>
      <c r="E695" s="215"/>
      <c r="F695" s="215"/>
      <c r="G695" s="215"/>
      <c r="H695" s="215"/>
      <c r="I695" s="215"/>
      <c r="J695" s="215"/>
      <c r="K695" s="215"/>
      <c r="L695" s="215"/>
      <c r="M695" s="215"/>
      <c r="N695" s="215"/>
      <c r="O695" s="215"/>
      <c r="P695" s="215"/>
      <c r="Q695" s="215"/>
      <c r="R695" s="215"/>
      <c r="S695" s="215"/>
      <c r="T695" s="215"/>
      <c r="U695" s="215"/>
      <c r="V695" s="215"/>
      <c r="W695" s="215"/>
      <c r="X695" s="215"/>
      <c r="Y695" s="215"/>
      <c r="Z695" s="215"/>
      <c r="AA695" s="215"/>
      <c r="AB695" s="215"/>
      <c r="AC695" s="215"/>
      <c r="AD695" s="215"/>
      <c r="AE695" s="215"/>
      <c r="AF695" s="215"/>
      <c r="AG695" s="216"/>
      <c r="AJ695" s="214"/>
      <c r="AO695" s="214"/>
      <c r="AQ695" s="214"/>
      <c r="AU695" s="217"/>
      <c r="AV695" s="217"/>
      <c r="AW695" s="217"/>
    </row>
    <row r="696">
      <c r="C696" s="214"/>
      <c r="E696" s="215"/>
      <c r="F696" s="215"/>
      <c r="G696" s="215"/>
      <c r="H696" s="215"/>
      <c r="I696" s="215"/>
      <c r="J696" s="215"/>
      <c r="K696" s="215"/>
      <c r="L696" s="215"/>
      <c r="M696" s="215"/>
      <c r="N696" s="215"/>
      <c r="O696" s="215"/>
      <c r="P696" s="215"/>
      <c r="Q696" s="215"/>
      <c r="R696" s="215"/>
      <c r="S696" s="215"/>
      <c r="T696" s="215"/>
      <c r="U696" s="215"/>
      <c r="V696" s="215"/>
      <c r="W696" s="215"/>
      <c r="X696" s="215"/>
      <c r="Y696" s="215"/>
      <c r="Z696" s="215"/>
      <c r="AA696" s="215"/>
      <c r="AB696" s="215"/>
      <c r="AC696" s="215"/>
      <c r="AD696" s="215"/>
      <c r="AE696" s="215"/>
      <c r="AF696" s="215"/>
      <c r="AG696" s="216"/>
      <c r="AJ696" s="214"/>
      <c r="AO696" s="214"/>
      <c r="AQ696" s="214"/>
      <c r="AU696" s="217"/>
      <c r="AV696" s="217"/>
      <c r="AW696" s="217"/>
    </row>
    <row r="697">
      <c r="C697" s="214"/>
      <c r="E697" s="215"/>
      <c r="F697" s="215"/>
      <c r="G697" s="215"/>
      <c r="H697" s="215"/>
      <c r="I697" s="215"/>
      <c r="J697" s="215"/>
      <c r="K697" s="215"/>
      <c r="L697" s="215"/>
      <c r="M697" s="215"/>
      <c r="N697" s="215"/>
      <c r="O697" s="215"/>
      <c r="P697" s="215"/>
      <c r="Q697" s="215"/>
      <c r="R697" s="215"/>
      <c r="S697" s="215"/>
      <c r="T697" s="215"/>
      <c r="U697" s="215"/>
      <c r="V697" s="215"/>
      <c r="W697" s="215"/>
      <c r="X697" s="215"/>
      <c r="Y697" s="215"/>
      <c r="Z697" s="215"/>
      <c r="AA697" s="215"/>
      <c r="AB697" s="215"/>
      <c r="AC697" s="215"/>
      <c r="AD697" s="215"/>
      <c r="AE697" s="215"/>
      <c r="AF697" s="215"/>
      <c r="AG697" s="216"/>
      <c r="AJ697" s="214"/>
      <c r="AO697" s="214"/>
      <c r="AQ697" s="214"/>
      <c r="AU697" s="217"/>
      <c r="AV697" s="217"/>
      <c r="AW697" s="217"/>
    </row>
    <row r="698">
      <c r="C698" s="214"/>
      <c r="E698" s="215"/>
      <c r="F698" s="215"/>
      <c r="G698" s="215"/>
      <c r="H698" s="215"/>
      <c r="I698" s="215"/>
      <c r="J698" s="215"/>
      <c r="K698" s="215"/>
      <c r="L698" s="215"/>
      <c r="M698" s="215"/>
      <c r="N698" s="215"/>
      <c r="O698" s="215"/>
      <c r="P698" s="215"/>
      <c r="Q698" s="215"/>
      <c r="R698" s="215"/>
      <c r="S698" s="215"/>
      <c r="T698" s="215"/>
      <c r="U698" s="215"/>
      <c r="V698" s="215"/>
      <c r="W698" s="215"/>
      <c r="X698" s="215"/>
      <c r="Y698" s="215"/>
      <c r="Z698" s="215"/>
      <c r="AA698" s="215"/>
      <c r="AB698" s="215"/>
      <c r="AC698" s="215"/>
      <c r="AD698" s="215"/>
      <c r="AE698" s="215"/>
      <c r="AF698" s="215"/>
      <c r="AG698" s="216"/>
      <c r="AJ698" s="214"/>
      <c r="AO698" s="214"/>
      <c r="AQ698" s="214"/>
      <c r="AU698" s="217"/>
      <c r="AV698" s="217"/>
      <c r="AW698" s="217"/>
    </row>
    <row r="699">
      <c r="C699" s="214"/>
      <c r="E699" s="215"/>
      <c r="F699" s="215"/>
      <c r="G699" s="215"/>
      <c r="H699" s="215"/>
      <c r="I699" s="215"/>
      <c r="J699" s="215"/>
      <c r="K699" s="215"/>
      <c r="L699" s="215"/>
      <c r="M699" s="215"/>
      <c r="N699" s="215"/>
      <c r="O699" s="215"/>
      <c r="P699" s="215"/>
      <c r="Q699" s="215"/>
      <c r="R699" s="215"/>
      <c r="S699" s="215"/>
      <c r="T699" s="215"/>
      <c r="U699" s="215"/>
      <c r="V699" s="215"/>
      <c r="W699" s="215"/>
      <c r="X699" s="215"/>
      <c r="Y699" s="215"/>
      <c r="Z699" s="215"/>
      <c r="AA699" s="215"/>
      <c r="AB699" s="215"/>
      <c r="AC699" s="215"/>
      <c r="AD699" s="215"/>
      <c r="AE699" s="215"/>
      <c r="AF699" s="215"/>
      <c r="AG699" s="216"/>
      <c r="AJ699" s="214"/>
      <c r="AO699" s="214"/>
      <c r="AQ699" s="214"/>
      <c r="AU699" s="217"/>
      <c r="AV699" s="217"/>
      <c r="AW699" s="217"/>
    </row>
    <row r="700">
      <c r="C700" s="214"/>
      <c r="E700" s="215"/>
      <c r="F700" s="215"/>
      <c r="G700" s="215"/>
      <c r="H700" s="215"/>
      <c r="I700" s="215"/>
      <c r="J700" s="215"/>
      <c r="K700" s="215"/>
      <c r="L700" s="215"/>
      <c r="M700" s="215"/>
      <c r="N700" s="215"/>
      <c r="O700" s="215"/>
      <c r="P700" s="215"/>
      <c r="Q700" s="215"/>
      <c r="R700" s="215"/>
      <c r="S700" s="215"/>
      <c r="T700" s="215"/>
      <c r="U700" s="215"/>
      <c r="V700" s="215"/>
      <c r="W700" s="215"/>
      <c r="X700" s="215"/>
      <c r="Y700" s="215"/>
      <c r="Z700" s="215"/>
      <c r="AA700" s="215"/>
      <c r="AB700" s="215"/>
      <c r="AC700" s="215"/>
      <c r="AD700" s="215"/>
      <c r="AE700" s="215"/>
      <c r="AF700" s="215"/>
      <c r="AG700" s="216"/>
      <c r="AJ700" s="214"/>
      <c r="AO700" s="214"/>
      <c r="AQ700" s="214"/>
      <c r="AU700" s="217"/>
      <c r="AV700" s="217"/>
      <c r="AW700" s="217"/>
    </row>
    <row r="701">
      <c r="C701" s="214"/>
      <c r="E701" s="215"/>
      <c r="F701" s="215"/>
      <c r="G701" s="215"/>
      <c r="H701" s="215"/>
      <c r="I701" s="215"/>
      <c r="J701" s="215"/>
      <c r="K701" s="215"/>
      <c r="L701" s="215"/>
      <c r="M701" s="215"/>
      <c r="N701" s="215"/>
      <c r="O701" s="215"/>
      <c r="P701" s="215"/>
      <c r="Q701" s="215"/>
      <c r="R701" s="215"/>
      <c r="S701" s="215"/>
      <c r="T701" s="215"/>
      <c r="U701" s="215"/>
      <c r="V701" s="215"/>
      <c r="W701" s="215"/>
      <c r="X701" s="215"/>
      <c r="Y701" s="215"/>
      <c r="Z701" s="215"/>
      <c r="AA701" s="215"/>
      <c r="AB701" s="215"/>
      <c r="AC701" s="215"/>
      <c r="AD701" s="215"/>
      <c r="AE701" s="215"/>
      <c r="AF701" s="215"/>
      <c r="AG701" s="216"/>
      <c r="AJ701" s="214"/>
      <c r="AO701" s="214"/>
      <c r="AQ701" s="214"/>
      <c r="AU701" s="217"/>
      <c r="AV701" s="217"/>
      <c r="AW701" s="217"/>
    </row>
    <row r="702">
      <c r="C702" s="214"/>
      <c r="E702" s="215"/>
      <c r="F702" s="215"/>
      <c r="G702" s="215"/>
      <c r="H702" s="215"/>
      <c r="I702" s="215"/>
      <c r="J702" s="215"/>
      <c r="K702" s="215"/>
      <c r="L702" s="215"/>
      <c r="M702" s="215"/>
      <c r="N702" s="215"/>
      <c r="O702" s="215"/>
      <c r="P702" s="215"/>
      <c r="Q702" s="215"/>
      <c r="R702" s="215"/>
      <c r="S702" s="215"/>
      <c r="T702" s="215"/>
      <c r="U702" s="215"/>
      <c r="V702" s="215"/>
      <c r="W702" s="215"/>
      <c r="X702" s="215"/>
      <c r="Y702" s="215"/>
      <c r="Z702" s="215"/>
      <c r="AA702" s="215"/>
      <c r="AB702" s="215"/>
      <c r="AC702" s="215"/>
      <c r="AD702" s="215"/>
      <c r="AE702" s="215"/>
      <c r="AF702" s="215"/>
      <c r="AG702" s="216"/>
      <c r="AJ702" s="214"/>
      <c r="AO702" s="214"/>
      <c r="AQ702" s="214"/>
      <c r="AU702" s="217"/>
      <c r="AV702" s="217"/>
      <c r="AW702" s="217"/>
    </row>
    <row r="703">
      <c r="C703" s="214"/>
      <c r="E703" s="215"/>
      <c r="F703" s="215"/>
      <c r="G703" s="215"/>
      <c r="H703" s="215"/>
      <c r="I703" s="215"/>
      <c r="J703" s="215"/>
      <c r="K703" s="215"/>
      <c r="L703" s="215"/>
      <c r="M703" s="215"/>
      <c r="N703" s="215"/>
      <c r="O703" s="215"/>
      <c r="P703" s="215"/>
      <c r="Q703" s="215"/>
      <c r="R703" s="215"/>
      <c r="S703" s="215"/>
      <c r="T703" s="215"/>
      <c r="U703" s="215"/>
      <c r="V703" s="215"/>
      <c r="W703" s="215"/>
      <c r="X703" s="215"/>
      <c r="Y703" s="215"/>
      <c r="Z703" s="215"/>
      <c r="AA703" s="215"/>
      <c r="AB703" s="215"/>
      <c r="AC703" s="215"/>
      <c r="AD703" s="215"/>
      <c r="AE703" s="215"/>
      <c r="AF703" s="215"/>
      <c r="AG703" s="216"/>
      <c r="AJ703" s="214"/>
      <c r="AO703" s="214"/>
      <c r="AQ703" s="214"/>
      <c r="AU703" s="217"/>
      <c r="AV703" s="217"/>
      <c r="AW703" s="217"/>
    </row>
    <row r="704">
      <c r="C704" s="214"/>
      <c r="E704" s="215"/>
      <c r="F704" s="215"/>
      <c r="G704" s="215"/>
      <c r="H704" s="215"/>
      <c r="I704" s="215"/>
      <c r="J704" s="215"/>
      <c r="K704" s="215"/>
      <c r="L704" s="215"/>
      <c r="M704" s="215"/>
      <c r="N704" s="215"/>
      <c r="O704" s="215"/>
      <c r="P704" s="215"/>
      <c r="Q704" s="215"/>
      <c r="R704" s="215"/>
      <c r="S704" s="215"/>
      <c r="T704" s="215"/>
      <c r="U704" s="215"/>
      <c r="V704" s="215"/>
      <c r="W704" s="215"/>
      <c r="X704" s="215"/>
      <c r="Y704" s="215"/>
      <c r="Z704" s="215"/>
      <c r="AA704" s="215"/>
      <c r="AB704" s="215"/>
      <c r="AC704" s="215"/>
      <c r="AD704" s="215"/>
      <c r="AE704" s="215"/>
      <c r="AF704" s="215"/>
      <c r="AG704" s="216"/>
      <c r="AJ704" s="214"/>
      <c r="AO704" s="214"/>
      <c r="AQ704" s="214"/>
      <c r="AU704" s="217"/>
      <c r="AV704" s="217"/>
      <c r="AW704" s="217"/>
    </row>
    <row r="705">
      <c r="C705" s="214"/>
      <c r="E705" s="215"/>
      <c r="F705" s="215"/>
      <c r="G705" s="215"/>
      <c r="H705" s="215"/>
      <c r="I705" s="215"/>
      <c r="J705" s="215"/>
      <c r="K705" s="215"/>
      <c r="L705" s="215"/>
      <c r="M705" s="215"/>
      <c r="N705" s="215"/>
      <c r="O705" s="215"/>
      <c r="P705" s="215"/>
      <c r="Q705" s="215"/>
      <c r="R705" s="215"/>
      <c r="S705" s="215"/>
      <c r="T705" s="215"/>
      <c r="U705" s="215"/>
      <c r="V705" s="215"/>
      <c r="W705" s="215"/>
      <c r="X705" s="215"/>
      <c r="Y705" s="215"/>
      <c r="Z705" s="215"/>
      <c r="AA705" s="215"/>
      <c r="AB705" s="215"/>
      <c r="AC705" s="215"/>
      <c r="AD705" s="215"/>
      <c r="AE705" s="215"/>
      <c r="AF705" s="215"/>
      <c r="AG705" s="216"/>
      <c r="AJ705" s="214"/>
      <c r="AO705" s="214"/>
      <c r="AQ705" s="214"/>
      <c r="AU705" s="217"/>
      <c r="AV705" s="217"/>
      <c r="AW705" s="217"/>
    </row>
    <row r="706">
      <c r="C706" s="214"/>
      <c r="E706" s="215"/>
      <c r="F706" s="215"/>
      <c r="G706" s="215"/>
      <c r="H706" s="215"/>
      <c r="I706" s="215"/>
      <c r="J706" s="215"/>
      <c r="K706" s="215"/>
      <c r="L706" s="215"/>
      <c r="M706" s="215"/>
      <c r="N706" s="215"/>
      <c r="O706" s="215"/>
      <c r="P706" s="215"/>
      <c r="Q706" s="215"/>
      <c r="R706" s="215"/>
      <c r="S706" s="215"/>
      <c r="T706" s="215"/>
      <c r="U706" s="215"/>
      <c r="V706" s="215"/>
      <c r="W706" s="215"/>
      <c r="X706" s="215"/>
      <c r="Y706" s="215"/>
      <c r="Z706" s="215"/>
      <c r="AA706" s="215"/>
      <c r="AB706" s="215"/>
      <c r="AC706" s="215"/>
      <c r="AD706" s="215"/>
      <c r="AE706" s="215"/>
      <c r="AF706" s="215"/>
      <c r="AG706" s="216"/>
      <c r="AJ706" s="214"/>
      <c r="AO706" s="214"/>
      <c r="AQ706" s="214"/>
      <c r="AU706" s="217"/>
      <c r="AV706" s="217"/>
      <c r="AW706" s="217"/>
    </row>
    <row r="707">
      <c r="C707" s="214"/>
      <c r="E707" s="215"/>
      <c r="F707" s="215"/>
      <c r="G707" s="215"/>
      <c r="H707" s="215"/>
      <c r="I707" s="215"/>
      <c r="J707" s="215"/>
      <c r="K707" s="215"/>
      <c r="L707" s="215"/>
      <c r="M707" s="215"/>
      <c r="N707" s="215"/>
      <c r="O707" s="215"/>
      <c r="P707" s="215"/>
      <c r="Q707" s="215"/>
      <c r="R707" s="215"/>
      <c r="S707" s="215"/>
      <c r="T707" s="215"/>
      <c r="U707" s="215"/>
      <c r="V707" s="215"/>
      <c r="W707" s="215"/>
      <c r="X707" s="215"/>
      <c r="Y707" s="215"/>
      <c r="Z707" s="215"/>
      <c r="AA707" s="215"/>
      <c r="AB707" s="215"/>
      <c r="AC707" s="215"/>
      <c r="AD707" s="215"/>
      <c r="AE707" s="215"/>
      <c r="AF707" s="215"/>
      <c r="AG707" s="216"/>
      <c r="AJ707" s="214"/>
      <c r="AO707" s="214"/>
      <c r="AQ707" s="214"/>
      <c r="AU707" s="217"/>
      <c r="AV707" s="217"/>
      <c r="AW707" s="217"/>
    </row>
    <row r="708">
      <c r="C708" s="214"/>
      <c r="E708" s="215"/>
      <c r="F708" s="215"/>
      <c r="G708" s="215"/>
      <c r="H708" s="215"/>
      <c r="I708" s="215"/>
      <c r="J708" s="215"/>
      <c r="K708" s="215"/>
      <c r="L708" s="215"/>
      <c r="M708" s="215"/>
      <c r="N708" s="215"/>
      <c r="O708" s="215"/>
      <c r="P708" s="215"/>
      <c r="Q708" s="215"/>
      <c r="R708" s="215"/>
      <c r="S708" s="215"/>
      <c r="T708" s="215"/>
      <c r="U708" s="215"/>
      <c r="V708" s="215"/>
      <c r="W708" s="215"/>
      <c r="X708" s="215"/>
      <c r="Y708" s="215"/>
      <c r="Z708" s="215"/>
      <c r="AA708" s="215"/>
      <c r="AB708" s="215"/>
      <c r="AC708" s="215"/>
      <c r="AD708" s="215"/>
      <c r="AE708" s="215"/>
      <c r="AF708" s="215"/>
      <c r="AG708" s="216"/>
      <c r="AJ708" s="214"/>
      <c r="AO708" s="214"/>
      <c r="AQ708" s="214"/>
      <c r="AU708" s="217"/>
      <c r="AV708" s="217"/>
      <c r="AW708" s="217"/>
    </row>
    <row r="709">
      <c r="C709" s="214"/>
      <c r="E709" s="215"/>
      <c r="F709" s="215"/>
      <c r="G709" s="215"/>
      <c r="H709" s="215"/>
      <c r="I709" s="215"/>
      <c r="J709" s="215"/>
      <c r="K709" s="215"/>
      <c r="L709" s="215"/>
      <c r="M709" s="215"/>
      <c r="N709" s="215"/>
      <c r="O709" s="215"/>
      <c r="P709" s="215"/>
      <c r="Q709" s="215"/>
      <c r="R709" s="215"/>
      <c r="S709" s="215"/>
      <c r="T709" s="215"/>
      <c r="U709" s="215"/>
      <c r="V709" s="215"/>
      <c r="W709" s="215"/>
      <c r="X709" s="215"/>
      <c r="Y709" s="215"/>
      <c r="Z709" s="215"/>
      <c r="AA709" s="215"/>
      <c r="AB709" s="215"/>
      <c r="AC709" s="215"/>
      <c r="AD709" s="215"/>
      <c r="AE709" s="215"/>
      <c r="AF709" s="215"/>
      <c r="AG709" s="216"/>
      <c r="AJ709" s="214"/>
      <c r="AO709" s="214"/>
      <c r="AQ709" s="214"/>
      <c r="AU709" s="217"/>
      <c r="AV709" s="217"/>
      <c r="AW709" s="217"/>
    </row>
    <row r="710">
      <c r="C710" s="214"/>
      <c r="E710" s="215"/>
      <c r="F710" s="215"/>
      <c r="G710" s="215"/>
      <c r="H710" s="215"/>
      <c r="I710" s="215"/>
      <c r="J710" s="215"/>
      <c r="K710" s="215"/>
      <c r="L710" s="215"/>
      <c r="M710" s="215"/>
      <c r="N710" s="215"/>
      <c r="O710" s="215"/>
      <c r="P710" s="215"/>
      <c r="Q710" s="215"/>
      <c r="R710" s="215"/>
      <c r="S710" s="215"/>
      <c r="T710" s="215"/>
      <c r="U710" s="215"/>
      <c r="V710" s="215"/>
      <c r="W710" s="215"/>
      <c r="X710" s="215"/>
      <c r="Y710" s="215"/>
      <c r="Z710" s="215"/>
      <c r="AA710" s="215"/>
      <c r="AB710" s="215"/>
      <c r="AC710" s="215"/>
      <c r="AD710" s="215"/>
      <c r="AE710" s="215"/>
      <c r="AF710" s="215"/>
      <c r="AG710" s="216"/>
      <c r="AJ710" s="214"/>
      <c r="AO710" s="214"/>
      <c r="AQ710" s="214"/>
      <c r="AU710" s="217"/>
      <c r="AV710" s="217"/>
      <c r="AW710" s="217"/>
    </row>
    <row r="711">
      <c r="C711" s="214"/>
      <c r="E711" s="215"/>
      <c r="F711" s="215"/>
      <c r="G711" s="215"/>
      <c r="H711" s="215"/>
      <c r="I711" s="215"/>
      <c r="J711" s="215"/>
      <c r="K711" s="215"/>
      <c r="L711" s="215"/>
      <c r="M711" s="215"/>
      <c r="N711" s="215"/>
      <c r="O711" s="215"/>
      <c r="P711" s="215"/>
      <c r="Q711" s="215"/>
      <c r="R711" s="215"/>
      <c r="S711" s="215"/>
      <c r="T711" s="215"/>
      <c r="U711" s="215"/>
      <c r="V711" s="215"/>
      <c r="W711" s="215"/>
      <c r="X711" s="215"/>
      <c r="Y711" s="215"/>
      <c r="Z711" s="215"/>
      <c r="AA711" s="215"/>
      <c r="AB711" s="215"/>
      <c r="AC711" s="215"/>
      <c r="AD711" s="215"/>
      <c r="AE711" s="215"/>
      <c r="AF711" s="215"/>
      <c r="AG711" s="216"/>
      <c r="AJ711" s="214"/>
      <c r="AO711" s="214"/>
      <c r="AQ711" s="214"/>
      <c r="AU711" s="217"/>
      <c r="AV711" s="217"/>
      <c r="AW711" s="217"/>
    </row>
    <row r="712">
      <c r="C712" s="214"/>
      <c r="E712" s="215"/>
      <c r="F712" s="215"/>
      <c r="G712" s="215"/>
      <c r="H712" s="215"/>
      <c r="I712" s="215"/>
      <c r="J712" s="215"/>
      <c r="K712" s="215"/>
      <c r="L712" s="215"/>
      <c r="M712" s="215"/>
      <c r="N712" s="215"/>
      <c r="O712" s="215"/>
      <c r="P712" s="215"/>
      <c r="Q712" s="215"/>
      <c r="R712" s="215"/>
      <c r="S712" s="215"/>
      <c r="T712" s="215"/>
      <c r="U712" s="215"/>
      <c r="V712" s="215"/>
      <c r="W712" s="215"/>
      <c r="X712" s="215"/>
      <c r="Y712" s="215"/>
      <c r="Z712" s="215"/>
      <c r="AA712" s="215"/>
      <c r="AB712" s="215"/>
      <c r="AC712" s="215"/>
      <c r="AD712" s="215"/>
      <c r="AE712" s="215"/>
      <c r="AF712" s="215"/>
      <c r="AG712" s="216"/>
      <c r="AJ712" s="214"/>
      <c r="AO712" s="214"/>
      <c r="AQ712" s="214"/>
      <c r="AU712" s="217"/>
      <c r="AV712" s="217"/>
      <c r="AW712" s="217"/>
    </row>
    <row r="713">
      <c r="C713" s="214"/>
      <c r="E713" s="215"/>
      <c r="F713" s="215"/>
      <c r="G713" s="215"/>
      <c r="H713" s="215"/>
      <c r="I713" s="215"/>
      <c r="J713" s="215"/>
      <c r="K713" s="215"/>
      <c r="L713" s="215"/>
      <c r="M713" s="215"/>
      <c r="N713" s="215"/>
      <c r="O713" s="215"/>
      <c r="P713" s="215"/>
      <c r="Q713" s="215"/>
      <c r="R713" s="215"/>
      <c r="S713" s="215"/>
      <c r="T713" s="215"/>
      <c r="U713" s="215"/>
      <c r="V713" s="215"/>
      <c r="W713" s="215"/>
      <c r="X713" s="215"/>
      <c r="Y713" s="215"/>
      <c r="Z713" s="215"/>
      <c r="AA713" s="215"/>
      <c r="AB713" s="215"/>
      <c r="AC713" s="215"/>
      <c r="AD713" s="215"/>
      <c r="AE713" s="215"/>
      <c r="AF713" s="215"/>
      <c r="AG713" s="216"/>
      <c r="AJ713" s="214"/>
      <c r="AO713" s="214"/>
      <c r="AQ713" s="214"/>
      <c r="AU713" s="217"/>
      <c r="AV713" s="217"/>
      <c r="AW713" s="217"/>
    </row>
    <row r="714">
      <c r="C714" s="214"/>
      <c r="E714" s="215"/>
      <c r="F714" s="215"/>
      <c r="G714" s="215"/>
      <c r="H714" s="215"/>
      <c r="I714" s="215"/>
      <c r="J714" s="215"/>
      <c r="K714" s="215"/>
      <c r="L714" s="215"/>
      <c r="M714" s="215"/>
      <c r="N714" s="215"/>
      <c r="O714" s="215"/>
      <c r="P714" s="215"/>
      <c r="Q714" s="215"/>
      <c r="R714" s="215"/>
      <c r="S714" s="215"/>
      <c r="T714" s="215"/>
      <c r="U714" s="215"/>
      <c r="V714" s="215"/>
      <c r="W714" s="215"/>
      <c r="X714" s="215"/>
      <c r="Y714" s="215"/>
      <c r="Z714" s="215"/>
      <c r="AA714" s="215"/>
      <c r="AB714" s="215"/>
      <c r="AC714" s="215"/>
      <c r="AD714" s="215"/>
      <c r="AE714" s="215"/>
      <c r="AF714" s="215"/>
      <c r="AG714" s="216"/>
      <c r="AJ714" s="214"/>
      <c r="AO714" s="214"/>
      <c r="AQ714" s="214"/>
      <c r="AU714" s="217"/>
      <c r="AV714" s="217"/>
      <c r="AW714" s="217"/>
    </row>
    <row r="715">
      <c r="C715" s="214"/>
      <c r="E715" s="215"/>
      <c r="F715" s="215"/>
      <c r="G715" s="215"/>
      <c r="H715" s="215"/>
      <c r="I715" s="215"/>
      <c r="J715" s="215"/>
      <c r="K715" s="215"/>
      <c r="L715" s="215"/>
      <c r="M715" s="215"/>
      <c r="N715" s="215"/>
      <c r="O715" s="215"/>
      <c r="P715" s="215"/>
      <c r="Q715" s="215"/>
      <c r="R715" s="215"/>
      <c r="S715" s="215"/>
      <c r="T715" s="215"/>
      <c r="U715" s="215"/>
      <c r="V715" s="215"/>
      <c r="W715" s="215"/>
      <c r="X715" s="215"/>
      <c r="Y715" s="215"/>
      <c r="Z715" s="215"/>
      <c r="AA715" s="215"/>
      <c r="AB715" s="215"/>
      <c r="AC715" s="215"/>
      <c r="AD715" s="215"/>
      <c r="AE715" s="215"/>
      <c r="AF715" s="215"/>
      <c r="AG715" s="216"/>
      <c r="AJ715" s="214"/>
      <c r="AO715" s="214"/>
      <c r="AQ715" s="214"/>
      <c r="AU715" s="217"/>
      <c r="AV715" s="217"/>
      <c r="AW715" s="217"/>
    </row>
    <row r="716">
      <c r="C716" s="214"/>
      <c r="E716" s="215"/>
      <c r="F716" s="215"/>
      <c r="G716" s="215"/>
      <c r="H716" s="215"/>
      <c r="I716" s="215"/>
      <c r="J716" s="215"/>
      <c r="K716" s="215"/>
      <c r="L716" s="215"/>
      <c r="M716" s="215"/>
      <c r="N716" s="215"/>
      <c r="O716" s="215"/>
      <c r="P716" s="215"/>
      <c r="Q716" s="215"/>
      <c r="R716" s="215"/>
      <c r="S716" s="215"/>
      <c r="T716" s="215"/>
      <c r="U716" s="215"/>
      <c r="V716" s="215"/>
      <c r="W716" s="215"/>
      <c r="X716" s="215"/>
      <c r="Y716" s="215"/>
      <c r="Z716" s="215"/>
      <c r="AA716" s="215"/>
      <c r="AB716" s="215"/>
      <c r="AC716" s="215"/>
      <c r="AD716" s="215"/>
      <c r="AE716" s="215"/>
      <c r="AF716" s="215"/>
      <c r="AG716" s="216"/>
      <c r="AJ716" s="214"/>
      <c r="AO716" s="214"/>
      <c r="AQ716" s="214"/>
      <c r="AU716" s="217"/>
      <c r="AV716" s="217"/>
      <c r="AW716" s="217"/>
    </row>
    <row r="717">
      <c r="C717" s="214"/>
      <c r="E717" s="215"/>
      <c r="F717" s="215"/>
      <c r="G717" s="215"/>
      <c r="H717" s="215"/>
      <c r="I717" s="215"/>
      <c r="J717" s="215"/>
      <c r="K717" s="215"/>
      <c r="L717" s="215"/>
      <c r="M717" s="215"/>
      <c r="N717" s="215"/>
      <c r="O717" s="215"/>
      <c r="P717" s="215"/>
      <c r="Q717" s="215"/>
      <c r="R717" s="215"/>
      <c r="S717" s="215"/>
      <c r="T717" s="215"/>
      <c r="U717" s="215"/>
      <c r="V717" s="215"/>
      <c r="W717" s="215"/>
      <c r="X717" s="215"/>
      <c r="Y717" s="215"/>
      <c r="Z717" s="215"/>
      <c r="AA717" s="215"/>
      <c r="AB717" s="215"/>
      <c r="AC717" s="215"/>
      <c r="AD717" s="215"/>
      <c r="AE717" s="215"/>
      <c r="AF717" s="215"/>
      <c r="AG717" s="216"/>
      <c r="AJ717" s="214"/>
      <c r="AO717" s="214"/>
      <c r="AQ717" s="214"/>
      <c r="AU717" s="217"/>
      <c r="AV717" s="217"/>
      <c r="AW717" s="217"/>
    </row>
    <row r="718">
      <c r="C718" s="214"/>
      <c r="E718" s="215"/>
      <c r="F718" s="215"/>
      <c r="G718" s="215"/>
      <c r="H718" s="215"/>
      <c r="I718" s="215"/>
      <c r="J718" s="215"/>
      <c r="K718" s="215"/>
      <c r="L718" s="215"/>
      <c r="M718" s="215"/>
      <c r="N718" s="215"/>
      <c r="O718" s="215"/>
      <c r="P718" s="215"/>
      <c r="Q718" s="215"/>
      <c r="R718" s="215"/>
      <c r="S718" s="215"/>
      <c r="T718" s="215"/>
      <c r="U718" s="215"/>
      <c r="V718" s="215"/>
      <c r="W718" s="215"/>
      <c r="X718" s="215"/>
      <c r="Y718" s="215"/>
      <c r="Z718" s="215"/>
      <c r="AA718" s="215"/>
      <c r="AB718" s="215"/>
      <c r="AC718" s="215"/>
      <c r="AD718" s="215"/>
      <c r="AE718" s="215"/>
      <c r="AF718" s="215"/>
      <c r="AG718" s="216"/>
      <c r="AJ718" s="214"/>
      <c r="AO718" s="214"/>
      <c r="AQ718" s="214"/>
      <c r="AU718" s="217"/>
      <c r="AV718" s="217"/>
      <c r="AW718" s="217"/>
    </row>
    <row r="719">
      <c r="C719" s="214"/>
      <c r="E719" s="215"/>
      <c r="F719" s="215"/>
      <c r="G719" s="215"/>
      <c r="H719" s="215"/>
      <c r="I719" s="215"/>
      <c r="J719" s="215"/>
      <c r="K719" s="215"/>
      <c r="L719" s="215"/>
      <c r="M719" s="215"/>
      <c r="N719" s="215"/>
      <c r="O719" s="215"/>
      <c r="P719" s="215"/>
      <c r="Q719" s="215"/>
      <c r="R719" s="215"/>
      <c r="S719" s="215"/>
      <c r="T719" s="215"/>
      <c r="U719" s="215"/>
      <c r="V719" s="215"/>
      <c r="W719" s="215"/>
      <c r="X719" s="215"/>
      <c r="Y719" s="215"/>
      <c r="Z719" s="215"/>
      <c r="AA719" s="215"/>
      <c r="AB719" s="215"/>
      <c r="AC719" s="215"/>
      <c r="AD719" s="215"/>
      <c r="AE719" s="215"/>
      <c r="AF719" s="215"/>
      <c r="AG719" s="216"/>
      <c r="AJ719" s="214"/>
      <c r="AO719" s="214"/>
      <c r="AQ719" s="214"/>
      <c r="AU719" s="217"/>
      <c r="AV719" s="217"/>
      <c r="AW719" s="217"/>
    </row>
    <row r="720">
      <c r="C720" s="214"/>
      <c r="E720" s="215"/>
      <c r="F720" s="215"/>
      <c r="G720" s="215"/>
      <c r="H720" s="215"/>
      <c r="I720" s="215"/>
      <c r="J720" s="215"/>
      <c r="K720" s="215"/>
      <c r="L720" s="215"/>
      <c r="M720" s="215"/>
      <c r="N720" s="215"/>
      <c r="O720" s="215"/>
      <c r="P720" s="215"/>
      <c r="Q720" s="215"/>
      <c r="R720" s="215"/>
      <c r="S720" s="215"/>
      <c r="T720" s="215"/>
      <c r="U720" s="215"/>
      <c r="V720" s="215"/>
      <c r="W720" s="215"/>
      <c r="X720" s="215"/>
      <c r="Y720" s="215"/>
      <c r="Z720" s="215"/>
      <c r="AA720" s="215"/>
      <c r="AB720" s="215"/>
      <c r="AC720" s="215"/>
      <c r="AD720" s="215"/>
      <c r="AE720" s="215"/>
      <c r="AF720" s="215"/>
      <c r="AG720" s="216"/>
      <c r="AJ720" s="214"/>
      <c r="AO720" s="214"/>
      <c r="AQ720" s="214"/>
      <c r="AU720" s="217"/>
      <c r="AV720" s="217"/>
      <c r="AW720" s="217"/>
    </row>
    <row r="721">
      <c r="C721" s="214"/>
      <c r="E721" s="215"/>
      <c r="F721" s="215"/>
      <c r="G721" s="215"/>
      <c r="H721" s="215"/>
      <c r="I721" s="215"/>
      <c r="J721" s="215"/>
      <c r="K721" s="215"/>
      <c r="L721" s="215"/>
      <c r="M721" s="215"/>
      <c r="N721" s="215"/>
      <c r="O721" s="215"/>
      <c r="P721" s="215"/>
      <c r="Q721" s="215"/>
      <c r="R721" s="215"/>
      <c r="S721" s="215"/>
      <c r="T721" s="215"/>
      <c r="U721" s="215"/>
      <c r="V721" s="215"/>
      <c r="W721" s="215"/>
      <c r="X721" s="215"/>
      <c r="Y721" s="215"/>
      <c r="Z721" s="215"/>
      <c r="AA721" s="215"/>
      <c r="AB721" s="215"/>
      <c r="AC721" s="215"/>
      <c r="AD721" s="215"/>
      <c r="AE721" s="215"/>
      <c r="AF721" s="215"/>
      <c r="AG721" s="216"/>
      <c r="AJ721" s="214"/>
      <c r="AO721" s="214"/>
      <c r="AQ721" s="214"/>
      <c r="AU721" s="217"/>
      <c r="AV721" s="217"/>
      <c r="AW721" s="217"/>
    </row>
    <row r="722">
      <c r="C722" s="214"/>
      <c r="E722" s="215"/>
      <c r="F722" s="215"/>
      <c r="G722" s="215"/>
      <c r="H722" s="215"/>
      <c r="I722" s="215"/>
      <c r="J722" s="215"/>
      <c r="K722" s="215"/>
      <c r="L722" s="215"/>
      <c r="M722" s="215"/>
      <c r="N722" s="215"/>
      <c r="O722" s="215"/>
      <c r="P722" s="215"/>
      <c r="Q722" s="215"/>
      <c r="R722" s="215"/>
      <c r="S722" s="215"/>
      <c r="T722" s="215"/>
      <c r="U722" s="215"/>
      <c r="V722" s="215"/>
      <c r="W722" s="215"/>
      <c r="X722" s="215"/>
      <c r="Y722" s="215"/>
      <c r="Z722" s="215"/>
      <c r="AA722" s="215"/>
      <c r="AB722" s="215"/>
      <c r="AC722" s="215"/>
      <c r="AD722" s="215"/>
      <c r="AE722" s="215"/>
      <c r="AF722" s="215"/>
      <c r="AG722" s="216"/>
      <c r="AJ722" s="214"/>
      <c r="AO722" s="214"/>
      <c r="AQ722" s="214"/>
      <c r="AU722" s="217"/>
      <c r="AV722" s="217"/>
      <c r="AW722" s="217"/>
    </row>
    <row r="723">
      <c r="C723" s="214"/>
      <c r="E723" s="215"/>
      <c r="F723" s="215"/>
      <c r="G723" s="215"/>
      <c r="H723" s="215"/>
      <c r="I723" s="215"/>
      <c r="J723" s="215"/>
      <c r="K723" s="215"/>
      <c r="L723" s="215"/>
      <c r="M723" s="215"/>
      <c r="N723" s="215"/>
      <c r="O723" s="215"/>
      <c r="P723" s="215"/>
      <c r="Q723" s="215"/>
      <c r="R723" s="215"/>
      <c r="S723" s="215"/>
      <c r="T723" s="215"/>
      <c r="U723" s="215"/>
      <c r="V723" s="215"/>
      <c r="W723" s="215"/>
      <c r="X723" s="215"/>
      <c r="Y723" s="215"/>
      <c r="Z723" s="215"/>
      <c r="AA723" s="215"/>
      <c r="AB723" s="215"/>
      <c r="AC723" s="215"/>
      <c r="AD723" s="215"/>
      <c r="AE723" s="215"/>
      <c r="AF723" s="215"/>
      <c r="AG723" s="216"/>
      <c r="AJ723" s="214"/>
      <c r="AO723" s="214"/>
      <c r="AQ723" s="214"/>
      <c r="AU723" s="217"/>
      <c r="AV723" s="217"/>
      <c r="AW723" s="217"/>
    </row>
    <row r="724">
      <c r="C724" s="214"/>
      <c r="E724" s="215"/>
      <c r="F724" s="215"/>
      <c r="G724" s="215"/>
      <c r="H724" s="215"/>
      <c r="I724" s="215"/>
      <c r="J724" s="215"/>
      <c r="K724" s="215"/>
      <c r="L724" s="215"/>
      <c r="M724" s="215"/>
      <c r="N724" s="215"/>
      <c r="O724" s="215"/>
      <c r="P724" s="215"/>
      <c r="Q724" s="215"/>
      <c r="R724" s="215"/>
      <c r="S724" s="215"/>
      <c r="T724" s="215"/>
      <c r="U724" s="215"/>
      <c r="V724" s="215"/>
      <c r="W724" s="215"/>
      <c r="X724" s="215"/>
      <c r="Y724" s="215"/>
      <c r="Z724" s="215"/>
      <c r="AA724" s="215"/>
      <c r="AB724" s="215"/>
      <c r="AC724" s="215"/>
      <c r="AD724" s="215"/>
      <c r="AE724" s="215"/>
      <c r="AF724" s="215"/>
      <c r="AG724" s="216"/>
      <c r="AJ724" s="214"/>
      <c r="AO724" s="214"/>
      <c r="AQ724" s="214"/>
      <c r="AU724" s="217"/>
      <c r="AV724" s="217"/>
      <c r="AW724" s="217"/>
    </row>
    <row r="725">
      <c r="C725" s="214"/>
      <c r="E725" s="215"/>
      <c r="F725" s="215"/>
      <c r="G725" s="215"/>
      <c r="H725" s="215"/>
      <c r="I725" s="215"/>
      <c r="J725" s="215"/>
      <c r="K725" s="215"/>
      <c r="L725" s="215"/>
      <c r="M725" s="215"/>
      <c r="N725" s="215"/>
      <c r="O725" s="215"/>
      <c r="P725" s="215"/>
      <c r="Q725" s="215"/>
      <c r="R725" s="215"/>
      <c r="S725" s="215"/>
      <c r="T725" s="215"/>
      <c r="U725" s="215"/>
      <c r="V725" s="215"/>
      <c r="W725" s="215"/>
      <c r="X725" s="215"/>
      <c r="Y725" s="215"/>
      <c r="Z725" s="215"/>
      <c r="AA725" s="215"/>
      <c r="AB725" s="215"/>
      <c r="AC725" s="215"/>
      <c r="AD725" s="215"/>
      <c r="AE725" s="215"/>
      <c r="AF725" s="215"/>
      <c r="AG725" s="216"/>
      <c r="AJ725" s="214"/>
      <c r="AO725" s="214"/>
      <c r="AQ725" s="214"/>
      <c r="AU725" s="217"/>
      <c r="AV725" s="217"/>
      <c r="AW725" s="217"/>
    </row>
    <row r="726">
      <c r="C726" s="214"/>
      <c r="E726" s="215"/>
      <c r="F726" s="215"/>
      <c r="G726" s="215"/>
      <c r="H726" s="215"/>
      <c r="I726" s="215"/>
      <c r="J726" s="215"/>
      <c r="K726" s="215"/>
      <c r="L726" s="215"/>
      <c r="M726" s="215"/>
      <c r="N726" s="215"/>
      <c r="O726" s="215"/>
      <c r="P726" s="215"/>
      <c r="Q726" s="215"/>
      <c r="R726" s="215"/>
      <c r="S726" s="215"/>
      <c r="T726" s="215"/>
      <c r="U726" s="215"/>
      <c r="V726" s="215"/>
      <c r="W726" s="215"/>
      <c r="X726" s="215"/>
      <c r="Y726" s="215"/>
      <c r="Z726" s="215"/>
      <c r="AA726" s="215"/>
      <c r="AB726" s="215"/>
      <c r="AC726" s="215"/>
      <c r="AD726" s="215"/>
      <c r="AE726" s="215"/>
      <c r="AF726" s="215"/>
      <c r="AG726" s="216"/>
      <c r="AJ726" s="214"/>
      <c r="AO726" s="214"/>
      <c r="AQ726" s="214"/>
      <c r="AU726" s="217"/>
      <c r="AV726" s="217"/>
      <c r="AW726" s="217"/>
    </row>
    <row r="727">
      <c r="C727" s="214"/>
      <c r="E727" s="215"/>
      <c r="F727" s="215"/>
      <c r="G727" s="215"/>
      <c r="H727" s="215"/>
      <c r="I727" s="215"/>
      <c r="J727" s="215"/>
      <c r="K727" s="215"/>
      <c r="L727" s="215"/>
      <c r="M727" s="215"/>
      <c r="N727" s="215"/>
      <c r="O727" s="215"/>
      <c r="P727" s="215"/>
      <c r="Q727" s="215"/>
      <c r="R727" s="215"/>
      <c r="S727" s="215"/>
      <c r="T727" s="215"/>
      <c r="U727" s="215"/>
      <c r="V727" s="215"/>
      <c r="W727" s="215"/>
      <c r="X727" s="215"/>
      <c r="Y727" s="215"/>
      <c r="Z727" s="215"/>
      <c r="AA727" s="215"/>
      <c r="AB727" s="215"/>
      <c r="AC727" s="215"/>
      <c r="AD727" s="215"/>
      <c r="AE727" s="215"/>
      <c r="AF727" s="215"/>
      <c r="AG727" s="216"/>
      <c r="AJ727" s="214"/>
      <c r="AO727" s="214"/>
      <c r="AQ727" s="214"/>
      <c r="AU727" s="217"/>
      <c r="AV727" s="217"/>
      <c r="AW727" s="217"/>
    </row>
    <row r="728">
      <c r="C728" s="214"/>
      <c r="E728" s="215"/>
      <c r="F728" s="215"/>
      <c r="G728" s="215"/>
      <c r="H728" s="215"/>
      <c r="I728" s="215"/>
      <c r="J728" s="215"/>
      <c r="K728" s="215"/>
      <c r="L728" s="215"/>
      <c r="M728" s="215"/>
      <c r="N728" s="215"/>
      <c r="O728" s="215"/>
      <c r="P728" s="215"/>
      <c r="Q728" s="215"/>
      <c r="R728" s="215"/>
      <c r="S728" s="215"/>
      <c r="T728" s="215"/>
      <c r="U728" s="215"/>
      <c r="V728" s="215"/>
      <c r="W728" s="215"/>
      <c r="X728" s="215"/>
      <c r="Y728" s="215"/>
      <c r="Z728" s="215"/>
      <c r="AA728" s="215"/>
      <c r="AB728" s="215"/>
      <c r="AC728" s="215"/>
      <c r="AD728" s="215"/>
      <c r="AE728" s="215"/>
      <c r="AF728" s="215"/>
      <c r="AG728" s="216"/>
      <c r="AJ728" s="214"/>
      <c r="AO728" s="214"/>
      <c r="AQ728" s="214"/>
      <c r="AU728" s="217"/>
      <c r="AV728" s="217"/>
      <c r="AW728" s="217"/>
    </row>
    <row r="729">
      <c r="C729" s="214"/>
      <c r="E729" s="215"/>
      <c r="F729" s="215"/>
      <c r="G729" s="215"/>
      <c r="H729" s="215"/>
      <c r="I729" s="215"/>
      <c r="J729" s="215"/>
      <c r="K729" s="215"/>
      <c r="L729" s="215"/>
      <c r="M729" s="215"/>
      <c r="N729" s="215"/>
      <c r="O729" s="215"/>
      <c r="P729" s="215"/>
      <c r="Q729" s="215"/>
      <c r="R729" s="215"/>
      <c r="S729" s="215"/>
      <c r="T729" s="215"/>
      <c r="U729" s="215"/>
      <c r="V729" s="215"/>
      <c r="W729" s="215"/>
      <c r="X729" s="215"/>
      <c r="Y729" s="215"/>
      <c r="Z729" s="215"/>
      <c r="AA729" s="215"/>
      <c r="AB729" s="215"/>
      <c r="AC729" s="215"/>
      <c r="AD729" s="215"/>
      <c r="AE729" s="215"/>
      <c r="AF729" s="215"/>
      <c r="AG729" s="216"/>
      <c r="AJ729" s="214"/>
      <c r="AO729" s="214"/>
      <c r="AQ729" s="214"/>
      <c r="AU729" s="217"/>
      <c r="AV729" s="217"/>
      <c r="AW729" s="217"/>
    </row>
    <row r="730">
      <c r="C730" s="214"/>
      <c r="E730" s="215"/>
      <c r="F730" s="215"/>
      <c r="G730" s="215"/>
      <c r="H730" s="215"/>
      <c r="I730" s="215"/>
      <c r="J730" s="215"/>
      <c r="K730" s="215"/>
      <c r="L730" s="215"/>
      <c r="M730" s="215"/>
      <c r="N730" s="215"/>
      <c r="O730" s="215"/>
      <c r="P730" s="215"/>
      <c r="Q730" s="215"/>
      <c r="R730" s="215"/>
      <c r="S730" s="215"/>
      <c r="T730" s="215"/>
      <c r="U730" s="215"/>
      <c r="V730" s="215"/>
      <c r="W730" s="215"/>
      <c r="X730" s="215"/>
      <c r="Y730" s="215"/>
      <c r="Z730" s="215"/>
      <c r="AA730" s="215"/>
      <c r="AB730" s="215"/>
      <c r="AC730" s="215"/>
      <c r="AD730" s="215"/>
      <c r="AE730" s="215"/>
      <c r="AF730" s="215"/>
      <c r="AG730" s="216"/>
      <c r="AJ730" s="214"/>
      <c r="AO730" s="214"/>
      <c r="AQ730" s="214"/>
      <c r="AU730" s="217"/>
      <c r="AV730" s="217"/>
      <c r="AW730" s="217"/>
    </row>
    <row r="731">
      <c r="C731" s="214"/>
      <c r="E731" s="215"/>
      <c r="F731" s="215"/>
      <c r="G731" s="215"/>
      <c r="H731" s="215"/>
      <c r="I731" s="215"/>
      <c r="J731" s="215"/>
      <c r="K731" s="215"/>
      <c r="L731" s="215"/>
      <c r="M731" s="215"/>
      <c r="N731" s="215"/>
      <c r="O731" s="215"/>
      <c r="P731" s="215"/>
      <c r="Q731" s="215"/>
      <c r="R731" s="215"/>
      <c r="S731" s="215"/>
      <c r="T731" s="215"/>
      <c r="U731" s="215"/>
      <c r="V731" s="215"/>
      <c r="W731" s="215"/>
      <c r="X731" s="215"/>
      <c r="Y731" s="215"/>
      <c r="Z731" s="215"/>
      <c r="AA731" s="215"/>
      <c r="AB731" s="215"/>
      <c r="AC731" s="215"/>
      <c r="AD731" s="215"/>
      <c r="AE731" s="215"/>
      <c r="AF731" s="215"/>
      <c r="AG731" s="216"/>
      <c r="AJ731" s="214"/>
      <c r="AO731" s="214"/>
      <c r="AQ731" s="214"/>
      <c r="AU731" s="217"/>
      <c r="AV731" s="217"/>
      <c r="AW731" s="217"/>
    </row>
    <row r="732">
      <c r="C732" s="214"/>
      <c r="E732" s="215"/>
      <c r="F732" s="215"/>
      <c r="G732" s="215"/>
      <c r="H732" s="215"/>
      <c r="I732" s="215"/>
      <c r="J732" s="215"/>
      <c r="K732" s="215"/>
      <c r="L732" s="215"/>
      <c r="M732" s="215"/>
      <c r="N732" s="215"/>
      <c r="O732" s="215"/>
      <c r="P732" s="215"/>
      <c r="Q732" s="215"/>
      <c r="R732" s="215"/>
      <c r="S732" s="215"/>
      <c r="T732" s="215"/>
      <c r="U732" s="215"/>
      <c r="V732" s="215"/>
      <c r="W732" s="215"/>
      <c r="X732" s="215"/>
      <c r="Y732" s="215"/>
      <c r="Z732" s="215"/>
      <c r="AA732" s="215"/>
      <c r="AB732" s="215"/>
      <c r="AC732" s="215"/>
      <c r="AD732" s="215"/>
      <c r="AE732" s="215"/>
      <c r="AF732" s="215"/>
      <c r="AG732" s="216"/>
      <c r="AJ732" s="214"/>
      <c r="AO732" s="214"/>
      <c r="AQ732" s="214"/>
      <c r="AU732" s="217"/>
      <c r="AV732" s="217"/>
      <c r="AW732" s="217"/>
    </row>
    <row r="733">
      <c r="C733" s="214"/>
      <c r="E733" s="215"/>
      <c r="F733" s="215"/>
      <c r="G733" s="215"/>
      <c r="H733" s="215"/>
      <c r="I733" s="215"/>
      <c r="J733" s="215"/>
      <c r="K733" s="215"/>
      <c r="L733" s="215"/>
      <c r="M733" s="215"/>
      <c r="N733" s="215"/>
      <c r="O733" s="215"/>
      <c r="P733" s="215"/>
      <c r="Q733" s="215"/>
      <c r="R733" s="215"/>
      <c r="S733" s="215"/>
      <c r="T733" s="215"/>
      <c r="U733" s="215"/>
      <c r="V733" s="215"/>
      <c r="W733" s="215"/>
      <c r="X733" s="215"/>
      <c r="Y733" s="215"/>
      <c r="Z733" s="215"/>
      <c r="AA733" s="215"/>
      <c r="AB733" s="215"/>
      <c r="AC733" s="215"/>
      <c r="AD733" s="215"/>
      <c r="AE733" s="215"/>
      <c r="AF733" s="215"/>
      <c r="AG733" s="216"/>
      <c r="AJ733" s="214"/>
      <c r="AO733" s="214"/>
      <c r="AQ733" s="214"/>
      <c r="AU733" s="217"/>
      <c r="AV733" s="217"/>
      <c r="AW733" s="217"/>
    </row>
    <row r="734">
      <c r="C734" s="214"/>
      <c r="E734" s="215"/>
      <c r="F734" s="215"/>
      <c r="G734" s="215"/>
      <c r="H734" s="215"/>
      <c r="I734" s="215"/>
      <c r="J734" s="215"/>
      <c r="K734" s="215"/>
      <c r="L734" s="215"/>
      <c r="M734" s="215"/>
      <c r="N734" s="215"/>
      <c r="O734" s="215"/>
      <c r="P734" s="215"/>
      <c r="Q734" s="215"/>
      <c r="R734" s="215"/>
      <c r="S734" s="215"/>
      <c r="T734" s="215"/>
      <c r="U734" s="215"/>
      <c r="V734" s="215"/>
      <c r="W734" s="215"/>
      <c r="X734" s="215"/>
      <c r="Y734" s="215"/>
      <c r="Z734" s="215"/>
      <c r="AA734" s="215"/>
      <c r="AB734" s="215"/>
      <c r="AC734" s="215"/>
      <c r="AD734" s="215"/>
      <c r="AE734" s="215"/>
      <c r="AF734" s="215"/>
      <c r="AG734" s="216"/>
      <c r="AJ734" s="214"/>
      <c r="AO734" s="214"/>
      <c r="AQ734" s="214"/>
      <c r="AU734" s="217"/>
      <c r="AV734" s="217"/>
      <c r="AW734" s="217"/>
    </row>
    <row r="735">
      <c r="C735" s="214"/>
      <c r="E735" s="215"/>
      <c r="F735" s="215"/>
      <c r="G735" s="215"/>
      <c r="H735" s="215"/>
      <c r="I735" s="215"/>
      <c r="J735" s="215"/>
      <c r="K735" s="215"/>
      <c r="L735" s="215"/>
      <c r="M735" s="215"/>
      <c r="N735" s="215"/>
      <c r="O735" s="215"/>
      <c r="P735" s="215"/>
      <c r="Q735" s="215"/>
      <c r="R735" s="215"/>
      <c r="S735" s="215"/>
      <c r="T735" s="215"/>
      <c r="U735" s="215"/>
      <c r="V735" s="215"/>
      <c r="W735" s="215"/>
      <c r="X735" s="215"/>
      <c r="Y735" s="215"/>
      <c r="Z735" s="215"/>
      <c r="AA735" s="215"/>
      <c r="AB735" s="215"/>
      <c r="AC735" s="215"/>
      <c r="AD735" s="215"/>
      <c r="AE735" s="215"/>
      <c r="AF735" s="215"/>
      <c r="AG735" s="216"/>
      <c r="AJ735" s="214"/>
      <c r="AO735" s="214"/>
      <c r="AQ735" s="214"/>
      <c r="AU735" s="217"/>
      <c r="AV735" s="217"/>
      <c r="AW735" s="217"/>
    </row>
    <row r="736">
      <c r="C736" s="214"/>
      <c r="E736" s="215"/>
      <c r="F736" s="215"/>
      <c r="G736" s="215"/>
      <c r="H736" s="215"/>
      <c r="I736" s="215"/>
      <c r="J736" s="215"/>
      <c r="K736" s="215"/>
      <c r="L736" s="215"/>
      <c r="M736" s="215"/>
      <c r="N736" s="215"/>
      <c r="O736" s="215"/>
      <c r="P736" s="215"/>
      <c r="Q736" s="215"/>
      <c r="R736" s="215"/>
      <c r="S736" s="215"/>
      <c r="T736" s="215"/>
      <c r="U736" s="215"/>
      <c r="V736" s="215"/>
      <c r="W736" s="215"/>
      <c r="X736" s="215"/>
      <c r="Y736" s="215"/>
      <c r="Z736" s="215"/>
      <c r="AA736" s="215"/>
      <c r="AB736" s="215"/>
      <c r="AC736" s="215"/>
      <c r="AD736" s="215"/>
      <c r="AE736" s="215"/>
      <c r="AF736" s="215"/>
      <c r="AG736" s="216"/>
      <c r="AJ736" s="214"/>
      <c r="AO736" s="214"/>
      <c r="AQ736" s="214"/>
      <c r="AU736" s="217"/>
      <c r="AV736" s="217"/>
      <c r="AW736" s="217"/>
    </row>
    <row r="737">
      <c r="C737" s="214"/>
      <c r="E737" s="215"/>
      <c r="F737" s="215"/>
      <c r="G737" s="215"/>
      <c r="H737" s="215"/>
      <c r="I737" s="215"/>
      <c r="J737" s="215"/>
      <c r="K737" s="215"/>
      <c r="L737" s="215"/>
      <c r="M737" s="215"/>
      <c r="N737" s="215"/>
      <c r="O737" s="215"/>
      <c r="P737" s="215"/>
      <c r="Q737" s="215"/>
      <c r="R737" s="215"/>
      <c r="S737" s="215"/>
      <c r="T737" s="215"/>
      <c r="U737" s="215"/>
      <c r="V737" s="215"/>
      <c r="W737" s="215"/>
      <c r="X737" s="215"/>
      <c r="Y737" s="215"/>
      <c r="Z737" s="215"/>
      <c r="AA737" s="215"/>
      <c r="AB737" s="215"/>
      <c r="AC737" s="215"/>
      <c r="AD737" s="215"/>
      <c r="AE737" s="215"/>
      <c r="AF737" s="215"/>
      <c r="AG737" s="216"/>
      <c r="AJ737" s="214"/>
      <c r="AO737" s="214"/>
      <c r="AQ737" s="214"/>
      <c r="AU737" s="217"/>
      <c r="AV737" s="217"/>
      <c r="AW737" s="217"/>
    </row>
    <row r="738">
      <c r="C738" s="214"/>
      <c r="E738" s="215"/>
      <c r="F738" s="215"/>
      <c r="G738" s="215"/>
      <c r="H738" s="215"/>
      <c r="I738" s="215"/>
      <c r="J738" s="215"/>
      <c r="K738" s="215"/>
      <c r="L738" s="215"/>
      <c r="M738" s="215"/>
      <c r="N738" s="215"/>
      <c r="O738" s="215"/>
      <c r="P738" s="215"/>
      <c r="Q738" s="215"/>
      <c r="R738" s="215"/>
      <c r="S738" s="215"/>
      <c r="T738" s="215"/>
      <c r="U738" s="215"/>
      <c r="V738" s="215"/>
      <c r="W738" s="215"/>
      <c r="X738" s="215"/>
      <c r="Y738" s="215"/>
      <c r="Z738" s="215"/>
      <c r="AA738" s="215"/>
      <c r="AB738" s="215"/>
      <c r="AC738" s="215"/>
      <c r="AD738" s="215"/>
      <c r="AE738" s="215"/>
      <c r="AF738" s="215"/>
      <c r="AG738" s="216"/>
      <c r="AJ738" s="214"/>
      <c r="AO738" s="214"/>
      <c r="AQ738" s="214"/>
      <c r="AU738" s="217"/>
      <c r="AV738" s="217"/>
      <c r="AW738" s="217"/>
    </row>
    <row r="739">
      <c r="C739" s="214"/>
      <c r="E739" s="215"/>
      <c r="F739" s="215"/>
      <c r="G739" s="215"/>
      <c r="H739" s="215"/>
      <c r="I739" s="215"/>
      <c r="J739" s="215"/>
      <c r="K739" s="215"/>
      <c r="L739" s="215"/>
      <c r="M739" s="215"/>
      <c r="N739" s="215"/>
      <c r="O739" s="215"/>
      <c r="P739" s="215"/>
      <c r="Q739" s="215"/>
      <c r="R739" s="215"/>
      <c r="S739" s="215"/>
      <c r="T739" s="215"/>
      <c r="U739" s="215"/>
      <c r="V739" s="215"/>
      <c r="W739" s="215"/>
      <c r="X739" s="215"/>
      <c r="Y739" s="215"/>
      <c r="Z739" s="215"/>
      <c r="AA739" s="215"/>
      <c r="AB739" s="215"/>
      <c r="AC739" s="215"/>
      <c r="AD739" s="215"/>
      <c r="AE739" s="215"/>
      <c r="AF739" s="215"/>
      <c r="AG739" s="216"/>
      <c r="AJ739" s="214"/>
      <c r="AO739" s="214"/>
      <c r="AQ739" s="214"/>
      <c r="AU739" s="217"/>
      <c r="AV739" s="217"/>
      <c r="AW739" s="217"/>
    </row>
    <row r="740">
      <c r="C740" s="214"/>
      <c r="E740" s="215"/>
      <c r="F740" s="215"/>
      <c r="G740" s="215"/>
      <c r="H740" s="215"/>
      <c r="I740" s="215"/>
      <c r="J740" s="215"/>
      <c r="K740" s="215"/>
      <c r="L740" s="215"/>
      <c r="M740" s="215"/>
      <c r="N740" s="215"/>
      <c r="O740" s="215"/>
      <c r="P740" s="215"/>
      <c r="Q740" s="215"/>
      <c r="R740" s="215"/>
      <c r="S740" s="215"/>
      <c r="T740" s="215"/>
      <c r="U740" s="215"/>
      <c r="V740" s="215"/>
      <c r="W740" s="215"/>
      <c r="X740" s="215"/>
      <c r="Y740" s="215"/>
      <c r="Z740" s="215"/>
      <c r="AA740" s="215"/>
      <c r="AB740" s="215"/>
      <c r="AC740" s="215"/>
      <c r="AD740" s="215"/>
      <c r="AE740" s="215"/>
      <c r="AF740" s="215"/>
      <c r="AG740" s="216"/>
      <c r="AJ740" s="214"/>
      <c r="AO740" s="214"/>
      <c r="AQ740" s="214"/>
      <c r="AU740" s="217"/>
      <c r="AV740" s="217"/>
      <c r="AW740" s="217"/>
    </row>
    <row r="741">
      <c r="C741" s="214"/>
      <c r="E741" s="215"/>
      <c r="F741" s="215"/>
      <c r="G741" s="215"/>
      <c r="H741" s="215"/>
      <c r="I741" s="215"/>
      <c r="J741" s="215"/>
      <c r="K741" s="215"/>
      <c r="L741" s="215"/>
      <c r="M741" s="215"/>
      <c r="N741" s="215"/>
      <c r="O741" s="215"/>
      <c r="P741" s="215"/>
      <c r="Q741" s="215"/>
      <c r="R741" s="215"/>
      <c r="S741" s="215"/>
      <c r="T741" s="215"/>
      <c r="U741" s="215"/>
      <c r="V741" s="215"/>
      <c r="W741" s="215"/>
      <c r="X741" s="215"/>
      <c r="Y741" s="215"/>
      <c r="Z741" s="215"/>
      <c r="AA741" s="215"/>
      <c r="AB741" s="215"/>
      <c r="AC741" s="215"/>
      <c r="AD741" s="215"/>
      <c r="AE741" s="215"/>
      <c r="AF741" s="215"/>
      <c r="AG741" s="216"/>
      <c r="AJ741" s="214"/>
      <c r="AO741" s="214"/>
      <c r="AQ741" s="214"/>
      <c r="AU741" s="217"/>
      <c r="AV741" s="217"/>
      <c r="AW741" s="217"/>
    </row>
    <row r="742">
      <c r="C742" s="214"/>
      <c r="E742" s="215"/>
      <c r="F742" s="215"/>
      <c r="G742" s="215"/>
      <c r="H742" s="215"/>
      <c r="I742" s="215"/>
      <c r="J742" s="215"/>
      <c r="K742" s="215"/>
      <c r="L742" s="215"/>
      <c r="M742" s="215"/>
      <c r="N742" s="215"/>
      <c r="O742" s="215"/>
      <c r="P742" s="215"/>
      <c r="Q742" s="215"/>
      <c r="R742" s="215"/>
      <c r="S742" s="215"/>
      <c r="T742" s="215"/>
      <c r="U742" s="215"/>
      <c r="V742" s="215"/>
      <c r="W742" s="215"/>
      <c r="X742" s="215"/>
      <c r="Y742" s="215"/>
      <c r="Z742" s="215"/>
      <c r="AA742" s="215"/>
      <c r="AB742" s="215"/>
      <c r="AC742" s="215"/>
      <c r="AD742" s="215"/>
      <c r="AE742" s="215"/>
      <c r="AF742" s="215"/>
      <c r="AG742" s="216"/>
      <c r="AJ742" s="214"/>
      <c r="AO742" s="214"/>
      <c r="AQ742" s="214"/>
      <c r="AU742" s="217"/>
      <c r="AV742" s="217"/>
      <c r="AW742" s="217"/>
    </row>
    <row r="743">
      <c r="C743" s="214"/>
      <c r="E743" s="215"/>
      <c r="F743" s="215"/>
      <c r="G743" s="215"/>
      <c r="H743" s="215"/>
      <c r="I743" s="215"/>
      <c r="J743" s="215"/>
      <c r="K743" s="215"/>
      <c r="L743" s="215"/>
      <c r="M743" s="215"/>
      <c r="N743" s="215"/>
      <c r="O743" s="215"/>
      <c r="P743" s="215"/>
      <c r="Q743" s="215"/>
      <c r="R743" s="215"/>
      <c r="S743" s="215"/>
      <c r="T743" s="215"/>
      <c r="U743" s="215"/>
      <c r="V743" s="215"/>
      <c r="W743" s="215"/>
      <c r="X743" s="215"/>
      <c r="Y743" s="215"/>
      <c r="Z743" s="215"/>
      <c r="AA743" s="215"/>
      <c r="AB743" s="215"/>
      <c r="AC743" s="215"/>
      <c r="AD743" s="215"/>
      <c r="AE743" s="215"/>
      <c r="AF743" s="215"/>
      <c r="AG743" s="216"/>
      <c r="AJ743" s="214"/>
      <c r="AO743" s="214"/>
      <c r="AQ743" s="214"/>
      <c r="AU743" s="217"/>
      <c r="AV743" s="217"/>
      <c r="AW743" s="217"/>
    </row>
    <row r="744">
      <c r="C744" s="214"/>
      <c r="E744" s="215"/>
      <c r="F744" s="215"/>
      <c r="G744" s="215"/>
      <c r="H744" s="215"/>
      <c r="I744" s="215"/>
      <c r="J744" s="215"/>
      <c r="K744" s="215"/>
      <c r="L744" s="215"/>
      <c r="M744" s="215"/>
      <c r="N744" s="215"/>
      <c r="O744" s="215"/>
      <c r="P744" s="215"/>
      <c r="Q744" s="215"/>
      <c r="R744" s="215"/>
      <c r="S744" s="215"/>
      <c r="T744" s="215"/>
      <c r="U744" s="215"/>
      <c r="V744" s="215"/>
      <c r="W744" s="215"/>
      <c r="X744" s="215"/>
      <c r="Y744" s="215"/>
      <c r="Z744" s="215"/>
      <c r="AA744" s="215"/>
      <c r="AB744" s="215"/>
      <c r="AC744" s="215"/>
      <c r="AD744" s="215"/>
      <c r="AE744" s="215"/>
      <c r="AF744" s="215"/>
      <c r="AG744" s="216"/>
      <c r="AJ744" s="214"/>
      <c r="AO744" s="214"/>
      <c r="AQ744" s="214"/>
      <c r="AU744" s="217"/>
      <c r="AV744" s="217"/>
      <c r="AW744" s="217"/>
    </row>
    <row r="745">
      <c r="C745" s="214"/>
      <c r="E745" s="215"/>
      <c r="F745" s="215"/>
      <c r="G745" s="215"/>
      <c r="H745" s="215"/>
      <c r="I745" s="215"/>
      <c r="J745" s="215"/>
      <c r="K745" s="215"/>
      <c r="L745" s="215"/>
      <c r="M745" s="215"/>
      <c r="N745" s="215"/>
      <c r="O745" s="215"/>
      <c r="P745" s="215"/>
      <c r="Q745" s="215"/>
      <c r="R745" s="215"/>
      <c r="S745" s="215"/>
      <c r="T745" s="215"/>
      <c r="U745" s="215"/>
      <c r="V745" s="215"/>
      <c r="W745" s="215"/>
      <c r="X745" s="215"/>
      <c r="Y745" s="215"/>
      <c r="Z745" s="215"/>
      <c r="AA745" s="215"/>
      <c r="AB745" s="215"/>
      <c r="AC745" s="215"/>
      <c r="AD745" s="215"/>
      <c r="AE745" s="215"/>
      <c r="AF745" s="215"/>
      <c r="AG745" s="216"/>
      <c r="AJ745" s="214"/>
      <c r="AO745" s="214"/>
      <c r="AQ745" s="214"/>
      <c r="AU745" s="217"/>
      <c r="AV745" s="217"/>
      <c r="AW745" s="217"/>
    </row>
    <row r="746">
      <c r="C746" s="214"/>
      <c r="E746" s="215"/>
      <c r="F746" s="215"/>
      <c r="G746" s="215"/>
      <c r="H746" s="215"/>
      <c r="I746" s="215"/>
      <c r="J746" s="215"/>
      <c r="K746" s="215"/>
      <c r="L746" s="215"/>
      <c r="M746" s="215"/>
      <c r="N746" s="215"/>
      <c r="O746" s="215"/>
      <c r="P746" s="215"/>
      <c r="Q746" s="215"/>
      <c r="R746" s="215"/>
      <c r="S746" s="215"/>
      <c r="T746" s="215"/>
      <c r="U746" s="215"/>
      <c r="V746" s="215"/>
      <c r="W746" s="215"/>
      <c r="X746" s="215"/>
      <c r="Y746" s="215"/>
      <c r="Z746" s="215"/>
      <c r="AA746" s="215"/>
      <c r="AB746" s="215"/>
      <c r="AC746" s="215"/>
      <c r="AD746" s="215"/>
      <c r="AE746" s="215"/>
      <c r="AF746" s="215"/>
      <c r="AG746" s="216"/>
      <c r="AJ746" s="214"/>
      <c r="AO746" s="214"/>
      <c r="AQ746" s="214"/>
      <c r="AU746" s="217"/>
      <c r="AV746" s="217"/>
      <c r="AW746" s="217"/>
    </row>
    <row r="747">
      <c r="C747" s="214"/>
      <c r="E747" s="215"/>
      <c r="F747" s="215"/>
      <c r="G747" s="215"/>
      <c r="H747" s="215"/>
      <c r="I747" s="215"/>
      <c r="J747" s="215"/>
      <c r="K747" s="215"/>
      <c r="L747" s="215"/>
      <c r="M747" s="215"/>
      <c r="N747" s="215"/>
      <c r="O747" s="215"/>
      <c r="P747" s="215"/>
      <c r="Q747" s="215"/>
      <c r="R747" s="215"/>
      <c r="S747" s="215"/>
      <c r="T747" s="215"/>
      <c r="U747" s="215"/>
      <c r="V747" s="215"/>
      <c r="W747" s="215"/>
      <c r="X747" s="215"/>
      <c r="Y747" s="215"/>
      <c r="Z747" s="215"/>
      <c r="AA747" s="215"/>
      <c r="AB747" s="215"/>
      <c r="AC747" s="215"/>
      <c r="AD747" s="215"/>
      <c r="AE747" s="215"/>
      <c r="AF747" s="215"/>
      <c r="AG747" s="216"/>
      <c r="AJ747" s="214"/>
      <c r="AO747" s="214"/>
      <c r="AQ747" s="214"/>
      <c r="AU747" s="217"/>
      <c r="AV747" s="217"/>
      <c r="AW747" s="217"/>
    </row>
    <row r="748">
      <c r="C748" s="214"/>
      <c r="E748" s="215"/>
      <c r="F748" s="215"/>
      <c r="G748" s="215"/>
      <c r="H748" s="215"/>
      <c r="I748" s="215"/>
      <c r="J748" s="215"/>
      <c r="K748" s="215"/>
      <c r="L748" s="215"/>
      <c r="M748" s="215"/>
      <c r="N748" s="215"/>
      <c r="O748" s="215"/>
      <c r="P748" s="215"/>
      <c r="Q748" s="215"/>
      <c r="R748" s="215"/>
      <c r="S748" s="215"/>
      <c r="T748" s="215"/>
      <c r="U748" s="215"/>
      <c r="V748" s="215"/>
      <c r="W748" s="215"/>
      <c r="X748" s="215"/>
      <c r="Y748" s="215"/>
      <c r="Z748" s="215"/>
      <c r="AA748" s="215"/>
      <c r="AB748" s="215"/>
      <c r="AC748" s="215"/>
      <c r="AD748" s="215"/>
      <c r="AE748" s="215"/>
      <c r="AF748" s="215"/>
      <c r="AG748" s="216"/>
      <c r="AJ748" s="214"/>
      <c r="AO748" s="214"/>
      <c r="AQ748" s="214"/>
      <c r="AU748" s="217"/>
      <c r="AV748" s="217"/>
      <c r="AW748" s="217"/>
    </row>
    <row r="749">
      <c r="C749" s="214"/>
      <c r="E749" s="215"/>
      <c r="F749" s="215"/>
      <c r="G749" s="215"/>
      <c r="H749" s="215"/>
      <c r="I749" s="215"/>
      <c r="J749" s="215"/>
      <c r="K749" s="215"/>
      <c r="L749" s="215"/>
      <c r="M749" s="215"/>
      <c r="N749" s="215"/>
      <c r="O749" s="215"/>
      <c r="P749" s="215"/>
      <c r="Q749" s="215"/>
      <c r="R749" s="215"/>
      <c r="S749" s="215"/>
      <c r="T749" s="215"/>
      <c r="U749" s="215"/>
      <c r="V749" s="215"/>
      <c r="W749" s="215"/>
      <c r="X749" s="215"/>
      <c r="Y749" s="215"/>
      <c r="Z749" s="215"/>
      <c r="AA749" s="215"/>
      <c r="AB749" s="215"/>
      <c r="AC749" s="215"/>
      <c r="AD749" s="215"/>
      <c r="AE749" s="215"/>
      <c r="AF749" s="215"/>
      <c r="AG749" s="216"/>
      <c r="AJ749" s="214"/>
      <c r="AO749" s="214"/>
      <c r="AQ749" s="214"/>
      <c r="AU749" s="217"/>
      <c r="AV749" s="217"/>
      <c r="AW749" s="217"/>
    </row>
    <row r="750">
      <c r="C750" s="214"/>
      <c r="E750" s="215"/>
      <c r="F750" s="215"/>
      <c r="G750" s="215"/>
      <c r="H750" s="215"/>
      <c r="I750" s="215"/>
      <c r="J750" s="215"/>
      <c r="K750" s="215"/>
      <c r="L750" s="215"/>
      <c r="M750" s="215"/>
      <c r="N750" s="215"/>
      <c r="O750" s="215"/>
      <c r="P750" s="215"/>
      <c r="Q750" s="215"/>
      <c r="R750" s="215"/>
      <c r="S750" s="215"/>
      <c r="T750" s="215"/>
      <c r="U750" s="215"/>
      <c r="V750" s="215"/>
      <c r="W750" s="215"/>
      <c r="X750" s="215"/>
      <c r="Y750" s="215"/>
      <c r="Z750" s="215"/>
      <c r="AA750" s="215"/>
      <c r="AB750" s="215"/>
      <c r="AC750" s="215"/>
      <c r="AD750" s="215"/>
      <c r="AE750" s="215"/>
      <c r="AF750" s="215"/>
      <c r="AG750" s="216"/>
      <c r="AJ750" s="214"/>
      <c r="AO750" s="214"/>
      <c r="AQ750" s="214"/>
      <c r="AU750" s="217"/>
      <c r="AV750" s="217"/>
      <c r="AW750" s="217"/>
    </row>
    <row r="751">
      <c r="C751" s="214"/>
      <c r="E751" s="215"/>
      <c r="F751" s="215"/>
      <c r="G751" s="215"/>
      <c r="H751" s="215"/>
      <c r="I751" s="215"/>
      <c r="J751" s="215"/>
      <c r="K751" s="215"/>
      <c r="L751" s="215"/>
      <c r="M751" s="215"/>
      <c r="N751" s="215"/>
      <c r="O751" s="215"/>
      <c r="P751" s="215"/>
      <c r="Q751" s="215"/>
      <c r="R751" s="215"/>
      <c r="S751" s="215"/>
      <c r="T751" s="215"/>
      <c r="U751" s="215"/>
      <c r="V751" s="215"/>
      <c r="W751" s="215"/>
      <c r="X751" s="215"/>
      <c r="Y751" s="215"/>
      <c r="Z751" s="215"/>
      <c r="AA751" s="215"/>
      <c r="AB751" s="215"/>
      <c r="AC751" s="215"/>
      <c r="AD751" s="215"/>
      <c r="AE751" s="215"/>
      <c r="AF751" s="215"/>
      <c r="AG751" s="216"/>
      <c r="AJ751" s="214"/>
      <c r="AO751" s="214"/>
      <c r="AQ751" s="214"/>
      <c r="AU751" s="217"/>
      <c r="AV751" s="217"/>
      <c r="AW751" s="217"/>
    </row>
    <row r="752">
      <c r="C752" s="214"/>
      <c r="E752" s="215"/>
      <c r="F752" s="215"/>
      <c r="G752" s="215"/>
      <c r="H752" s="215"/>
      <c r="I752" s="215"/>
      <c r="J752" s="215"/>
      <c r="K752" s="215"/>
      <c r="L752" s="215"/>
      <c r="M752" s="215"/>
      <c r="N752" s="215"/>
      <c r="O752" s="215"/>
      <c r="P752" s="215"/>
      <c r="Q752" s="215"/>
      <c r="R752" s="215"/>
      <c r="S752" s="215"/>
      <c r="T752" s="215"/>
      <c r="U752" s="215"/>
      <c r="V752" s="215"/>
      <c r="W752" s="215"/>
      <c r="X752" s="215"/>
      <c r="Y752" s="215"/>
      <c r="Z752" s="215"/>
      <c r="AA752" s="215"/>
      <c r="AB752" s="215"/>
      <c r="AC752" s="215"/>
      <c r="AD752" s="215"/>
      <c r="AE752" s="215"/>
      <c r="AF752" s="215"/>
      <c r="AG752" s="216"/>
      <c r="AJ752" s="214"/>
      <c r="AO752" s="214"/>
      <c r="AQ752" s="214"/>
      <c r="AU752" s="217"/>
      <c r="AV752" s="217"/>
      <c r="AW752" s="217"/>
    </row>
    <row r="753">
      <c r="C753" s="214"/>
      <c r="E753" s="215"/>
      <c r="F753" s="215"/>
      <c r="G753" s="215"/>
      <c r="H753" s="215"/>
      <c r="I753" s="215"/>
      <c r="J753" s="215"/>
      <c r="K753" s="215"/>
      <c r="L753" s="215"/>
      <c r="M753" s="215"/>
      <c r="N753" s="215"/>
      <c r="O753" s="215"/>
      <c r="P753" s="215"/>
      <c r="Q753" s="215"/>
      <c r="R753" s="215"/>
      <c r="S753" s="215"/>
      <c r="T753" s="215"/>
      <c r="U753" s="215"/>
      <c r="V753" s="215"/>
      <c r="W753" s="215"/>
      <c r="X753" s="215"/>
      <c r="Y753" s="215"/>
      <c r="Z753" s="215"/>
      <c r="AA753" s="215"/>
      <c r="AB753" s="215"/>
      <c r="AC753" s="215"/>
      <c r="AD753" s="215"/>
      <c r="AE753" s="215"/>
      <c r="AF753" s="215"/>
      <c r="AG753" s="216"/>
      <c r="AJ753" s="214"/>
      <c r="AO753" s="214"/>
      <c r="AQ753" s="214"/>
      <c r="AU753" s="217"/>
      <c r="AV753" s="217"/>
      <c r="AW753" s="217"/>
    </row>
    <row r="754">
      <c r="C754" s="214"/>
      <c r="E754" s="215"/>
      <c r="F754" s="215"/>
      <c r="G754" s="215"/>
      <c r="H754" s="215"/>
      <c r="I754" s="215"/>
      <c r="J754" s="215"/>
      <c r="K754" s="215"/>
      <c r="L754" s="215"/>
      <c r="M754" s="215"/>
      <c r="N754" s="215"/>
      <c r="O754" s="215"/>
      <c r="P754" s="215"/>
      <c r="Q754" s="215"/>
      <c r="R754" s="215"/>
      <c r="S754" s="215"/>
      <c r="T754" s="215"/>
      <c r="U754" s="215"/>
      <c r="V754" s="215"/>
      <c r="W754" s="215"/>
      <c r="X754" s="215"/>
      <c r="Y754" s="215"/>
      <c r="Z754" s="215"/>
      <c r="AA754" s="215"/>
      <c r="AB754" s="215"/>
      <c r="AC754" s="215"/>
      <c r="AD754" s="215"/>
      <c r="AE754" s="215"/>
      <c r="AF754" s="215"/>
      <c r="AG754" s="216"/>
      <c r="AJ754" s="214"/>
      <c r="AO754" s="214"/>
      <c r="AQ754" s="214"/>
      <c r="AU754" s="217"/>
      <c r="AV754" s="217"/>
      <c r="AW754" s="217"/>
    </row>
    <row r="755">
      <c r="C755" s="214"/>
      <c r="E755" s="215"/>
      <c r="F755" s="215"/>
      <c r="G755" s="215"/>
      <c r="H755" s="215"/>
      <c r="I755" s="215"/>
      <c r="J755" s="215"/>
      <c r="K755" s="215"/>
      <c r="L755" s="215"/>
      <c r="M755" s="215"/>
      <c r="N755" s="215"/>
      <c r="O755" s="215"/>
      <c r="P755" s="215"/>
      <c r="Q755" s="215"/>
      <c r="R755" s="215"/>
      <c r="S755" s="215"/>
      <c r="T755" s="215"/>
      <c r="U755" s="215"/>
      <c r="V755" s="215"/>
      <c r="W755" s="215"/>
      <c r="X755" s="215"/>
      <c r="Y755" s="215"/>
      <c r="Z755" s="215"/>
      <c r="AA755" s="215"/>
      <c r="AB755" s="215"/>
      <c r="AC755" s="215"/>
      <c r="AD755" s="215"/>
      <c r="AE755" s="215"/>
      <c r="AF755" s="215"/>
      <c r="AG755" s="216"/>
      <c r="AJ755" s="214"/>
      <c r="AO755" s="214"/>
      <c r="AQ755" s="214"/>
      <c r="AU755" s="217"/>
      <c r="AV755" s="217"/>
      <c r="AW755" s="217"/>
    </row>
    <row r="756">
      <c r="C756" s="214"/>
      <c r="E756" s="215"/>
      <c r="F756" s="215"/>
      <c r="G756" s="215"/>
      <c r="H756" s="215"/>
      <c r="I756" s="215"/>
      <c r="J756" s="215"/>
      <c r="K756" s="215"/>
      <c r="L756" s="215"/>
      <c r="M756" s="215"/>
      <c r="N756" s="215"/>
      <c r="O756" s="215"/>
      <c r="P756" s="215"/>
      <c r="Q756" s="215"/>
      <c r="R756" s="215"/>
      <c r="S756" s="215"/>
      <c r="T756" s="215"/>
      <c r="U756" s="215"/>
      <c r="V756" s="215"/>
      <c r="W756" s="215"/>
      <c r="X756" s="215"/>
      <c r="Y756" s="215"/>
      <c r="Z756" s="215"/>
      <c r="AA756" s="215"/>
      <c r="AB756" s="215"/>
      <c r="AC756" s="215"/>
      <c r="AD756" s="215"/>
      <c r="AE756" s="215"/>
      <c r="AF756" s="215"/>
      <c r="AG756" s="216"/>
      <c r="AJ756" s="214"/>
      <c r="AO756" s="214"/>
      <c r="AQ756" s="214"/>
      <c r="AU756" s="217"/>
      <c r="AV756" s="217"/>
      <c r="AW756" s="217"/>
    </row>
    <row r="757">
      <c r="C757" s="214"/>
      <c r="E757" s="215"/>
      <c r="F757" s="215"/>
      <c r="G757" s="215"/>
      <c r="H757" s="215"/>
      <c r="I757" s="215"/>
      <c r="J757" s="215"/>
      <c r="K757" s="215"/>
      <c r="L757" s="215"/>
      <c r="M757" s="215"/>
      <c r="N757" s="215"/>
      <c r="O757" s="215"/>
      <c r="P757" s="215"/>
      <c r="Q757" s="215"/>
      <c r="R757" s="215"/>
      <c r="S757" s="215"/>
      <c r="T757" s="215"/>
      <c r="U757" s="215"/>
      <c r="V757" s="215"/>
      <c r="W757" s="215"/>
      <c r="X757" s="215"/>
      <c r="Y757" s="215"/>
      <c r="Z757" s="215"/>
      <c r="AA757" s="215"/>
      <c r="AB757" s="215"/>
      <c r="AC757" s="215"/>
      <c r="AD757" s="215"/>
      <c r="AE757" s="215"/>
      <c r="AF757" s="215"/>
      <c r="AG757" s="216"/>
      <c r="AJ757" s="214"/>
      <c r="AO757" s="214"/>
      <c r="AQ757" s="214"/>
      <c r="AU757" s="217"/>
      <c r="AV757" s="217"/>
      <c r="AW757" s="217"/>
    </row>
    <row r="758">
      <c r="C758" s="214"/>
      <c r="E758" s="215"/>
      <c r="F758" s="215"/>
      <c r="G758" s="215"/>
      <c r="H758" s="215"/>
      <c r="I758" s="215"/>
      <c r="J758" s="215"/>
      <c r="K758" s="215"/>
      <c r="L758" s="215"/>
      <c r="M758" s="215"/>
      <c r="N758" s="215"/>
      <c r="O758" s="215"/>
      <c r="P758" s="215"/>
      <c r="Q758" s="215"/>
      <c r="R758" s="215"/>
      <c r="S758" s="215"/>
      <c r="T758" s="215"/>
      <c r="U758" s="215"/>
      <c r="V758" s="215"/>
      <c r="W758" s="215"/>
      <c r="X758" s="215"/>
      <c r="Y758" s="215"/>
      <c r="Z758" s="215"/>
      <c r="AA758" s="215"/>
      <c r="AB758" s="215"/>
      <c r="AC758" s="215"/>
      <c r="AD758" s="215"/>
      <c r="AE758" s="215"/>
      <c r="AF758" s="215"/>
      <c r="AG758" s="216"/>
      <c r="AJ758" s="214"/>
      <c r="AO758" s="214"/>
      <c r="AQ758" s="214"/>
      <c r="AU758" s="217"/>
      <c r="AV758" s="217"/>
      <c r="AW758" s="217"/>
    </row>
    <row r="759">
      <c r="C759" s="214"/>
      <c r="E759" s="215"/>
      <c r="F759" s="215"/>
      <c r="G759" s="215"/>
      <c r="H759" s="215"/>
      <c r="I759" s="215"/>
      <c r="J759" s="215"/>
      <c r="K759" s="215"/>
      <c r="L759" s="215"/>
      <c r="M759" s="215"/>
      <c r="N759" s="215"/>
      <c r="O759" s="215"/>
      <c r="P759" s="215"/>
      <c r="Q759" s="215"/>
      <c r="R759" s="215"/>
      <c r="S759" s="215"/>
      <c r="T759" s="215"/>
      <c r="U759" s="215"/>
      <c r="V759" s="215"/>
      <c r="W759" s="215"/>
      <c r="X759" s="215"/>
      <c r="Y759" s="215"/>
      <c r="Z759" s="215"/>
      <c r="AA759" s="215"/>
      <c r="AB759" s="215"/>
      <c r="AC759" s="215"/>
      <c r="AD759" s="215"/>
      <c r="AE759" s="215"/>
      <c r="AF759" s="215"/>
      <c r="AG759" s="216"/>
      <c r="AJ759" s="214"/>
      <c r="AO759" s="214"/>
      <c r="AQ759" s="214"/>
      <c r="AU759" s="217"/>
      <c r="AV759" s="217"/>
      <c r="AW759" s="217"/>
    </row>
    <row r="760">
      <c r="C760" s="214"/>
      <c r="E760" s="215"/>
      <c r="F760" s="215"/>
      <c r="G760" s="215"/>
      <c r="H760" s="215"/>
      <c r="I760" s="215"/>
      <c r="J760" s="215"/>
      <c r="K760" s="215"/>
      <c r="L760" s="215"/>
      <c r="M760" s="215"/>
      <c r="N760" s="215"/>
      <c r="O760" s="215"/>
      <c r="P760" s="215"/>
      <c r="Q760" s="215"/>
      <c r="R760" s="215"/>
      <c r="S760" s="215"/>
      <c r="T760" s="215"/>
      <c r="U760" s="215"/>
      <c r="V760" s="215"/>
      <c r="W760" s="215"/>
      <c r="X760" s="215"/>
      <c r="Y760" s="215"/>
      <c r="Z760" s="215"/>
      <c r="AA760" s="215"/>
      <c r="AB760" s="215"/>
      <c r="AC760" s="215"/>
      <c r="AD760" s="215"/>
      <c r="AE760" s="215"/>
      <c r="AF760" s="215"/>
      <c r="AG760" s="216"/>
      <c r="AJ760" s="214"/>
      <c r="AO760" s="214"/>
      <c r="AQ760" s="214"/>
      <c r="AU760" s="217"/>
      <c r="AV760" s="217"/>
      <c r="AW760" s="217"/>
    </row>
    <row r="761">
      <c r="C761" s="214"/>
      <c r="E761" s="215"/>
      <c r="F761" s="215"/>
      <c r="G761" s="215"/>
      <c r="H761" s="215"/>
      <c r="I761" s="215"/>
      <c r="J761" s="215"/>
      <c r="K761" s="215"/>
      <c r="L761" s="215"/>
      <c r="M761" s="215"/>
      <c r="N761" s="215"/>
      <c r="O761" s="215"/>
      <c r="P761" s="215"/>
      <c r="Q761" s="215"/>
      <c r="R761" s="215"/>
      <c r="S761" s="215"/>
      <c r="T761" s="215"/>
      <c r="U761" s="215"/>
      <c r="V761" s="215"/>
      <c r="W761" s="215"/>
      <c r="X761" s="215"/>
      <c r="Y761" s="215"/>
      <c r="Z761" s="215"/>
      <c r="AA761" s="215"/>
      <c r="AB761" s="215"/>
      <c r="AC761" s="215"/>
      <c r="AD761" s="215"/>
      <c r="AE761" s="215"/>
      <c r="AF761" s="215"/>
      <c r="AG761" s="216"/>
      <c r="AJ761" s="214"/>
      <c r="AO761" s="214"/>
      <c r="AQ761" s="214"/>
      <c r="AU761" s="217"/>
      <c r="AV761" s="217"/>
      <c r="AW761" s="217"/>
    </row>
    <row r="762">
      <c r="C762" s="214"/>
      <c r="E762" s="215"/>
      <c r="F762" s="215"/>
      <c r="G762" s="215"/>
      <c r="H762" s="215"/>
      <c r="I762" s="215"/>
      <c r="J762" s="215"/>
      <c r="K762" s="215"/>
      <c r="L762" s="215"/>
      <c r="M762" s="215"/>
      <c r="N762" s="215"/>
      <c r="O762" s="215"/>
      <c r="P762" s="215"/>
      <c r="Q762" s="215"/>
      <c r="R762" s="215"/>
      <c r="S762" s="215"/>
      <c r="T762" s="215"/>
      <c r="U762" s="215"/>
      <c r="V762" s="215"/>
      <c r="W762" s="215"/>
      <c r="X762" s="215"/>
      <c r="Y762" s="215"/>
      <c r="Z762" s="215"/>
      <c r="AA762" s="215"/>
      <c r="AB762" s="215"/>
      <c r="AC762" s="215"/>
      <c r="AD762" s="215"/>
      <c r="AE762" s="215"/>
      <c r="AF762" s="215"/>
      <c r="AG762" s="216"/>
      <c r="AJ762" s="214"/>
      <c r="AO762" s="214"/>
      <c r="AQ762" s="214"/>
      <c r="AU762" s="217"/>
      <c r="AV762" s="217"/>
      <c r="AW762" s="217"/>
    </row>
    <row r="763">
      <c r="C763" s="214"/>
      <c r="E763" s="215"/>
      <c r="F763" s="215"/>
      <c r="G763" s="215"/>
      <c r="H763" s="215"/>
      <c r="I763" s="215"/>
      <c r="J763" s="215"/>
      <c r="K763" s="215"/>
      <c r="L763" s="215"/>
      <c r="M763" s="215"/>
      <c r="N763" s="215"/>
      <c r="O763" s="215"/>
      <c r="P763" s="215"/>
      <c r="Q763" s="215"/>
      <c r="R763" s="215"/>
      <c r="S763" s="215"/>
      <c r="T763" s="215"/>
      <c r="U763" s="215"/>
      <c r="V763" s="215"/>
      <c r="W763" s="215"/>
      <c r="X763" s="215"/>
      <c r="Y763" s="215"/>
      <c r="Z763" s="215"/>
      <c r="AA763" s="215"/>
      <c r="AB763" s="215"/>
      <c r="AC763" s="215"/>
      <c r="AD763" s="215"/>
      <c r="AE763" s="215"/>
      <c r="AF763" s="215"/>
      <c r="AG763" s="216"/>
      <c r="AJ763" s="214"/>
      <c r="AO763" s="214"/>
      <c r="AQ763" s="214"/>
      <c r="AU763" s="217"/>
      <c r="AV763" s="217"/>
      <c r="AW763" s="217"/>
    </row>
    <row r="764">
      <c r="C764" s="214"/>
      <c r="E764" s="215"/>
      <c r="F764" s="215"/>
      <c r="G764" s="215"/>
      <c r="H764" s="215"/>
      <c r="I764" s="215"/>
      <c r="J764" s="215"/>
      <c r="K764" s="215"/>
      <c r="L764" s="215"/>
      <c r="M764" s="215"/>
      <c r="N764" s="215"/>
      <c r="O764" s="215"/>
      <c r="P764" s="215"/>
      <c r="Q764" s="215"/>
      <c r="R764" s="215"/>
      <c r="S764" s="215"/>
      <c r="T764" s="215"/>
      <c r="U764" s="215"/>
      <c r="V764" s="215"/>
      <c r="W764" s="215"/>
      <c r="X764" s="215"/>
      <c r="Y764" s="215"/>
      <c r="Z764" s="215"/>
      <c r="AA764" s="215"/>
      <c r="AB764" s="215"/>
      <c r="AC764" s="215"/>
      <c r="AD764" s="215"/>
      <c r="AE764" s="215"/>
      <c r="AF764" s="215"/>
      <c r="AG764" s="216"/>
      <c r="AJ764" s="214"/>
      <c r="AO764" s="214"/>
      <c r="AQ764" s="214"/>
      <c r="AU764" s="217"/>
      <c r="AV764" s="217"/>
      <c r="AW764" s="217"/>
    </row>
    <row r="765">
      <c r="C765" s="214"/>
      <c r="E765" s="215"/>
      <c r="F765" s="215"/>
      <c r="G765" s="215"/>
      <c r="H765" s="215"/>
      <c r="I765" s="215"/>
      <c r="J765" s="215"/>
      <c r="K765" s="215"/>
      <c r="L765" s="215"/>
      <c r="M765" s="215"/>
      <c r="N765" s="215"/>
      <c r="O765" s="215"/>
      <c r="P765" s="215"/>
      <c r="Q765" s="215"/>
      <c r="R765" s="215"/>
      <c r="S765" s="215"/>
      <c r="T765" s="215"/>
      <c r="U765" s="215"/>
      <c r="V765" s="215"/>
      <c r="W765" s="215"/>
      <c r="X765" s="215"/>
      <c r="Y765" s="215"/>
      <c r="Z765" s="215"/>
      <c r="AA765" s="215"/>
      <c r="AB765" s="215"/>
      <c r="AC765" s="215"/>
      <c r="AD765" s="215"/>
      <c r="AE765" s="215"/>
      <c r="AF765" s="215"/>
      <c r="AG765" s="216"/>
      <c r="AJ765" s="214"/>
      <c r="AO765" s="214"/>
      <c r="AQ765" s="214"/>
      <c r="AU765" s="217"/>
      <c r="AV765" s="217"/>
      <c r="AW765" s="217"/>
    </row>
    <row r="766">
      <c r="C766" s="214"/>
      <c r="E766" s="215"/>
      <c r="F766" s="215"/>
      <c r="G766" s="215"/>
      <c r="H766" s="215"/>
      <c r="I766" s="215"/>
      <c r="J766" s="215"/>
      <c r="K766" s="215"/>
      <c r="L766" s="215"/>
      <c r="M766" s="215"/>
      <c r="N766" s="215"/>
      <c r="O766" s="215"/>
      <c r="P766" s="215"/>
      <c r="Q766" s="215"/>
      <c r="R766" s="215"/>
      <c r="S766" s="215"/>
      <c r="T766" s="215"/>
      <c r="U766" s="215"/>
      <c r="V766" s="215"/>
      <c r="W766" s="215"/>
      <c r="X766" s="215"/>
      <c r="Y766" s="215"/>
      <c r="Z766" s="215"/>
      <c r="AA766" s="215"/>
      <c r="AB766" s="215"/>
      <c r="AC766" s="215"/>
      <c r="AD766" s="215"/>
      <c r="AE766" s="215"/>
      <c r="AF766" s="215"/>
      <c r="AG766" s="216"/>
      <c r="AJ766" s="214"/>
      <c r="AO766" s="214"/>
      <c r="AQ766" s="214"/>
      <c r="AU766" s="217"/>
      <c r="AV766" s="217"/>
      <c r="AW766" s="217"/>
    </row>
    <row r="767">
      <c r="C767" s="214"/>
      <c r="E767" s="215"/>
      <c r="F767" s="215"/>
      <c r="G767" s="215"/>
      <c r="H767" s="215"/>
      <c r="I767" s="215"/>
      <c r="J767" s="215"/>
      <c r="K767" s="215"/>
      <c r="L767" s="215"/>
      <c r="M767" s="215"/>
      <c r="N767" s="215"/>
      <c r="O767" s="215"/>
      <c r="P767" s="215"/>
      <c r="Q767" s="215"/>
      <c r="R767" s="215"/>
      <c r="S767" s="215"/>
      <c r="T767" s="215"/>
      <c r="U767" s="215"/>
      <c r="V767" s="215"/>
      <c r="W767" s="215"/>
      <c r="X767" s="215"/>
      <c r="Y767" s="215"/>
      <c r="Z767" s="215"/>
      <c r="AA767" s="215"/>
      <c r="AB767" s="215"/>
      <c r="AC767" s="215"/>
      <c r="AD767" s="215"/>
      <c r="AE767" s="215"/>
      <c r="AF767" s="215"/>
      <c r="AG767" s="216"/>
      <c r="AJ767" s="214"/>
      <c r="AO767" s="214"/>
      <c r="AQ767" s="214"/>
      <c r="AU767" s="217"/>
      <c r="AV767" s="217"/>
      <c r="AW767" s="217"/>
    </row>
    <row r="768">
      <c r="C768" s="214"/>
      <c r="E768" s="215"/>
      <c r="F768" s="215"/>
      <c r="G768" s="215"/>
      <c r="H768" s="215"/>
      <c r="I768" s="215"/>
      <c r="J768" s="215"/>
      <c r="K768" s="215"/>
      <c r="L768" s="215"/>
      <c r="M768" s="215"/>
      <c r="N768" s="215"/>
      <c r="O768" s="215"/>
      <c r="P768" s="215"/>
      <c r="Q768" s="215"/>
      <c r="R768" s="215"/>
      <c r="S768" s="215"/>
      <c r="T768" s="215"/>
      <c r="U768" s="215"/>
      <c r="V768" s="215"/>
      <c r="W768" s="215"/>
      <c r="X768" s="215"/>
      <c r="Y768" s="215"/>
      <c r="Z768" s="215"/>
      <c r="AA768" s="215"/>
      <c r="AB768" s="215"/>
      <c r="AC768" s="215"/>
      <c r="AD768" s="215"/>
      <c r="AE768" s="215"/>
      <c r="AF768" s="215"/>
      <c r="AG768" s="216"/>
      <c r="AJ768" s="214"/>
      <c r="AO768" s="214"/>
      <c r="AQ768" s="214"/>
      <c r="AU768" s="217"/>
      <c r="AV768" s="217"/>
      <c r="AW768" s="217"/>
    </row>
    <row r="769">
      <c r="C769" s="214"/>
      <c r="E769" s="215"/>
      <c r="F769" s="215"/>
      <c r="G769" s="215"/>
      <c r="H769" s="215"/>
      <c r="I769" s="215"/>
      <c r="J769" s="215"/>
      <c r="K769" s="215"/>
      <c r="L769" s="215"/>
      <c r="M769" s="215"/>
      <c r="N769" s="215"/>
      <c r="O769" s="215"/>
      <c r="P769" s="215"/>
      <c r="Q769" s="215"/>
      <c r="R769" s="215"/>
      <c r="S769" s="215"/>
      <c r="T769" s="215"/>
      <c r="U769" s="215"/>
      <c r="V769" s="215"/>
      <c r="W769" s="215"/>
      <c r="X769" s="215"/>
      <c r="Y769" s="215"/>
      <c r="Z769" s="215"/>
      <c r="AA769" s="215"/>
      <c r="AB769" s="215"/>
      <c r="AC769" s="215"/>
      <c r="AD769" s="215"/>
      <c r="AE769" s="215"/>
      <c r="AF769" s="215"/>
      <c r="AG769" s="216"/>
      <c r="AJ769" s="214"/>
      <c r="AO769" s="214"/>
      <c r="AQ769" s="214"/>
      <c r="AU769" s="217"/>
      <c r="AV769" s="217"/>
      <c r="AW769" s="217"/>
    </row>
    <row r="770">
      <c r="C770" s="214"/>
      <c r="E770" s="215"/>
      <c r="F770" s="215"/>
      <c r="G770" s="215"/>
      <c r="H770" s="215"/>
      <c r="I770" s="215"/>
      <c r="J770" s="215"/>
      <c r="K770" s="215"/>
      <c r="L770" s="215"/>
      <c r="M770" s="215"/>
      <c r="N770" s="215"/>
      <c r="O770" s="215"/>
      <c r="P770" s="215"/>
      <c r="Q770" s="215"/>
      <c r="R770" s="215"/>
      <c r="S770" s="215"/>
      <c r="T770" s="215"/>
      <c r="U770" s="215"/>
      <c r="V770" s="215"/>
      <c r="W770" s="215"/>
      <c r="X770" s="215"/>
      <c r="Y770" s="215"/>
      <c r="Z770" s="215"/>
      <c r="AA770" s="215"/>
      <c r="AB770" s="215"/>
      <c r="AC770" s="215"/>
      <c r="AD770" s="215"/>
      <c r="AE770" s="215"/>
      <c r="AF770" s="215"/>
      <c r="AG770" s="216"/>
      <c r="AJ770" s="214"/>
      <c r="AO770" s="214"/>
      <c r="AQ770" s="214"/>
      <c r="AU770" s="217"/>
      <c r="AV770" s="217"/>
      <c r="AW770" s="217"/>
    </row>
    <row r="771">
      <c r="C771" s="214"/>
      <c r="E771" s="215"/>
      <c r="F771" s="215"/>
      <c r="G771" s="215"/>
      <c r="H771" s="215"/>
      <c r="I771" s="215"/>
      <c r="J771" s="215"/>
      <c r="K771" s="215"/>
      <c r="L771" s="215"/>
      <c r="M771" s="215"/>
      <c r="N771" s="215"/>
      <c r="O771" s="215"/>
      <c r="P771" s="215"/>
      <c r="Q771" s="215"/>
      <c r="R771" s="215"/>
      <c r="S771" s="215"/>
      <c r="T771" s="215"/>
      <c r="U771" s="215"/>
      <c r="V771" s="215"/>
      <c r="W771" s="215"/>
      <c r="X771" s="215"/>
      <c r="Y771" s="215"/>
      <c r="Z771" s="215"/>
      <c r="AA771" s="215"/>
      <c r="AB771" s="215"/>
      <c r="AC771" s="215"/>
      <c r="AD771" s="215"/>
      <c r="AE771" s="215"/>
      <c r="AF771" s="215"/>
      <c r="AG771" s="216"/>
      <c r="AJ771" s="214"/>
      <c r="AO771" s="214"/>
      <c r="AQ771" s="214"/>
      <c r="AU771" s="217"/>
      <c r="AV771" s="217"/>
      <c r="AW771" s="217"/>
    </row>
    <row r="772">
      <c r="C772" s="214"/>
      <c r="E772" s="215"/>
      <c r="F772" s="215"/>
      <c r="G772" s="215"/>
      <c r="H772" s="215"/>
      <c r="I772" s="215"/>
      <c r="J772" s="215"/>
      <c r="K772" s="215"/>
      <c r="L772" s="215"/>
      <c r="M772" s="215"/>
      <c r="N772" s="215"/>
      <c r="O772" s="215"/>
      <c r="P772" s="215"/>
      <c r="Q772" s="215"/>
      <c r="R772" s="215"/>
      <c r="S772" s="215"/>
      <c r="T772" s="215"/>
      <c r="U772" s="215"/>
      <c r="V772" s="215"/>
      <c r="W772" s="215"/>
      <c r="X772" s="215"/>
      <c r="Y772" s="215"/>
      <c r="Z772" s="215"/>
      <c r="AA772" s="215"/>
      <c r="AB772" s="215"/>
      <c r="AC772" s="215"/>
      <c r="AD772" s="215"/>
      <c r="AE772" s="215"/>
      <c r="AF772" s="215"/>
      <c r="AG772" s="216"/>
      <c r="AJ772" s="214"/>
      <c r="AO772" s="214"/>
      <c r="AQ772" s="214"/>
      <c r="AU772" s="217"/>
      <c r="AV772" s="217"/>
      <c r="AW772" s="217"/>
    </row>
    <row r="773">
      <c r="C773" s="214"/>
      <c r="E773" s="215"/>
      <c r="F773" s="215"/>
      <c r="G773" s="215"/>
      <c r="H773" s="215"/>
      <c r="I773" s="215"/>
      <c r="J773" s="215"/>
      <c r="K773" s="215"/>
      <c r="L773" s="215"/>
      <c r="M773" s="215"/>
      <c r="N773" s="215"/>
      <c r="O773" s="215"/>
      <c r="P773" s="215"/>
      <c r="Q773" s="215"/>
      <c r="R773" s="215"/>
      <c r="S773" s="215"/>
      <c r="T773" s="215"/>
      <c r="U773" s="215"/>
      <c r="V773" s="215"/>
      <c r="W773" s="215"/>
      <c r="X773" s="215"/>
      <c r="Y773" s="215"/>
      <c r="Z773" s="215"/>
      <c r="AA773" s="215"/>
      <c r="AB773" s="215"/>
      <c r="AC773" s="215"/>
      <c r="AD773" s="215"/>
      <c r="AE773" s="215"/>
      <c r="AF773" s="215"/>
      <c r="AG773" s="216"/>
      <c r="AJ773" s="214"/>
      <c r="AO773" s="214"/>
      <c r="AQ773" s="214"/>
      <c r="AU773" s="217"/>
      <c r="AV773" s="217"/>
      <c r="AW773" s="217"/>
    </row>
    <row r="774">
      <c r="C774" s="214"/>
      <c r="E774" s="215"/>
      <c r="F774" s="215"/>
      <c r="G774" s="215"/>
      <c r="H774" s="215"/>
      <c r="I774" s="215"/>
      <c r="J774" s="215"/>
      <c r="K774" s="215"/>
      <c r="L774" s="215"/>
      <c r="M774" s="215"/>
      <c r="N774" s="215"/>
      <c r="O774" s="215"/>
      <c r="P774" s="215"/>
      <c r="Q774" s="215"/>
      <c r="R774" s="215"/>
      <c r="S774" s="215"/>
      <c r="T774" s="215"/>
      <c r="U774" s="215"/>
      <c r="V774" s="215"/>
      <c r="W774" s="215"/>
      <c r="X774" s="215"/>
      <c r="Y774" s="215"/>
      <c r="Z774" s="215"/>
      <c r="AA774" s="215"/>
      <c r="AB774" s="215"/>
      <c r="AC774" s="215"/>
      <c r="AD774" s="215"/>
      <c r="AE774" s="215"/>
      <c r="AF774" s="215"/>
      <c r="AG774" s="216"/>
      <c r="AJ774" s="214"/>
      <c r="AO774" s="214"/>
      <c r="AQ774" s="214"/>
      <c r="AU774" s="217"/>
      <c r="AV774" s="217"/>
      <c r="AW774" s="217"/>
    </row>
    <row r="775">
      <c r="C775" s="214"/>
      <c r="E775" s="215"/>
      <c r="F775" s="215"/>
      <c r="G775" s="215"/>
      <c r="H775" s="215"/>
      <c r="I775" s="215"/>
      <c r="J775" s="215"/>
      <c r="K775" s="215"/>
      <c r="L775" s="215"/>
      <c r="M775" s="215"/>
      <c r="N775" s="215"/>
      <c r="O775" s="215"/>
      <c r="P775" s="215"/>
      <c r="Q775" s="215"/>
      <c r="R775" s="215"/>
      <c r="S775" s="215"/>
      <c r="T775" s="215"/>
      <c r="U775" s="215"/>
      <c r="V775" s="215"/>
      <c r="W775" s="215"/>
      <c r="X775" s="215"/>
      <c r="Y775" s="215"/>
      <c r="Z775" s="215"/>
      <c r="AA775" s="215"/>
      <c r="AB775" s="215"/>
      <c r="AC775" s="215"/>
      <c r="AD775" s="215"/>
      <c r="AE775" s="215"/>
      <c r="AF775" s="215"/>
      <c r="AG775" s="216"/>
      <c r="AJ775" s="214"/>
      <c r="AO775" s="214"/>
      <c r="AQ775" s="214"/>
      <c r="AU775" s="217"/>
      <c r="AV775" s="217"/>
      <c r="AW775" s="217"/>
    </row>
    <row r="776">
      <c r="C776" s="214"/>
      <c r="E776" s="215"/>
      <c r="F776" s="215"/>
      <c r="G776" s="215"/>
      <c r="H776" s="215"/>
      <c r="I776" s="215"/>
      <c r="J776" s="215"/>
      <c r="K776" s="215"/>
      <c r="L776" s="215"/>
      <c r="M776" s="215"/>
      <c r="N776" s="215"/>
      <c r="O776" s="215"/>
      <c r="P776" s="215"/>
      <c r="Q776" s="215"/>
      <c r="R776" s="215"/>
      <c r="S776" s="215"/>
      <c r="T776" s="215"/>
      <c r="U776" s="215"/>
      <c r="V776" s="215"/>
      <c r="W776" s="215"/>
      <c r="X776" s="215"/>
      <c r="Y776" s="215"/>
      <c r="Z776" s="215"/>
      <c r="AA776" s="215"/>
      <c r="AB776" s="215"/>
      <c r="AC776" s="215"/>
      <c r="AD776" s="215"/>
      <c r="AE776" s="215"/>
      <c r="AF776" s="215"/>
      <c r="AG776" s="216"/>
      <c r="AJ776" s="214"/>
      <c r="AO776" s="214"/>
      <c r="AQ776" s="214"/>
      <c r="AU776" s="217"/>
      <c r="AV776" s="217"/>
      <c r="AW776" s="217"/>
    </row>
    <row r="777">
      <c r="C777" s="214"/>
      <c r="E777" s="215"/>
      <c r="F777" s="215"/>
      <c r="G777" s="215"/>
      <c r="H777" s="215"/>
      <c r="I777" s="215"/>
      <c r="J777" s="215"/>
      <c r="K777" s="215"/>
      <c r="L777" s="215"/>
      <c r="M777" s="215"/>
      <c r="N777" s="215"/>
      <c r="O777" s="215"/>
      <c r="P777" s="215"/>
      <c r="Q777" s="215"/>
      <c r="R777" s="215"/>
      <c r="S777" s="215"/>
      <c r="T777" s="215"/>
      <c r="U777" s="215"/>
      <c r="V777" s="215"/>
      <c r="W777" s="215"/>
      <c r="X777" s="215"/>
      <c r="Y777" s="215"/>
      <c r="Z777" s="215"/>
      <c r="AA777" s="215"/>
      <c r="AB777" s="215"/>
      <c r="AC777" s="215"/>
      <c r="AD777" s="215"/>
      <c r="AE777" s="215"/>
      <c r="AF777" s="215"/>
      <c r="AG777" s="216"/>
      <c r="AJ777" s="214"/>
      <c r="AO777" s="214"/>
      <c r="AQ777" s="214"/>
      <c r="AU777" s="217"/>
      <c r="AV777" s="217"/>
      <c r="AW777" s="217"/>
    </row>
    <row r="778">
      <c r="C778" s="214"/>
      <c r="E778" s="215"/>
      <c r="F778" s="215"/>
      <c r="G778" s="215"/>
      <c r="H778" s="215"/>
      <c r="I778" s="215"/>
      <c r="J778" s="215"/>
      <c r="K778" s="215"/>
      <c r="L778" s="215"/>
      <c r="M778" s="215"/>
      <c r="N778" s="215"/>
      <c r="O778" s="215"/>
      <c r="P778" s="215"/>
      <c r="Q778" s="215"/>
      <c r="R778" s="215"/>
      <c r="S778" s="215"/>
      <c r="T778" s="215"/>
      <c r="U778" s="215"/>
      <c r="V778" s="215"/>
      <c r="W778" s="215"/>
      <c r="X778" s="215"/>
      <c r="Y778" s="215"/>
      <c r="Z778" s="215"/>
      <c r="AA778" s="215"/>
      <c r="AB778" s="215"/>
      <c r="AC778" s="215"/>
      <c r="AD778" s="215"/>
      <c r="AE778" s="215"/>
      <c r="AF778" s="215"/>
      <c r="AG778" s="216"/>
      <c r="AJ778" s="214"/>
      <c r="AO778" s="214"/>
      <c r="AQ778" s="214"/>
      <c r="AU778" s="217"/>
      <c r="AV778" s="217"/>
      <c r="AW778" s="217"/>
    </row>
    <row r="779">
      <c r="C779" s="214"/>
      <c r="E779" s="215"/>
      <c r="F779" s="215"/>
      <c r="G779" s="215"/>
      <c r="H779" s="215"/>
      <c r="I779" s="215"/>
      <c r="J779" s="215"/>
      <c r="K779" s="215"/>
      <c r="L779" s="215"/>
      <c r="M779" s="215"/>
      <c r="N779" s="215"/>
      <c r="O779" s="215"/>
      <c r="P779" s="215"/>
      <c r="Q779" s="215"/>
      <c r="R779" s="215"/>
      <c r="S779" s="215"/>
      <c r="T779" s="215"/>
      <c r="U779" s="215"/>
      <c r="V779" s="215"/>
      <c r="W779" s="215"/>
      <c r="X779" s="215"/>
      <c r="Y779" s="215"/>
      <c r="Z779" s="215"/>
      <c r="AA779" s="215"/>
      <c r="AB779" s="215"/>
      <c r="AC779" s="215"/>
      <c r="AD779" s="215"/>
      <c r="AE779" s="215"/>
      <c r="AF779" s="215"/>
      <c r="AG779" s="216"/>
      <c r="AJ779" s="214"/>
      <c r="AO779" s="214"/>
      <c r="AQ779" s="214"/>
      <c r="AU779" s="217"/>
      <c r="AV779" s="217"/>
      <c r="AW779" s="217"/>
    </row>
    <row r="780">
      <c r="C780" s="214"/>
      <c r="E780" s="215"/>
      <c r="F780" s="215"/>
      <c r="G780" s="215"/>
      <c r="H780" s="215"/>
      <c r="I780" s="215"/>
      <c r="J780" s="215"/>
      <c r="K780" s="215"/>
      <c r="L780" s="215"/>
      <c r="M780" s="215"/>
      <c r="N780" s="215"/>
      <c r="O780" s="215"/>
      <c r="P780" s="215"/>
      <c r="Q780" s="215"/>
      <c r="R780" s="215"/>
      <c r="S780" s="215"/>
      <c r="T780" s="215"/>
      <c r="U780" s="215"/>
      <c r="V780" s="215"/>
      <c r="W780" s="215"/>
      <c r="X780" s="215"/>
      <c r="Y780" s="215"/>
      <c r="Z780" s="215"/>
      <c r="AA780" s="215"/>
      <c r="AB780" s="215"/>
      <c r="AC780" s="215"/>
      <c r="AD780" s="215"/>
      <c r="AE780" s="215"/>
      <c r="AF780" s="215"/>
      <c r="AG780" s="216"/>
      <c r="AJ780" s="214"/>
      <c r="AO780" s="214"/>
      <c r="AQ780" s="214"/>
      <c r="AU780" s="217"/>
      <c r="AV780" s="217"/>
      <c r="AW780" s="217"/>
    </row>
    <row r="781">
      <c r="C781" s="214"/>
      <c r="E781" s="215"/>
      <c r="F781" s="215"/>
      <c r="G781" s="215"/>
      <c r="H781" s="215"/>
      <c r="I781" s="215"/>
      <c r="J781" s="215"/>
      <c r="K781" s="215"/>
      <c r="L781" s="215"/>
      <c r="M781" s="215"/>
      <c r="N781" s="215"/>
      <c r="O781" s="215"/>
      <c r="P781" s="215"/>
      <c r="Q781" s="215"/>
      <c r="R781" s="215"/>
      <c r="S781" s="215"/>
      <c r="T781" s="215"/>
      <c r="U781" s="215"/>
      <c r="V781" s="215"/>
      <c r="W781" s="215"/>
      <c r="X781" s="215"/>
      <c r="Y781" s="215"/>
      <c r="Z781" s="215"/>
      <c r="AA781" s="215"/>
      <c r="AB781" s="215"/>
      <c r="AC781" s="215"/>
      <c r="AD781" s="215"/>
      <c r="AE781" s="215"/>
      <c r="AF781" s="215"/>
      <c r="AG781" s="216"/>
      <c r="AJ781" s="214"/>
      <c r="AO781" s="214"/>
      <c r="AQ781" s="214"/>
      <c r="AU781" s="217"/>
      <c r="AV781" s="217"/>
      <c r="AW781" s="217"/>
    </row>
    <row r="782">
      <c r="C782" s="214"/>
      <c r="E782" s="215"/>
      <c r="F782" s="215"/>
      <c r="G782" s="215"/>
      <c r="H782" s="215"/>
      <c r="I782" s="215"/>
      <c r="J782" s="215"/>
      <c r="K782" s="215"/>
      <c r="L782" s="215"/>
      <c r="M782" s="215"/>
      <c r="N782" s="215"/>
      <c r="O782" s="215"/>
      <c r="P782" s="215"/>
      <c r="Q782" s="215"/>
      <c r="R782" s="215"/>
      <c r="S782" s="215"/>
      <c r="T782" s="215"/>
      <c r="U782" s="215"/>
      <c r="V782" s="215"/>
      <c r="W782" s="215"/>
      <c r="X782" s="215"/>
      <c r="Y782" s="215"/>
      <c r="Z782" s="215"/>
      <c r="AA782" s="215"/>
      <c r="AB782" s="215"/>
      <c r="AC782" s="215"/>
      <c r="AD782" s="215"/>
      <c r="AE782" s="215"/>
      <c r="AF782" s="215"/>
      <c r="AG782" s="216"/>
      <c r="AJ782" s="214"/>
      <c r="AO782" s="214"/>
      <c r="AQ782" s="214"/>
      <c r="AU782" s="217"/>
      <c r="AV782" s="217"/>
      <c r="AW782" s="217"/>
    </row>
    <row r="783">
      <c r="C783" s="214"/>
      <c r="E783" s="215"/>
      <c r="F783" s="215"/>
      <c r="G783" s="215"/>
      <c r="H783" s="215"/>
      <c r="I783" s="215"/>
      <c r="J783" s="215"/>
      <c r="K783" s="215"/>
      <c r="L783" s="215"/>
      <c r="M783" s="215"/>
      <c r="N783" s="215"/>
      <c r="O783" s="215"/>
      <c r="P783" s="215"/>
      <c r="Q783" s="215"/>
      <c r="R783" s="215"/>
      <c r="S783" s="215"/>
      <c r="T783" s="215"/>
      <c r="U783" s="215"/>
      <c r="V783" s="215"/>
      <c r="W783" s="215"/>
      <c r="X783" s="215"/>
      <c r="Y783" s="215"/>
      <c r="Z783" s="215"/>
      <c r="AA783" s="215"/>
      <c r="AB783" s="215"/>
      <c r="AC783" s="215"/>
      <c r="AD783" s="215"/>
      <c r="AE783" s="215"/>
      <c r="AF783" s="215"/>
      <c r="AG783" s="216"/>
      <c r="AJ783" s="214"/>
      <c r="AO783" s="214"/>
      <c r="AQ783" s="214"/>
      <c r="AU783" s="217"/>
      <c r="AV783" s="217"/>
      <c r="AW783" s="217"/>
    </row>
    <row r="784">
      <c r="C784" s="214"/>
      <c r="E784" s="215"/>
      <c r="F784" s="215"/>
      <c r="G784" s="215"/>
      <c r="H784" s="215"/>
      <c r="I784" s="215"/>
      <c r="J784" s="215"/>
      <c r="K784" s="215"/>
      <c r="L784" s="215"/>
      <c r="M784" s="215"/>
      <c r="N784" s="215"/>
      <c r="O784" s="215"/>
      <c r="P784" s="215"/>
      <c r="Q784" s="215"/>
      <c r="R784" s="215"/>
      <c r="S784" s="215"/>
      <c r="T784" s="215"/>
      <c r="U784" s="215"/>
      <c r="V784" s="215"/>
      <c r="W784" s="215"/>
      <c r="X784" s="215"/>
      <c r="Y784" s="215"/>
      <c r="Z784" s="215"/>
      <c r="AA784" s="215"/>
      <c r="AB784" s="215"/>
      <c r="AC784" s="215"/>
      <c r="AD784" s="215"/>
      <c r="AE784" s="215"/>
      <c r="AF784" s="215"/>
      <c r="AG784" s="216"/>
      <c r="AJ784" s="214"/>
      <c r="AO784" s="214"/>
      <c r="AQ784" s="214"/>
      <c r="AU784" s="217"/>
      <c r="AV784" s="217"/>
      <c r="AW784" s="217"/>
    </row>
    <row r="785">
      <c r="C785" s="214"/>
      <c r="E785" s="215"/>
      <c r="F785" s="215"/>
      <c r="G785" s="215"/>
      <c r="H785" s="215"/>
      <c r="I785" s="215"/>
      <c r="J785" s="215"/>
      <c r="K785" s="215"/>
      <c r="L785" s="215"/>
      <c r="M785" s="215"/>
      <c r="N785" s="215"/>
      <c r="O785" s="215"/>
      <c r="P785" s="215"/>
      <c r="Q785" s="215"/>
      <c r="R785" s="215"/>
      <c r="S785" s="215"/>
      <c r="T785" s="215"/>
      <c r="U785" s="215"/>
      <c r="V785" s="215"/>
      <c r="W785" s="215"/>
      <c r="X785" s="215"/>
      <c r="Y785" s="215"/>
      <c r="Z785" s="215"/>
      <c r="AA785" s="215"/>
      <c r="AB785" s="215"/>
      <c r="AC785" s="215"/>
      <c r="AD785" s="215"/>
      <c r="AE785" s="215"/>
      <c r="AF785" s="215"/>
      <c r="AG785" s="216"/>
      <c r="AJ785" s="214"/>
      <c r="AO785" s="214"/>
      <c r="AQ785" s="214"/>
      <c r="AU785" s="217"/>
      <c r="AV785" s="217"/>
      <c r="AW785" s="217"/>
    </row>
    <row r="786">
      <c r="C786" s="214"/>
      <c r="E786" s="215"/>
      <c r="F786" s="215"/>
      <c r="G786" s="215"/>
      <c r="H786" s="215"/>
      <c r="I786" s="215"/>
      <c r="J786" s="215"/>
      <c r="K786" s="215"/>
      <c r="L786" s="215"/>
      <c r="M786" s="215"/>
      <c r="N786" s="215"/>
      <c r="O786" s="215"/>
      <c r="P786" s="215"/>
      <c r="Q786" s="215"/>
      <c r="R786" s="215"/>
      <c r="S786" s="215"/>
      <c r="T786" s="215"/>
      <c r="U786" s="215"/>
      <c r="V786" s="215"/>
      <c r="W786" s="215"/>
      <c r="X786" s="215"/>
      <c r="Y786" s="215"/>
      <c r="Z786" s="215"/>
      <c r="AA786" s="215"/>
      <c r="AB786" s="215"/>
      <c r="AC786" s="215"/>
      <c r="AD786" s="215"/>
      <c r="AE786" s="215"/>
      <c r="AF786" s="215"/>
      <c r="AG786" s="216"/>
      <c r="AJ786" s="214"/>
      <c r="AO786" s="214"/>
      <c r="AQ786" s="214"/>
      <c r="AU786" s="217"/>
      <c r="AV786" s="217"/>
      <c r="AW786" s="217"/>
    </row>
    <row r="787">
      <c r="C787" s="214"/>
      <c r="E787" s="215"/>
      <c r="F787" s="215"/>
      <c r="G787" s="215"/>
      <c r="H787" s="215"/>
      <c r="I787" s="215"/>
      <c r="J787" s="215"/>
      <c r="K787" s="215"/>
      <c r="L787" s="215"/>
      <c r="M787" s="215"/>
      <c r="N787" s="215"/>
      <c r="O787" s="215"/>
      <c r="P787" s="215"/>
      <c r="Q787" s="215"/>
      <c r="R787" s="215"/>
      <c r="S787" s="215"/>
      <c r="T787" s="215"/>
      <c r="U787" s="215"/>
      <c r="V787" s="215"/>
      <c r="W787" s="215"/>
      <c r="X787" s="215"/>
      <c r="Y787" s="215"/>
      <c r="Z787" s="215"/>
      <c r="AA787" s="215"/>
      <c r="AB787" s="215"/>
      <c r="AC787" s="215"/>
      <c r="AD787" s="215"/>
      <c r="AE787" s="215"/>
      <c r="AF787" s="215"/>
      <c r="AG787" s="216"/>
      <c r="AJ787" s="214"/>
      <c r="AO787" s="214"/>
      <c r="AQ787" s="214"/>
      <c r="AU787" s="217"/>
      <c r="AV787" s="217"/>
      <c r="AW787" s="217"/>
    </row>
    <row r="788">
      <c r="C788" s="214"/>
      <c r="E788" s="215"/>
      <c r="F788" s="215"/>
      <c r="G788" s="215"/>
      <c r="H788" s="215"/>
      <c r="I788" s="215"/>
      <c r="J788" s="215"/>
      <c r="K788" s="215"/>
      <c r="L788" s="215"/>
      <c r="M788" s="215"/>
      <c r="N788" s="215"/>
      <c r="O788" s="215"/>
      <c r="P788" s="215"/>
      <c r="Q788" s="215"/>
      <c r="R788" s="215"/>
      <c r="S788" s="215"/>
      <c r="T788" s="215"/>
      <c r="U788" s="215"/>
      <c r="V788" s="215"/>
      <c r="W788" s="215"/>
      <c r="X788" s="215"/>
      <c r="Y788" s="215"/>
      <c r="Z788" s="215"/>
      <c r="AA788" s="215"/>
      <c r="AB788" s="215"/>
      <c r="AC788" s="215"/>
      <c r="AD788" s="215"/>
      <c r="AE788" s="215"/>
      <c r="AF788" s="215"/>
      <c r="AG788" s="216"/>
      <c r="AJ788" s="214"/>
      <c r="AO788" s="214"/>
      <c r="AQ788" s="214"/>
      <c r="AU788" s="217"/>
      <c r="AV788" s="217"/>
      <c r="AW788" s="217"/>
    </row>
    <row r="789">
      <c r="C789" s="214"/>
      <c r="E789" s="215"/>
      <c r="F789" s="215"/>
      <c r="G789" s="215"/>
      <c r="H789" s="215"/>
      <c r="I789" s="215"/>
      <c r="J789" s="215"/>
      <c r="K789" s="215"/>
      <c r="L789" s="215"/>
      <c r="M789" s="215"/>
      <c r="N789" s="215"/>
      <c r="O789" s="215"/>
      <c r="P789" s="215"/>
      <c r="Q789" s="215"/>
      <c r="R789" s="215"/>
      <c r="S789" s="215"/>
      <c r="T789" s="215"/>
      <c r="U789" s="215"/>
      <c r="V789" s="215"/>
      <c r="W789" s="215"/>
      <c r="X789" s="215"/>
      <c r="Y789" s="215"/>
      <c r="Z789" s="215"/>
      <c r="AA789" s="215"/>
      <c r="AB789" s="215"/>
      <c r="AC789" s="215"/>
      <c r="AD789" s="215"/>
      <c r="AE789" s="215"/>
      <c r="AF789" s="215"/>
      <c r="AG789" s="216"/>
      <c r="AJ789" s="214"/>
      <c r="AO789" s="214"/>
      <c r="AQ789" s="214"/>
      <c r="AU789" s="217"/>
      <c r="AV789" s="217"/>
      <c r="AW789" s="217"/>
    </row>
    <row r="790">
      <c r="C790" s="214"/>
      <c r="E790" s="215"/>
      <c r="F790" s="215"/>
      <c r="G790" s="215"/>
      <c r="H790" s="215"/>
      <c r="I790" s="215"/>
      <c r="J790" s="215"/>
      <c r="K790" s="215"/>
      <c r="L790" s="215"/>
      <c r="M790" s="215"/>
      <c r="N790" s="215"/>
      <c r="O790" s="215"/>
      <c r="P790" s="215"/>
      <c r="Q790" s="215"/>
      <c r="R790" s="215"/>
      <c r="S790" s="215"/>
      <c r="T790" s="215"/>
      <c r="U790" s="215"/>
      <c r="V790" s="215"/>
      <c r="W790" s="215"/>
      <c r="X790" s="215"/>
      <c r="Y790" s="215"/>
      <c r="Z790" s="215"/>
      <c r="AA790" s="215"/>
      <c r="AB790" s="215"/>
      <c r="AC790" s="215"/>
      <c r="AD790" s="215"/>
      <c r="AE790" s="215"/>
      <c r="AF790" s="215"/>
      <c r="AG790" s="216"/>
      <c r="AJ790" s="214"/>
      <c r="AO790" s="214"/>
      <c r="AQ790" s="214"/>
      <c r="AU790" s="217"/>
      <c r="AV790" s="217"/>
      <c r="AW790" s="217"/>
    </row>
    <row r="791">
      <c r="C791" s="214"/>
      <c r="E791" s="215"/>
      <c r="F791" s="215"/>
      <c r="G791" s="215"/>
      <c r="H791" s="215"/>
      <c r="I791" s="215"/>
      <c r="J791" s="215"/>
      <c r="K791" s="215"/>
      <c r="L791" s="215"/>
      <c r="M791" s="215"/>
      <c r="N791" s="215"/>
      <c r="O791" s="215"/>
      <c r="P791" s="215"/>
      <c r="Q791" s="215"/>
      <c r="R791" s="215"/>
      <c r="S791" s="215"/>
      <c r="T791" s="215"/>
      <c r="U791" s="215"/>
      <c r="V791" s="215"/>
      <c r="W791" s="215"/>
      <c r="X791" s="215"/>
      <c r="Y791" s="215"/>
      <c r="Z791" s="215"/>
      <c r="AA791" s="215"/>
      <c r="AB791" s="215"/>
      <c r="AC791" s="215"/>
      <c r="AD791" s="215"/>
      <c r="AE791" s="215"/>
      <c r="AF791" s="215"/>
      <c r="AG791" s="216"/>
      <c r="AJ791" s="214"/>
      <c r="AO791" s="214"/>
      <c r="AQ791" s="214"/>
      <c r="AU791" s="217"/>
      <c r="AV791" s="217"/>
      <c r="AW791" s="217"/>
    </row>
    <row r="792">
      <c r="C792" s="214"/>
      <c r="E792" s="215"/>
      <c r="F792" s="215"/>
      <c r="G792" s="215"/>
      <c r="H792" s="215"/>
      <c r="I792" s="215"/>
      <c r="J792" s="215"/>
      <c r="K792" s="215"/>
      <c r="L792" s="215"/>
      <c r="M792" s="215"/>
      <c r="N792" s="215"/>
      <c r="O792" s="215"/>
      <c r="P792" s="215"/>
      <c r="Q792" s="215"/>
      <c r="R792" s="215"/>
      <c r="S792" s="215"/>
      <c r="T792" s="215"/>
      <c r="U792" s="215"/>
      <c r="V792" s="215"/>
      <c r="W792" s="215"/>
      <c r="X792" s="215"/>
      <c r="Y792" s="215"/>
      <c r="Z792" s="215"/>
      <c r="AA792" s="215"/>
      <c r="AB792" s="215"/>
      <c r="AC792" s="215"/>
      <c r="AD792" s="215"/>
      <c r="AE792" s="215"/>
      <c r="AF792" s="215"/>
      <c r="AG792" s="216"/>
      <c r="AJ792" s="214"/>
      <c r="AO792" s="214"/>
      <c r="AQ792" s="214"/>
      <c r="AU792" s="217"/>
      <c r="AV792" s="217"/>
      <c r="AW792" s="217"/>
    </row>
    <row r="793">
      <c r="C793" s="214"/>
      <c r="E793" s="215"/>
      <c r="F793" s="215"/>
      <c r="G793" s="215"/>
      <c r="H793" s="215"/>
      <c r="I793" s="215"/>
      <c r="J793" s="215"/>
      <c r="K793" s="215"/>
      <c r="L793" s="215"/>
      <c r="M793" s="215"/>
      <c r="N793" s="215"/>
      <c r="O793" s="215"/>
      <c r="P793" s="215"/>
      <c r="Q793" s="215"/>
      <c r="R793" s="215"/>
      <c r="S793" s="215"/>
      <c r="T793" s="215"/>
      <c r="U793" s="215"/>
      <c r="V793" s="215"/>
      <c r="W793" s="215"/>
      <c r="X793" s="215"/>
      <c r="Y793" s="215"/>
      <c r="Z793" s="215"/>
      <c r="AA793" s="215"/>
      <c r="AB793" s="215"/>
      <c r="AC793" s="215"/>
      <c r="AD793" s="215"/>
      <c r="AE793" s="215"/>
      <c r="AF793" s="215"/>
      <c r="AG793" s="216"/>
      <c r="AJ793" s="214"/>
      <c r="AO793" s="214"/>
      <c r="AQ793" s="214"/>
      <c r="AU793" s="217"/>
      <c r="AV793" s="217"/>
      <c r="AW793" s="217"/>
    </row>
    <row r="794">
      <c r="C794" s="214"/>
      <c r="E794" s="215"/>
      <c r="F794" s="215"/>
      <c r="G794" s="215"/>
      <c r="H794" s="215"/>
      <c r="I794" s="215"/>
      <c r="J794" s="215"/>
      <c r="K794" s="215"/>
      <c r="L794" s="215"/>
      <c r="M794" s="215"/>
      <c r="N794" s="215"/>
      <c r="O794" s="215"/>
      <c r="P794" s="215"/>
      <c r="Q794" s="215"/>
      <c r="R794" s="215"/>
      <c r="S794" s="215"/>
      <c r="T794" s="215"/>
      <c r="U794" s="215"/>
      <c r="V794" s="215"/>
      <c r="W794" s="215"/>
      <c r="X794" s="215"/>
      <c r="Y794" s="215"/>
      <c r="Z794" s="215"/>
      <c r="AA794" s="215"/>
      <c r="AB794" s="215"/>
      <c r="AC794" s="215"/>
      <c r="AD794" s="215"/>
      <c r="AE794" s="215"/>
      <c r="AF794" s="215"/>
      <c r="AG794" s="216"/>
      <c r="AJ794" s="214"/>
      <c r="AO794" s="214"/>
      <c r="AQ794" s="214"/>
      <c r="AU794" s="217"/>
      <c r="AV794" s="217"/>
      <c r="AW794" s="217"/>
    </row>
    <row r="795">
      <c r="C795" s="214"/>
      <c r="E795" s="215"/>
      <c r="F795" s="215"/>
      <c r="G795" s="215"/>
      <c r="H795" s="215"/>
      <c r="I795" s="215"/>
      <c r="J795" s="215"/>
      <c r="K795" s="215"/>
      <c r="L795" s="215"/>
      <c r="M795" s="215"/>
      <c r="N795" s="215"/>
      <c r="O795" s="215"/>
      <c r="P795" s="215"/>
      <c r="Q795" s="215"/>
      <c r="R795" s="215"/>
      <c r="S795" s="215"/>
      <c r="T795" s="215"/>
      <c r="U795" s="215"/>
      <c r="V795" s="215"/>
      <c r="W795" s="215"/>
      <c r="X795" s="215"/>
      <c r="Y795" s="215"/>
      <c r="Z795" s="215"/>
      <c r="AA795" s="215"/>
      <c r="AB795" s="215"/>
      <c r="AC795" s="215"/>
      <c r="AD795" s="215"/>
      <c r="AE795" s="215"/>
      <c r="AF795" s="215"/>
      <c r="AG795" s="216"/>
      <c r="AJ795" s="214"/>
      <c r="AO795" s="214"/>
      <c r="AQ795" s="214"/>
      <c r="AU795" s="217"/>
      <c r="AV795" s="217"/>
      <c r="AW795" s="217"/>
    </row>
    <row r="796">
      <c r="C796" s="214"/>
      <c r="E796" s="215"/>
      <c r="F796" s="215"/>
      <c r="G796" s="215"/>
      <c r="H796" s="215"/>
      <c r="I796" s="215"/>
      <c r="J796" s="215"/>
      <c r="K796" s="215"/>
      <c r="L796" s="215"/>
      <c r="M796" s="215"/>
      <c r="N796" s="215"/>
      <c r="O796" s="215"/>
      <c r="P796" s="215"/>
      <c r="Q796" s="215"/>
      <c r="R796" s="215"/>
      <c r="S796" s="215"/>
      <c r="T796" s="215"/>
      <c r="U796" s="215"/>
      <c r="V796" s="215"/>
      <c r="W796" s="215"/>
      <c r="X796" s="215"/>
      <c r="Y796" s="215"/>
      <c r="Z796" s="215"/>
      <c r="AA796" s="215"/>
      <c r="AB796" s="215"/>
      <c r="AC796" s="215"/>
      <c r="AD796" s="215"/>
      <c r="AE796" s="215"/>
      <c r="AF796" s="215"/>
      <c r="AG796" s="216"/>
      <c r="AJ796" s="214"/>
      <c r="AO796" s="214"/>
      <c r="AQ796" s="214"/>
      <c r="AU796" s="217"/>
      <c r="AV796" s="217"/>
      <c r="AW796" s="217"/>
    </row>
    <row r="797">
      <c r="C797" s="214"/>
      <c r="E797" s="215"/>
      <c r="F797" s="215"/>
      <c r="G797" s="215"/>
      <c r="H797" s="215"/>
      <c r="I797" s="215"/>
      <c r="J797" s="215"/>
      <c r="K797" s="215"/>
      <c r="L797" s="215"/>
      <c r="M797" s="215"/>
      <c r="N797" s="215"/>
      <c r="O797" s="215"/>
      <c r="P797" s="215"/>
      <c r="Q797" s="215"/>
      <c r="R797" s="215"/>
      <c r="S797" s="215"/>
      <c r="T797" s="215"/>
      <c r="U797" s="215"/>
      <c r="V797" s="215"/>
      <c r="W797" s="215"/>
      <c r="X797" s="215"/>
      <c r="Y797" s="215"/>
      <c r="Z797" s="215"/>
      <c r="AA797" s="215"/>
      <c r="AB797" s="215"/>
      <c r="AC797" s="215"/>
      <c r="AD797" s="215"/>
      <c r="AE797" s="215"/>
      <c r="AF797" s="215"/>
      <c r="AG797" s="216"/>
      <c r="AJ797" s="214"/>
      <c r="AO797" s="214"/>
      <c r="AQ797" s="214"/>
      <c r="AU797" s="217"/>
      <c r="AV797" s="217"/>
      <c r="AW797" s="217"/>
    </row>
    <row r="798">
      <c r="C798" s="214"/>
      <c r="E798" s="215"/>
      <c r="F798" s="215"/>
      <c r="G798" s="215"/>
      <c r="H798" s="215"/>
      <c r="I798" s="215"/>
      <c r="J798" s="215"/>
      <c r="K798" s="215"/>
      <c r="L798" s="215"/>
      <c r="M798" s="215"/>
      <c r="N798" s="215"/>
      <c r="O798" s="215"/>
      <c r="P798" s="215"/>
      <c r="Q798" s="215"/>
      <c r="R798" s="215"/>
      <c r="S798" s="215"/>
      <c r="T798" s="215"/>
      <c r="U798" s="215"/>
      <c r="V798" s="215"/>
      <c r="W798" s="215"/>
      <c r="X798" s="215"/>
      <c r="Y798" s="215"/>
      <c r="Z798" s="215"/>
      <c r="AA798" s="215"/>
      <c r="AB798" s="215"/>
      <c r="AC798" s="215"/>
      <c r="AD798" s="215"/>
      <c r="AE798" s="215"/>
      <c r="AF798" s="215"/>
      <c r="AG798" s="216"/>
      <c r="AJ798" s="214"/>
      <c r="AO798" s="214"/>
      <c r="AQ798" s="214"/>
      <c r="AU798" s="217"/>
      <c r="AV798" s="217"/>
      <c r="AW798" s="217"/>
    </row>
    <row r="799">
      <c r="C799" s="214"/>
      <c r="E799" s="215"/>
      <c r="F799" s="215"/>
      <c r="G799" s="215"/>
      <c r="H799" s="215"/>
      <c r="I799" s="215"/>
      <c r="J799" s="215"/>
      <c r="K799" s="215"/>
      <c r="L799" s="215"/>
      <c r="M799" s="215"/>
      <c r="N799" s="215"/>
      <c r="O799" s="215"/>
      <c r="P799" s="215"/>
      <c r="Q799" s="215"/>
      <c r="R799" s="215"/>
      <c r="S799" s="215"/>
      <c r="T799" s="215"/>
      <c r="U799" s="215"/>
      <c r="V799" s="215"/>
      <c r="W799" s="215"/>
      <c r="X799" s="215"/>
      <c r="Y799" s="215"/>
      <c r="Z799" s="215"/>
      <c r="AA799" s="215"/>
      <c r="AB799" s="215"/>
      <c r="AC799" s="215"/>
      <c r="AD799" s="215"/>
      <c r="AE799" s="215"/>
      <c r="AF799" s="215"/>
      <c r="AG799" s="216"/>
      <c r="AJ799" s="214"/>
      <c r="AO799" s="214"/>
      <c r="AQ799" s="214"/>
      <c r="AU799" s="217"/>
      <c r="AV799" s="217"/>
      <c r="AW799" s="217"/>
    </row>
    <row r="800">
      <c r="C800" s="214"/>
      <c r="E800" s="215"/>
      <c r="F800" s="215"/>
      <c r="G800" s="215"/>
      <c r="H800" s="215"/>
      <c r="I800" s="215"/>
      <c r="J800" s="215"/>
      <c r="K800" s="215"/>
      <c r="L800" s="215"/>
      <c r="M800" s="215"/>
      <c r="N800" s="215"/>
      <c r="O800" s="215"/>
      <c r="P800" s="215"/>
      <c r="Q800" s="215"/>
      <c r="R800" s="215"/>
      <c r="S800" s="215"/>
      <c r="T800" s="215"/>
      <c r="U800" s="215"/>
      <c r="V800" s="215"/>
      <c r="W800" s="215"/>
      <c r="X800" s="215"/>
      <c r="Y800" s="215"/>
      <c r="Z800" s="215"/>
      <c r="AA800" s="215"/>
      <c r="AB800" s="215"/>
      <c r="AC800" s="215"/>
      <c r="AD800" s="215"/>
      <c r="AE800" s="215"/>
      <c r="AF800" s="215"/>
      <c r="AG800" s="216"/>
      <c r="AJ800" s="214"/>
      <c r="AO800" s="214"/>
      <c r="AQ800" s="214"/>
      <c r="AU800" s="217"/>
      <c r="AV800" s="217"/>
      <c r="AW800" s="217"/>
    </row>
    <row r="801">
      <c r="C801" s="214"/>
      <c r="E801" s="215"/>
      <c r="F801" s="215"/>
      <c r="G801" s="215"/>
      <c r="H801" s="215"/>
      <c r="I801" s="215"/>
      <c r="J801" s="215"/>
      <c r="K801" s="215"/>
      <c r="L801" s="215"/>
      <c r="M801" s="215"/>
      <c r="N801" s="215"/>
      <c r="O801" s="215"/>
      <c r="P801" s="215"/>
      <c r="Q801" s="215"/>
      <c r="R801" s="215"/>
      <c r="S801" s="215"/>
      <c r="T801" s="215"/>
      <c r="U801" s="215"/>
      <c r="V801" s="215"/>
      <c r="W801" s="215"/>
      <c r="X801" s="215"/>
      <c r="Y801" s="215"/>
      <c r="Z801" s="215"/>
      <c r="AA801" s="215"/>
      <c r="AB801" s="215"/>
      <c r="AC801" s="215"/>
      <c r="AD801" s="215"/>
      <c r="AE801" s="215"/>
      <c r="AF801" s="215"/>
      <c r="AG801" s="216"/>
      <c r="AJ801" s="214"/>
      <c r="AO801" s="214"/>
      <c r="AQ801" s="214"/>
      <c r="AU801" s="217"/>
      <c r="AV801" s="217"/>
      <c r="AW801" s="217"/>
    </row>
    <row r="802">
      <c r="C802" s="214"/>
      <c r="E802" s="215"/>
      <c r="F802" s="215"/>
      <c r="G802" s="215"/>
      <c r="H802" s="215"/>
      <c r="I802" s="215"/>
      <c r="J802" s="215"/>
      <c r="K802" s="215"/>
      <c r="L802" s="215"/>
      <c r="M802" s="215"/>
      <c r="N802" s="215"/>
      <c r="O802" s="215"/>
      <c r="P802" s="215"/>
      <c r="Q802" s="215"/>
      <c r="R802" s="215"/>
      <c r="S802" s="215"/>
      <c r="T802" s="215"/>
      <c r="U802" s="215"/>
      <c r="V802" s="215"/>
      <c r="W802" s="215"/>
      <c r="X802" s="215"/>
      <c r="Y802" s="215"/>
      <c r="Z802" s="215"/>
      <c r="AA802" s="215"/>
      <c r="AB802" s="215"/>
      <c r="AC802" s="215"/>
      <c r="AD802" s="215"/>
      <c r="AE802" s="215"/>
      <c r="AF802" s="215"/>
      <c r="AG802" s="216"/>
      <c r="AJ802" s="214"/>
      <c r="AO802" s="214"/>
      <c r="AQ802" s="214"/>
      <c r="AU802" s="217"/>
      <c r="AV802" s="217"/>
      <c r="AW802" s="217"/>
    </row>
    <row r="803">
      <c r="C803" s="214"/>
      <c r="E803" s="215"/>
      <c r="F803" s="215"/>
      <c r="G803" s="215"/>
      <c r="H803" s="215"/>
      <c r="I803" s="215"/>
      <c r="J803" s="215"/>
      <c r="K803" s="215"/>
      <c r="L803" s="215"/>
      <c r="M803" s="215"/>
      <c r="N803" s="215"/>
      <c r="O803" s="215"/>
      <c r="P803" s="215"/>
      <c r="Q803" s="215"/>
      <c r="R803" s="215"/>
      <c r="S803" s="215"/>
      <c r="T803" s="215"/>
      <c r="U803" s="215"/>
      <c r="V803" s="215"/>
      <c r="W803" s="215"/>
      <c r="X803" s="215"/>
      <c r="Y803" s="215"/>
      <c r="Z803" s="215"/>
      <c r="AA803" s="215"/>
      <c r="AB803" s="215"/>
      <c r="AC803" s="215"/>
      <c r="AD803" s="215"/>
      <c r="AE803" s="215"/>
      <c r="AF803" s="215"/>
      <c r="AG803" s="216"/>
      <c r="AJ803" s="214"/>
      <c r="AO803" s="214"/>
      <c r="AQ803" s="214"/>
      <c r="AU803" s="217"/>
      <c r="AV803" s="217"/>
      <c r="AW803" s="217"/>
    </row>
    <row r="804">
      <c r="C804" s="214"/>
      <c r="E804" s="215"/>
      <c r="F804" s="215"/>
      <c r="G804" s="215"/>
      <c r="H804" s="215"/>
      <c r="I804" s="215"/>
      <c r="J804" s="215"/>
      <c r="K804" s="215"/>
      <c r="L804" s="215"/>
      <c r="M804" s="215"/>
      <c r="N804" s="215"/>
      <c r="O804" s="215"/>
      <c r="P804" s="215"/>
      <c r="Q804" s="215"/>
      <c r="R804" s="215"/>
      <c r="S804" s="215"/>
      <c r="T804" s="215"/>
      <c r="U804" s="215"/>
      <c r="V804" s="215"/>
      <c r="W804" s="215"/>
      <c r="X804" s="215"/>
      <c r="Y804" s="215"/>
      <c r="Z804" s="215"/>
      <c r="AA804" s="215"/>
      <c r="AB804" s="215"/>
      <c r="AC804" s="215"/>
      <c r="AD804" s="215"/>
      <c r="AE804" s="215"/>
      <c r="AF804" s="215"/>
      <c r="AG804" s="216"/>
      <c r="AJ804" s="214"/>
      <c r="AO804" s="214"/>
      <c r="AQ804" s="214"/>
      <c r="AU804" s="217"/>
      <c r="AV804" s="217"/>
      <c r="AW804" s="217"/>
    </row>
    <row r="805">
      <c r="C805" s="214"/>
      <c r="E805" s="215"/>
      <c r="F805" s="215"/>
      <c r="G805" s="215"/>
      <c r="H805" s="215"/>
      <c r="I805" s="215"/>
      <c r="J805" s="215"/>
      <c r="K805" s="215"/>
      <c r="L805" s="215"/>
      <c r="M805" s="215"/>
      <c r="N805" s="215"/>
      <c r="O805" s="215"/>
      <c r="P805" s="215"/>
      <c r="Q805" s="215"/>
      <c r="R805" s="215"/>
      <c r="S805" s="215"/>
      <c r="T805" s="215"/>
      <c r="U805" s="215"/>
      <c r="V805" s="215"/>
      <c r="W805" s="215"/>
      <c r="X805" s="215"/>
      <c r="Y805" s="215"/>
      <c r="Z805" s="215"/>
      <c r="AA805" s="215"/>
      <c r="AB805" s="215"/>
      <c r="AC805" s="215"/>
      <c r="AD805" s="215"/>
      <c r="AE805" s="215"/>
      <c r="AF805" s="215"/>
      <c r="AG805" s="216"/>
      <c r="AJ805" s="214"/>
      <c r="AO805" s="214"/>
      <c r="AQ805" s="214"/>
      <c r="AU805" s="217"/>
      <c r="AV805" s="217"/>
      <c r="AW805" s="217"/>
    </row>
    <row r="806">
      <c r="C806" s="214"/>
      <c r="E806" s="215"/>
      <c r="F806" s="215"/>
      <c r="G806" s="215"/>
      <c r="H806" s="215"/>
      <c r="I806" s="215"/>
      <c r="J806" s="215"/>
      <c r="K806" s="215"/>
      <c r="L806" s="215"/>
      <c r="M806" s="215"/>
      <c r="N806" s="215"/>
      <c r="O806" s="215"/>
      <c r="P806" s="215"/>
      <c r="Q806" s="215"/>
      <c r="R806" s="215"/>
      <c r="S806" s="215"/>
      <c r="T806" s="215"/>
      <c r="U806" s="215"/>
      <c r="V806" s="215"/>
      <c r="W806" s="215"/>
      <c r="X806" s="215"/>
      <c r="Y806" s="215"/>
      <c r="Z806" s="215"/>
      <c r="AA806" s="215"/>
      <c r="AB806" s="215"/>
      <c r="AC806" s="215"/>
      <c r="AD806" s="215"/>
      <c r="AE806" s="215"/>
      <c r="AF806" s="215"/>
      <c r="AG806" s="216"/>
      <c r="AJ806" s="214"/>
      <c r="AO806" s="214"/>
      <c r="AQ806" s="214"/>
      <c r="AU806" s="217"/>
      <c r="AV806" s="217"/>
      <c r="AW806" s="217"/>
    </row>
    <row r="807">
      <c r="C807" s="214"/>
      <c r="E807" s="215"/>
      <c r="F807" s="215"/>
      <c r="G807" s="215"/>
      <c r="H807" s="215"/>
      <c r="I807" s="215"/>
      <c r="J807" s="215"/>
      <c r="K807" s="215"/>
      <c r="L807" s="215"/>
      <c r="M807" s="215"/>
      <c r="N807" s="215"/>
      <c r="O807" s="215"/>
      <c r="P807" s="215"/>
      <c r="Q807" s="215"/>
      <c r="R807" s="215"/>
      <c r="S807" s="215"/>
      <c r="T807" s="215"/>
      <c r="U807" s="215"/>
      <c r="V807" s="215"/>
      <c r="W807" s="215"/>
      <c r="X807" s="215"/>
      <c r="Y807" s="215"/>
      <c r="Z807" s="215"/>
      <c r="AA807" s="215"/>
      <c r="AB807" s="215"/>
      <c r="AC807" s="215"/>
      <c r="AD807" s="215"/>
      <c r="AE807" s="215"/>
      <c r="AF807" s="215"/>
      <c r="AG807" s="216"/>
      <c r="AJ807" s="214"/>
      <c r="AO807" s="214"/>
      <c r="AQ807" s="214"/>
      <c r="AU807" s="217"/>
      <c r="AV807" s="217"/>
      <c r="AW807" s="217"/>
    </row>
    <row r="808">
      <c r="C808" s="214"/>
      <c r="E808" s="215"/>
      <c r="F808" s="215"/>
      <c r="G808" s="215"/>
      <c r="H808" s="215"/>
      <c r="I808" s="215"/>
      <c r="J808" s="215"/>
      <c r="K808" s="215"/>
      <c r="L808" s="215"/>
      <c r="M808" s="215"/>
      <c r="N808" s="215"/>
      <c r="O808" s="215"/>
      <c r="P808" s="215"/>
      <c r="Q808" s="215"/>
      <c r="R808" s="215"/>
      <c r="S808" s="215"/>
      <c r="T808" s="215"/>
      <c r="U808" s="215"/>
      <c r="V808" s="215"/>
      <c r="W808" s="215"/>
      <c r="X808" s="215"/>
      <c r="Y808" s="215"/>
      <c r="Z808" s="215"/>
      <c r="AA808" s="215"/>
      <c r="AB808" s="215"/>
      <c r="AC808" s="215"/>
      <c r="AD808" s="215"/>
      <c r="AE808" s="215"/>
      <c r="AF808" s="215"/>
      <c r="AG808" s="216"/>
      <c r="AJ808" s="214"/>
      <c r="AO808" s="214"/>
      <c r="AQ808" s="214"/>
      <c r="AU808" s="217"/>
      <c r="AV808" s="217"/>
      <c r="AW808" s="217"/>
    </row>
    <row r="809">
      <c r="C809" s="214"/>
      <c r="E809" s="215"/>
      <c r="F809" s="215"/>
      <c r="G809" s="215"/>
      <c r="H809" s="215"/>
      <c r="I809" s="215"/>
      <c r="J809" s="215"/>
      <c r="K809" s="215"/>
      <c r="L809" s="215"/>
      <c r="M809" s="215"/>
      <c r="N809" s="215"/>
      <c r="O809" s="215"/>
      <c r="P809" s="215"/>
      <c r="Q809" s="215"/>
      <c r="R809" s="215"/>
      <c r="S809" s="215"/>
      <c r="T809" s="215"/>
      <c r="U809" s="215"/>
      <c r="V809" s="215"/>
      <c r="W809" s="215"/>
      <c r="X809" s="215"/>
      <c r="Y809" s="215"/>
      <c r="Z809" s="215"/>
      <c r="AA809" s="215"/>
      <c r="AB809" s="215"/>
      <c r="AC809" s="215"/>
      <c r="AD809" s="215"/>
      <c r="AE809" s="215"/>
      <c r="AF809" s="215"/>
      <c r="AG809" s="216"/>
      <c r="AJ809" s="214"/>
      <c r="AO809" s="214"/>
      <c r="AQ809" s="214"/>
      <c r="AU809" s="217"/>
      <c r="AV809" s="217"/>
      <c r="AW809" s="217"/>
    </row>
    <row r="810">
      <c r="C810" s="214"/>
      <c r="E810" s="215"/>
      <c r="F810" s="215"/>
      <c r="G810" s="215"/>
      <c r="H810" s="215"/>
      <c r="I810" s="215"/>
      <c r="J810" s="215"/>
      <c r="K810" s="215"/>
      <c r="L810" s="215"/>
      <c r="M810" s="215"/>
      <c r="N810" s="215"/>
      <c r="O810" s="215"/>
      <c r="P810" s="215"/>
      <c r="Q810" s="215"/>
      <c r="R810" s="215"/>
      <c r="S810" s="215"/>
      <c r="T810" s="215"/>
      <c r="U810" s="215"/>
      <c r="V810" s="215"/>
      <c r="W810" s="215"/>
      <c r="X810" s="215"/>
      <c r="Y810" s="215"/>
      <c r="Z810" s="215"/>
      <c r="AA810" s="215"/>
      <c r="AB810" s="215"/>
      <c r="AC810" s="215"/>
      <c r="AD810" s="215"/>
      <c r="AE810" s="215"/>
      <c r="AF810" s="215"/>
      <c r="AG810" s="216"/>
      <c r="AJ810" s="214"/>
      <c r="AO810" s="214"/>
      <c r="AQ810" s="214"/>
      <c r="AU810" s="217"/>
      <c r="AV810" s="217"/>
      <c r="AW810" s="217"/>
    </row>
    <row r="811">
      <c r="C811" s="214"/>
      <c r="E811" s="215"/>
      <c r="F811" s="215"/>
      <c r="G811" s="215"/>
      <c r="H811" s="215"/>
      <c r="I811" s="215"/>
      <c r="J811" s="215"/>
      <c r="K811" s="215"/>
      <c r="L811" s="215"/>
      <c r="M811" s="215"/>
      <c r="N811" s="215"/>
      <c r="O811" s="215"/>
      <c r="P811" s="215"/>
      <c r="Q811" s="215"/>
      <c r="R811" s="215"/>
      <c r="S811" s="215"/>
      <c r="T811" s="215"/>
      <c r="U811" s="215"/>
      <c r="V811" s="215"/>
      <c r="W811" s="215"/>
      <c r="X811" s="215"/>
      <c r="Y811" s="215"/>
      <c r="Z811" s="215"/>
      <c r="AA811" s="215"/>
      <c r="AB811" s="215"/>
      <c r="AC811" s="215"/>
      <c r="AD811" s="215"/>
      <c r="AE811" s="215"/>
      <c r="AF811" s="215"/>
      <c r="AG811" s="216"/>
      <c r="AJ811" s="214"/>
      <c r="AO811" s="214"/>
      <c r="AQ811" s="214"/>
      <c r="AU811" s="217"/>
      <c r="AV811" s="217"/>
      <c r="AW811" s="217"/>
    </row>
    <row r="812">
      <c r="C812" s="214"/>
      <c r="E812" s="215"/>
      <c r="F812" s="215"/>
      <c r="G812" s="215"/>
      <c r="H812" s="215"/>
      <c r="I812" s="215"/>
      <c r="J812" s="215"/>
      <c r="K812" s="215"/>
      <c r="L812" s="215"/>
      <c r="M812" s="215"/>
      <c r="N812" s="215"/>
      <c r="O812" s="215"/>
      <c r="P812" s="215"/>
      <c r="Q812" s="215"/>
      <c r="R812" s="215"/>
      <c r="S812" s="215"/>
      <c r="T812" s="215"/>
      <c r="U812" s="215"/>
      <c r="V812" s="215"/>
      <c r="W812" s="215"/>
      <c r="X812" s="215"/>
      <c r="Y812" s="215"/>
      <c r="Z812" s="215"/>
      <c r="AA812" s="215"/>
      <c r="AB812" s="215"/>
      <c r="AC812" s="215"/>
      <c r="AD812" s="215"/>
      <c r="AE812" s="215"/>
      <c r="AF812" s="215"/>
      <c r="AG812" s="216"/>
      <c r="AJ812" s="214"/>
      <c r="AO812" s="214"/>
      <c r="AQ812" s="214"/>
      <c r="AU812" s="217"/>
      <c r="AV812" s="217"/>
      <c r="AW812" s="217"/>
    </row>
    <row r="813">
      <c r="C813" s="214"/>
      <c r="E813" s="215"/>
      <c r="F813" s="215"/>
      <c r="G813" s="215"/>
      <c r="H813" s="215"/>
      <c r="I813" s="215"/>
      <c r="J813" s="215"/>
      <c r="K813" s="215"/>
      <c r="L813" s="215"/>
      <c r="M813" s="215"/>
      <c r="N813" s="215"/>
      <c r="O813" s="215"/>
      <c r="P813" s="215"/>
      <c r="Q813" s="215"/>
      <c r="R813" s="215"/>
      <c r="S813" s="215"/>
      <c r="T813" s="215"/>
      <c r="U813" s="215"/>
      <c r="V813" s="215"/>
      <c r="W813" s="215"/>
      <c r="X813" s="215"/>
      <c r="Y813" s="215"/>
      <c r="Z813" s="215"/>
      <c r="AA813" s="215"/>
      <c r="AB813" s="215"/>
      <c r="AC813" s="215"/>
      <c r="AD813" s="215"/>
      <c r="AE813" s="215"/>
      <c r="AF813" s="215"/>
      <c r="AG813" s="216"/>
      <c r="AJ813" s="214"/>
      <c r="AO813" s="214"/>
      <c r="AQ813" s="214"/>
      <c r="AU813" s="217"/>
      <c r="AV813" s="217"/>
      <c r="AW813" s="217"/>
    </row>
    <row r="814">
      <c r="C814" s="214"/>
      <c r="E814" s="215"/>
      <c r="F814" s="215"/>
      <c r="G814" s="215"/>
      <c r="H814" s="215"/>
      <c r="I814" s="215"/>
      <c r="J814" s="215"/>
      <c r="K814" s="215"/>
      <c r="L814" s="215"/>
      <c r="M814" s="215"/>
      <c r="N814" s="215"/>
      <c r="O814" s="215"/>
      <c r="P814" s="215"/>
      <c r="Q814" s="215"/>
      <c r="R814" s="215"/>
      <c r="S814" s="215"/>
      <c r="T814" s="215"/>
      <c r="U814" s="215"/>
      <c r="V814" s="215"/>
      <c r="W814" s="215"/>
      <c r="X814" s="215"/>
      <c r="Y814" s="215"/>
      <c r="Z814" s="215"/>
      <c r="AA814" s="215"/>
      <c r="AB814" s="215"/>
      <c r="AC814" s="215"/>
      <c r="AD814" s="215"/>
      <c r="AE814" s="215"/>
      <c r="AF814" s="215"/>
      <c r="AG814" s="216"/>
      <c r="AJ814" s="214"/>
      <c r="AO814" s="214"/>
      <c r="AQ814" s="214"/>
      <c r="AU814" s="217"/>
      <c r="AV814" s="217"/>
      <c r="AW814" s="217"/>
    </row>
    <row r="815">
      <c r="C815" s="214"/>
      <c r="E815" s="215"/>
      <c r="F815" s="215"/>
      <c r="G815" s="215"/>
      <c r="H815" s="215"/>
      <c r="I815" s="215"/>
      <c r="J815" s="215"/>
      <c r="K815" s="215"/>
      <c r="L815" s="215"/>
      <c r="M815" s="215"/>
      <c r="N815" s="215"/>
      <c r="O815" s="215"/>
      <c r="P815" s="215"/>
      <c r="Q815" s="215"/>
      <c r="R815" s="215"/>
      <c r="S815" s="215"/>
      <c r="T815" s="215"/>
      <c r="U815" s="215"/>
      <c r="V815" s="215"/>
      <c r="W815" s="215"/>
      <c r="X815" s="215"/>
      <c r="Y815" s="215"/>
      <c r="Z815" s="215"/>
      <c r="AA815" s="215"/>
      <c r="AB815" s="215"/>
      <c r="AC815" s="215"/>
      <c r="AD815" s="215"/>
      <c r="AE815" s="215"/>
      <c r="AF815" s="215"/>
      <c r="AG815" s="216"/>
      <c r="AJ815" s="214"/>
      <c r="AO815" s="214"/>
      <c r="AQ815" s="214"/>
      <c r="AU815" s="217"/>
      <c r="AV815" s="217"/>
      <c r="AW815" s="217"/>
    </row>
    <row r="816">
      <c r="C816" s="214"/>
      <c r="E816" s="215"/>
      <c r="F816" s="215"/>
      <c r="G816" s="215"/>
      <c r="H816" s="215"/>
      <c r="I816" s="215"/>
      <c r="J816" s="215"/>
      <c r="K816" s="215"/>
      <c r="L816" s="215"/>
      <c r="M816" s="215"/>
      <c r="N816" s="215"/>
      <c r="O816" s="215"/>
      <c r="P816" s="215"/>
      <c r="Q816" s="215"/>
      <c r="R816" s="215"/>
      <c r="S816" s="215"/>
      <c r="T816" s="215"/>
      <c r="U816" s="215"/>
      <c r="V816" s="215"/>
      <c r="W816" s="215"/>
      <c r="X816" s="215"/>
      <c r="Y816" s="215"/>
      <c r="Z816" s="215"/>
      <c r="AA816" s="215"/>
      <c r="AB816" s="215"/>
      <c r="AC816" s="215"/>
      <c r="AD816" s="215"/>
      <c r="AE816" s="215"/>
      <c r="AF816" s="215"/>
      <c r="AG816" s="216"/>
      <c r="AJ816" s="214"/>
      <c r="AO816" s="214"/>
      <c r="AQ816" s="214"/>
      <c r="AU816" s="217"/>
      <c r="AV816" s="217"/>
      <c r="AW816" s="217"/>
    </row>
    <row r="817">
      <c r="C817" s="214"/>
      <c r="E817" s="215"/>
      <c r="F817" s="215"/>
      <c r="G817" s="215"/>
      <c r="H817" s="215"/>
      <c r="I817" s="215"/>
      <c r="J817" s="215"/>
      <c r="K817" s="215"/>
      <c r="L817" s="215"/>
      <c r="M817" s="215"/>
      <c r="N817" s="215"/>
      <c r="O817" s="215"/>
      <c r="P817" s="215"/>
      <c r="Q817" s="215"/>
      <c r="R817" s="215"/>
      <c r="S817" s="215"/>
      <c r="T817" s="215"/>
      <c r="U817" s="215"/>
      <c r="V817" s="215"/>
      <c r="W817" s="215"/>
      <c r="X817" s="215"/>
      <c r="Y817" s="215"/>
      <c r="Z817" s="215"/>
      <c r="AA817" s="215"/>
      <c r="AB817" s="215"/>
      <c r="AC817" s="215"/>
      <c r="AD817" s="215"/>
      <c r="AE817" s="215"/>
      <c r="AF817" s="215"/>
      <c r="AG817" s="216"/>
      <c r="AJ817" s="214"/>
      <c r="AO817" s="214"/>
      <c r="AQ817" s="214"/>
      <c r="AU817" s="217"/>
      <c r="AV817" s="217"/>
      <c r="AW817" s="217"/>
    </row>
    <row r="818">
      <c r="C818" s="214"/>
      <c r="E818" s="215"/>
      <c r="F818" s="215"/>
      <c r="G818" s="215"/>
      <c r="H818" s="215"/>
      <c r="I818" s="215"/>
      <c r="J818" s="215"/>
      <c r="K818" s="215"/>
      <c r="L818" s="215"/>
      <c r="M818" s="215"/>
      <c r="N818" s="215"/>
      <c r="O818" s="215"/>
      <c r="P818" s="215"/>
      <c r="Q818" s="215"/>
      <c r="R818" s="215"/>
      <c r="S818" s="215"/>
      <c r="T818" s="215"/>
      <c r="U818" s="215"/>
      <c r="V818" s="215"/>
      <c r="W818" s="215"/>
      <c r="X818" s="215"/>
      <c r="Y818" s="215"/>
      <c r="Z818" s="215"/>
      <c r="AA818" s="215"/>
      <c r="AB818" s="215"/>
      <c r="AC818" s="215"/>
      <c r="AD818" s="215"/>
      <c r="AE818" s="215"/>
      <c r="AF818" s="215"/>
      <c r="AG818" s="216"/>
      <c r="AJ818" s="214"/>
      <c r="AO818" s="214"/>
      <c r="AQ818" s="214"/>
      <c r="AU818" s="217"/>
      <c r="AV818" s="217"/>
      <c r="AW818" s="217"/>
    </row>
    <row r="819">
      <c r="C819" s="214"/>
      <c r="E819" s="215"/>
      <c r="F819" s="215"/>
      <c r="G819" s="215"/>
      <c r="H819" s="215"/>
      <c r="I819" s="215"/>
      <c r="J819" s="215"/>
      <c r="K819" s="215"/>
      <c r="L819" s="215"/>
      <c r="M819" s="215"/>
      <c r="N819" s="215"/>
      <c r="O819" s="215"/>
      <c r="P819" s="215"/>
      <c r="Q819" s="215"/>
      <c r="R819" s="215"/>
      <c r="S819" s="215"/>
      <c r="T819" s="215"/>
      <c r="U819" s="215"/>
      <c r="V819" s="215"/>
      <c r="W819" s="215"/>
      <c r="X819" s="215"/>
      <c r="Y819" s="215"/>
      <c r="Z819" s="215"/>
      <c r="AA819" s="215"/>
      <c r="AB819" s="215"/>
      <c r="AC819" s="215"/>
      <c r="AD819" s="215"/>
      <c r="AE819" s="215"/>
      <c r="AF819" s="215"/>
      <c r="AG819" s="216"/>
      <c r="AJ819" s="214"/>
      <c r="AO819" s="214"/>
      <c r="AQ819" s="214"/>
      <c r="AU819" s="217"/>
      <c r="AV819" s="217"/>
      <c r="AW819" s="217"/>
    </row>
    <row r="820">
      <c r="C820" s="214"/>
      <c r="E820" s="215"/>
      <c r="F820" s="215"/>
      <c r="G820" s="215"/>
      <c r="H820" s="215"/>
      <c r="I820" s="215"/>
      <c r="J820" s="215"/>
      <c r="K820" s="215"/>
      <c r="L820" s="215"/>
      <c r="M820" s="215"/>
      <c r="N820" s="215"/>
      <c r="O820" s="215"/>
      <c r="P820" s="215"/>
      <c r="Q820" s="215"/>
      <c r="R820" s="215"/>
      <c r="S820" s="215"/>
      <c r="T820" s="215"/>
      <c r="U820" s="215"/>
      <c r="V820" s="215"/>
      <c r="W820" s="215"/>
      <c r="X820" s="215"/>
      <c r="Y820" s="215"/>
      <c r="Z820" s="215"/>
      <c r="AA820" s="215"/>
      <c r="AB820" s="215"/>
      <c r="AC820" s="215"/>
      <c r="AD820" s="215"/>
      <c r="AE820" s="215"/>
      <c r="AF820" s="215"/>
      <c r="AG820" s="216"/>
      <c r="AJ820" s="214"/>
      <c r="AO820" s="214"/>
      <c r="AQ820" s="214"/>
      <c r="AU820" s="217"/>
      <c r="AV820" s="217"/>
      <c r="AW820" s="217"/>
    </row>
    <row r="821">
      <c r="C821" s="214"/>
      <c r="E821" s="215"/>
      <c r="F821" s="215"/>
      <c r="G821" s="215"/>
      <c r="H821" s="215"/>
      <c r="I821" s="215"/>
      <c r="J821" s="215"/>
      <c r="K821" s="215"/>
      <c r="L821" s="215"/>
      <c r="M821" s="215"/>
      <c r="N821" s="215"/>
      <c r="O821" s="215"/>
      <c r="P821" s="215"/>
      <c r="Q821" s="215"/>
      <c r="R821" s="215"/>
      <c r="S821" s="215"/>
      <c r="T821" s="215"/>
      <c r="U821" s="215"/>
      <c r="V821" s="215"/>
      <c r="W821" s="215"/>
      <c r="X821" s="215"/>
      <c r="Y821" s="215"/>
      <c r="Z821" s="215"/>
      <c r="AA821" s="215"/>
      <c r="AB821" s="215"/>
      <c r="AC821" s="215"/>
      <c r="AD821" s="215"/>
      <c r="AE821" s="215"/>
      <c r="AF821" s="215"/>
      <c r="AG821" s="216"/>
      <c r="AJ821" s="214"/>
      <c r="AO821" s="214"/>
      <c r="AQ821" s="214"/>
      <c r="AU821" s="217"/>
      <c r="AV821" s="217"/>
      <c r="AW821" s="217"/>
    </row>
    <row r="822">
      <c r="C822" s="214"/>
      <c r="E822" s="215"/>
      <c r="F822" s="215"/>
      <c r="G822" s="215"/>
      <c r="H822" s="215"/>
      <c r="I822" s="215"/>
      <c r="J822" s="215"/>
      <c r="K822" s="215"/>
      <c r="L822" s="215"/>
      <c r="M822" s="215"/>
      <c r="N822" s="215"/>
      <c r="O822" s="215"/>
      <c r="P822" s="215"/>
      <c r="Q822" s="215"/>
      <c r="R822" s="215"/>
      <c r="S822" s="215"/>
      <c r="T822" s="215"/>
      <c r="U822" s="215"/>
      <c r="V822" s="215"/>
      <c r="W822" s="215"/>
      <c r="X822" s="215"/>
      <c r="Y822" s="215"/>
      <c r="Z822" s="215"/>
      <c r="AA822" s="215"/>
      <c r="AB822" s="215"/>
      <c r="AC822" s="215"/>
      <c r="AD822" s="215"/>
      <c r="AE822" s="215"/>
      <c r="AF822" s="215"/>
      <c r="AG822" s="216"/>
      <c r="AJ822" s="214"/>
      <c r="AO822" s="214"/>
      <c r="AQ822" s="214"/>
      <c r="AU822" s="217"/>
      <c r="AV822" s="217"/>
      <c r="AW822" s="217"/>
    </row>
    <row r="823">
      <c r="C823" s="214"/>
      <c r="E823" s="215"/>
      <c r="F823" s="215"/>
      <c r="G823" s="215"/>
      <c r="H823" s="215"/>
      <c r="I823" s="215"/>
      <c r="J823" s="215"/>
      <c r="K823" s="215"/>
      <c r="L823" s="215"/>
      <c r="M823" s="215"/>
      <c r="N823" s="215"/>
      <c r="O823" s="215"/>
      <c r="P823" s="215"/>
      <c r="Q823" s="215"/>
      <c r="R823" s="215"/>
      <c r="S823" s="215"/>
      <c r="T823" s="215"/>
      <c r="U823" s="215"/>
      <c r="V823" s="215"/>
      <c r="W823" s="215"/>
      <c r="X823" s="215"/>
      <c r="Y823" s="215"/>
      <c r="Z823" s="215"/>
      <c r="AA823" s="215"/>
      <c r="AB823" s="215"/>
      <c r="AC823" s="215"/>
      <c r="AD823" s="215"/>
      <c r="AE823" s="215"/>
      <c r="AF823" s="215"/>
      <c r="AG823" s="216"/>
      <c r="AJ823" s="214"/>
      <c r="AO823" s="214"/>
      <c r="AQ823" s="214"/>
      <c r="AU823" s="217"/>
      <c r="AV823" s="217"/>
      <c r="AW823" s="217"/>
    </row>
    <row r="824">
      <c r="C824" s="214"/>
      <c r="E824" s="215"/>
      <c r="F824" s="215"/>
      <c r="G824" s="215"/>
      <c r="H824" s="215"/>
      <c r="I824" s="215"/>
      <c r="J824" s="215"/>
      <c r="K824" s="215"/>
      <c r="L824" s="215"/>
      <c r="M824" s="215"/>
      <c r="N824" s="215"/>
      <c r="O824" s="215"/>
      <c r="P824" s="215"/>
      <c r="Q824" s="215"/>
      <c r="R824" s="215"/>
      <c r="S824" s="215"/>
      <c r="T824" s="215"/>
      <c r="U824" s="215"/>
      <c r="V824" s="215"/>
      <c r="W824" s="215"/>
      <c r="X824" s="215"/>
      <c r="Y824" s="215"/>
      <c r="Z824" s="215"/>
      <c r="AA824" s="215"/>
      <c r="AB824" s="215"/>
      <c r="AC824" s="215"/>
      <c r="AD824" s="215"/>
      <c r="AE824" s="215"/>
      <c r="AF824" s="215"/>
      <c r="AG824" s="216"/>
      <c r="AJ824" s="214"/>
      <c r="AO824" s="214"/>
      <c r="AQ824" s="214"/>
      <c r="AU824" s="217"/>
      <c r="AV824" s="217"/>
      <c r="AW824" s="217"/>
    </row>
    <row r="825">
      <c r="C825" s="214"/>
      <c r="E825" s="215"/>
      <c r="F825" s="215"/>
      <c r="G825" s="215"/>
      <c r="H825" s="215"/>
      <c r="I825" s="215"/>
      <c r="J825" s="215"/>
      <c r="K825" s="215"/>
      <c r="L825" s="215"/>
      <c r="M825" s="215"/>
      <c r="N825" s="215"/>
      <c r="O825" s="215"/>
      <c r="P825" s="215"/>
      <c r="Q825" s="215"/>
      <c r="R825" s="215"/>
      <c r="S825" s="215"/>
      <c r="T825" s="215"/>
      <c r="U825" s="215"/>
      <c r="V825" s="215"/>
      <c r="W825" s="215"/>
      <c r="X825" s="215"/>
      <c r="Y825" s="215"/>
      <c r="Z825" s="215"/>
      <c r="AA825" s="215"/>
      <c r="AB825" s="215"/>
      <c r="AC825" s="215"/>
      <c r="AD825" s="215"/>
      <c r="AE825" s="215"/>
      <c r="AF825" s="215"/>
      <c r="AG825" s="216"/>
      <c r="AJ825" s="214"/>
      <c r="AO825" s="214"/>
      <c r="AQ825" s="214"/>
      <c r="AU825" s="217"/>
      <c r="AV825" s="217"/>
      <c r="AW825" s="217"/>
    </row>
    <row r="826">
      <c r="C826" s="214"/>
      <c r="E826" s="215"/>
      <c r="F826" s="215"/>
      <c r="G826" s="215"/>
      <c r="H826" s="215"/>
      <c r="I826" s="215"/>
      <c r="J826" s="215"/>
      <c r="K826" s="215"/>
      <c r="L826" s="215"/>
      <c r="M826" s="215"/>
      <c r="N826" s="215"/>
      <c r="O826" s="215"/>
      <c r="P826" s="215"/>
      <c r="Q826" s="215"/>
      <c r="R826" s="215"/>
      <c r="S826" s="215"/>
      <c r="T826" s="215"/>
      <c r="U826" s="215"/>
      <c r="V826" s="215"/>
      <c r="W826" s="215"/>
      <c r="X826" s="215"/>
      <c r="Y826" s="215"/>
      <c r="Z826" s="215"/>
      <c r="AA826" s="215"/>
      <c r="AB826" s="215"/>
      <c r="AC826" s="215"/>
      <c r="AD826" s="215"/>
      <c r="AE826" s="215"/>
      <c r="AF826" s="215"/>
      <c r="AG826" s="216"/>
      <c r="AJ826" s="214"/>
      <c r="AO826" s="214"/>
      <c r="AQ826" s="214"/>
      <c r="AU826" s="217"/>
      <c r="AV826" s="217"/>
      <c r="AW826" s="217"/>
    </row>
    <row r="827">
      <c r="C827" s="214"/>
      <c r="E827" s="215"/>
      <c r="F827" s="215"/>
      <c r="G827" s="215"/>
      <c r="H827" s="215"/>
      <c r="I827" s="215"/>
      <c r="J827" s="215"/>
      <c r="K827" s="215"/>
      <c r="L827" s="215"/>
      <c r="M827" s="215"/>
      <c r="N827" s="215"/>
      <c r="O827" s="215"/>
      <c r="P827" s="215"/>
      <c r="Q827" s="215"/>
      <c r="R827" s="215"/>
      <c r="S827" s="215"/>
      <c r="T827" s="215"/>
      <c r="U827" s="215"/>
      <c r="V827" s="215"/>
      <c r="W827" s="215"/>
      <c r="X827" s="215"/>
      <c r="Y827" s="215"/>
      <c r="Z827" s="215"/>
      <c r="AA827" s="215"/>
      <c r="AB827" s="215"/>
      <c r="AC827" s="215"/>
      <c r="AD827" s="215"/>
      <c r="AE827" s="215"/>
      <c r="AF827" s="215"/>
      <c r="AG827" s="216"/>
      <c r="AJ827" s="214"/>
      <c r="AO827" s="214"/>
      <c r="AQ827" s="214"/>
      <c r="AU827" s="217"/>
      <c r="AV827" s="217"/>
      <c r="AW827" s="217"/>
    </row>
    <row r="828">
      <c r="C828" s="214"/>
      <c r="E828" s="215"/>
      <c r="F828" s="215"/>
      <c r="G828" s="215"/>
      <c r="H828" s="215"/>
      <c r="I828" s="215"/>
      <c r="J828" s="215"/>
      <c r="K828" s="215"/>
      <c r="L828" s="215"/>
      <c r="M828" s="215"/>
      <c r="N828" s="215"/>
      <c r="O828" s="215"/>
      <c r="P828" s="215"/>
      <c r="Q828" s="215"/>
      <c r="R828" s="215"/>
      <c r="S828" s="215"/>
      <c r="T828" s="215"/>
      <c r="U828" s="215"/>
      <c r="V828" s="215"/>
      <c r="W828" s="215"/>
      <c r="X828" s="215"/>
      <c r="Y828" s="215"/>
      <c r="Z828" s="215"/>
      <c r="AA828" s="215"/>
      <c r="AB828" s="215"/>
      <c r="AC828" s="215"/>
      <c r="AD828" s="215"/>
      <c r="AE828" s="215"/>
      <c r="AF828" s="215"/>
      <c r="AG828" s="216"/>
      <c r="AJ828" s="214"/>
      <c r="AO828" s="214"/>
      <c r="AQ828" s="214"/>
      <c r="AU828" s="217"/>
      <c r="AV828" s="217"/>
      <c r="AW828" s="217"/>
    </row>
    <row r="829">
      <c r="C829" s="214"/>
      <c r="E829" s="215"/>
      <c r="F829" s="215"/>
      <c r="G829" s="215"/>
      <c r="H829" s="215"/>
      <c r="I829" s="215"/>
      <c r="J829" s="215"/>
      <c r="K829" s="215"/>
      <c r="L829" s="215"/>
      <c r="M829" s="215"/>
      <c r="N829" s="215"/>
      <c r="O829" s="215"/>
      <c r="P829" s="215"/>
      <c r="Q829" s="215"/>
      <c r="R829" s="215"/>
      <c r="S829" s="215"/>
      <c r="T829" s="215"/>
      <c r="U829" s="215"/>
      <c r="V829" s="215"/>
      <c r="W829" s="215"/>
      <c r="X829" s="215"/>
      <c r="Y829" s="215"/>
      <c r="Z829" s="215"/>
      <c r="AA829" s="215"/>
      <c r="AB829" s="215"/>
      <c r="AC829" s="215"/>
      <c r="AD829" s="215"/>
      <c r="AE829" s="215"/>
      <c r="AF829" s="215"/>
      <c r="AG829" s="216"/>
      <c r="AJ829" s="214"/>
      <c r="AO829" s="214"/>
      <c r="AQ829" s="214"/>
      <c r="AU829" s="217"/>
      <c r="AV829" s="217"/>
      <c r="AW829" s="217"/>
    </row>
    <row r="830">
      <c r="C830" s="214"/>
      <c r="E830" s="215"/>
      <c r="F830" s="215"/>
      <c r="G830" s="215"/>
      <c r="H830" s="215"/>
      <c r="I830" s="215"/>
      <c r="J830" s="215"/>
      <c r="K830" s="215"/>
      <c r="L830" s="215"/>
      <c r="M830" s="215"/>
      <c r="N830" s="215"/>
      <c r="O830" s="215"/>
      <c r="P830" s="215"/>
      <c r="Q830" s="215"/>
      <c r="R830" s="215"/>
      <c r="S830" s="215"/>
      <c r="T830" s="215"/>
      <c r="U830" s="215"/>
      <c r="V830" s="215"/>
      <c r="W830" s="215"/>
      <c r="X830" s="215"/>
      <c r="Y830" s="215"/>
      <c r="Z830" s="215"/>
      <c r="AA830" s="215"/>
      <c r="AB830" s="215"/>
      <c r="AC830" s="215"/>
      <c r="AD830" s="215"/>
      <c r="AE830" s="215"/>
      <c r="AF830" s="215"/>
      <c r="AG830" s="216"/>
      <c r="AJ830" s="214"/>
      <c r="AO830" s="214"/>
      <c r="AQ830" s="214"/>
      <c r="AU830" s="217"/>
      <c r="AV830" s="217"/>
      <c r="AW830" s="217"/>
    </row>
    <row r="831">
      <c r="C831" s="214"/>
      <c r="E831" s="215"/>
      <c r="F831" s="215"/>
      <c r="G831" s="215"/>
      <c r="H831" s="215"/>
      <c r="I831" s="215"/>
      <c r="J831" s="215"/>
      <c r="K831" s="215"/>
      <c r="L831" s="215"/>
      <c r="M831" s="215"/>
      <c r="N831" s="215"/>
      <c r="O831" s="215"/>
      <c r="P831" s="215"/>
      <c r="Q831" s="215"/>
      <c r="R831" s="215"/>
      <c r="S831" s="215"/>
      <c r="T831" s="215"/>
      <c r="U831" s="215"/>
      <c r="V831" s="215"/>
      <c r="W831" s="215"/>
      <c r="X831" s="215"/>
      <c r="Y831" s="215"/>
      <c r="Z831" s="215"/>
      <c r="AA831" s="215"/>
      <c r="AB831" s="215"/>
      <c r="AC831" s="215"/>
      <c r="AD831" s="215"/>
      <c r="AE831" s="215"/>
      <c r="AF831" s="215"/>
      <c r="AG831" s="216"/>
      <c r="AJ831" s="214"/>
      <c r="AO831" s="214"/>
      <c r="AQ831" s="214"/>
      <c r="AU831" s="217"/>
      <c r="AV831" s="217"/>
      <c r="AW831" s="217"/>
    </row>
    <row r="832">
      <c r="C832" s="214"/>
      <c r="E832" s="215"/>
      <c r="F832" s="215"/>
      <c r="G832" s="215"/>
      <c r="H832" s="215"/>
      <c r="I832" s="215"/>
      <c r="J832" s="215"/>
      <c r="K832" s="215"/>
      <c r="L832" s="215"/>
      <c r="M832" s="215"/>
      <c r="N832" s="215"/>
      <c r="O832" s="215"/>
      <c r="P832" s="215"/>
      <c r="Q832" s="215"/>
      <c r="R832" s="215"/>
      <c r="S832" s="215"/>
      <c r="T832" s="215"/>
      <c r="U832" s="215"/>
      <c r="V832" s="215"/>
      <c r="W832" s="215"/>
      <c r="X832" s="215"/>
      <c r="Y832" s="215"/>
      <c r="Z832" s="215"/>
      <c r="AA832" s="215"/>
      <c r="AB832" s="215"/>
      <c r="AC832" s="215"/>
      <c r="AD832" s="215"/>
      <c r="AE832" s="215"/>
      <c r="AF832" s="215"/>
      <c r="AG832" s="216"/>
      <c r="AJ832" s="214"/>
      <c r="AO832" s="214"/>
      <c r="AQ832" s="214"/>
      <c r="AU832" s="217"/>
      <c r="AV832" s="217"/>
      <c r="AW832" s="217"/>
    </row>
    <row r="833">
      <c r="C833" s="214"/>
      <c r="E833" s="215"/>
      <c r="F833" s="215"/>
      <c r="G833" s="215"/>
      <c r="H833" s="215"/>
      <c r="I833" s="215"/>
      <c r="J833" s="215"/>
      <c r="K833" s="215"/>
      <c r="L833" s="215"/>
      <c r="M833" s="215"/>
      <c r="N833" s="215"/>
      <c r="O833" s="215"/>
      <c r="P833" s="215"/>
      <c r="Q833" s="215"/>
      <c r="R833" s="215"/>
      <c r="S833" s="215"/>
      <c r="T833" s="215"/>
      <c r="U833" s="215"/>
      <c r="V833" s="215"/>
      <c r="W833" s="215"/>
      <c r="X833" s="215"/>
      <c r="Y833" s="215"/>
      <c r="Z833" s="215"/>
      <c r="AA833" s="215"/>
      <c r="AB833" s="215"/>
      <c r="AC833" s="215"/>
      <c r="AD833" s="215"/>
      <c r="AE833" s="215"/>
      <c r="AF833" s="215"/>
      <c r="AG833" s="216"/>
      <c r="AJ833" s="214"/>
      <c r="AO833" s="214"/>
      <c r="AQ833" s="214"/>
      <c r="AU833" s="217"/>
      <c r="AV833" s="217"/>
      <c r="AW833" s="217"/>
    </row>
    <row r="834">
      <c r="C834" s="214"/>
      <c r="E834" s="215"/>
      <c r="F834" s="215"/>
      <c r="G834" s="215"/>
      <c r="H834" s="215"/>
      <c r="I834" s="215"/>
      <c r="J834" s="215"/>
      <c r="K834" s="215"/>
      <c r="L834" s="215"/>
      <c r="M834" s="215"/>
      <c r="N834" s="215"/>
      <c r="O834" s="215"/>
      <c r="P834" s="215"/>
      <c r="Q834" s="215"/>
      <c r="R834" s="215"/>
      <c r="S834" s="215"/>
      <c r="T834" s="215"/>
      <c r="U834" s="215"/>
      <c r="V834" s="215"/>
      <c r="W834" s="215"/>
      <c r="X834" s="215"/>
      <c r="Y834" s="215"/>
      <c r="Z834" s="215"/>
      <c r="AA834" s="215"/>
      <c r="AB834" s="215"/>
      <c r="AC834" s="215"/>
      <c r="AD834" s="215"/>
      <c r="AE834" s="215"/>
      <c r="AF834" s="215"/>
      <c r="AG834" s="216"/>
      <c r="AJ834" s="214"/>
      <c r="AO834" s="214"/>
      <c r="AQ834" s="214"/>
      <c r="AU834" s="217"/>
      <c r="AV834" s="217"/>
      <c r="AW834" s="217"/>
    </row>
    <row r="835">
      <c r="C835" s="214"/>
      <c r="E835" s="215"/>
      <c r="F835" s="215"/>
      <c r="G835" s="215"/>
      <c r="H835" s="215"/>
      <c r="I835" s="215"/>
      <c r="J835" s="215"/>
      <c r="K835" s="215"/>
      <c r="L835" s="215"/>
      <c r="M835" s="215"/>
      <c r="N835" s="215"/>
      <c r="O835" s="215"/>
      <c r="P835" s="215"/>
      <c r="Q835" s="215"/>
      <c r="R835" s="215"/>
      <c r="S835" s="215"/>
      <c r="T835" s="215"/>
      <c r="U835" s="215"/>
      <c r="V835" s="215"/>
      <c r="W835" s="215"/>
      <c r="X835" s="215"/>
      <c r="Y835" s="215"/>
      <c r="Z835" s="215"/>
      <c r="AA835" s="215"/>
      <c r="AB835" s="215"/>
      <c r="AC835" s="215"/>
      <c r="AD835" s="215"/>
      <c r="AE835" s="215"/>
      <c r="AF835" s="215"/>
      <c r="AG835" s="216"/>
      <c r="AJ835" s="214"/>
      <c r="AO835" s="214"/>
      <c r="AQ835" s="214"/>
      <c r="AU835" s="217"/>
      <c r="AV835" s="217"/>
      <c r="AW835" s="217"/>
    </row>
    <row r="836">
      <c r="C836" s="214"/>
      <c r="E836" s="215"/>
      <c r="F836" s="215"/>
      <c r="G836" s="215"/>
      <c r="H836" s="215"/>
      <c r="I836" s="215"/>
      <c r="J836" s="215"/>
      <c r="K836" s="215"/>
      <c r="L836" s="215"/>
      <c r="M836" s="215"/>
      <c r="N836" s="215"/>
      <c r="O836" s="215"/>
      <c r="P836" s="215"/>
      <c r="Q836" s="215"/>
      <c r="R836" s="215"/>
      <c r="S836" s="215"/>
      <c r="T836" s="215"/>
      <c r="U836" s="215"/>
      <c r="V836" s="215"/>
      <c r="W836" s="215"/>
      <c r="X836" s="215"/>
      <c r="Y836" s="215"/>
      <c r="Z836" s="215"/>
      <c r="AA836" s="215"/>
      <c r="AB836" s="215"/>
      <c r="AC836" s="215"/>
      <c r="AD836" s="215"/>
      <c r="AE836" s="215"/>
      <c r="AF836" s="215"/>
      <c r="AG836" s="216"/>
      <c r="AJ836" s="214"/>
      <c r="AO836" s="214"/>
      <c r="AQ836" s="214"/>
      <c r="AU836" s="217"/>
      <c r="AV836" s="217"/>
      <c r="AW836" s="217"/>
    </row>
    <row r="837">
      <c r="C837" s="214"/>
      <c r="E837" s="215"/>
      <c r="F837" s="215"/>
      <c r="G837" s="215"/>
      <c r="H837" s="215"/>
      <c r="I837" s="215"/>
      <c r="J837" s="215"/>
      <c r="K837" s="215"/>
      <c r="L837" s="215"/>
      <c r="M837" s="215"/>
      <c r="N837" s="215"/>
      <c r="O837" s="215"/>
      <c r="P837" s="215"/>
      <c r="Q837" s="215"/>
      <c r="R837" s="215"/>
      <c r="S837" s="215"/>
      <c r="T837" s="215"/>
      <c r="U837" s="215"/>
      <c r="V837" s="215"/>
      <c r="W837" s="215"/>
      <c r="X837" s="215"/>
      <c r="Y837" s="215"/>
      <c r="Z837" s="215"/>
      <c r="AA837" s="215"/>
      <c r="AB837" s="215"/>
      <c r="AC837" s="215"/>
      <c r="AD837" s="215"/>
      <c r="AE837" s="215"/>
      <c r="AF837" s="215"/>
      <c r="AG837" s="216"/>
      <c r="AJ837" s="214"/>
      <c r="AO837" s="214"/>
      <c r="AQ837" s="214"/>
      <c r="AU837" s="217"/>
      <c r="AV837" s="217"/>
      <c r="AW837" s="217"/>
    </row>
    <row r="838">
      <c r="C838" s="214"/>
      <c r="E838" s="215"/>
      <c r="F838" s="215"/>
      <c r="G838" s="215"/>
      <c r="H838" s="215"/>
      <c r="I838" s="215"/>
      <c r="J838" s="215"/>
      <c r="K838" s="215"/>
      <c r="L838" s="215"/>
      <c r="M838" s="215"/>
      <c r="N838" s="215"/>
      <c r="O838" s="215"/>
      <c r="P838" s="215"/>
      <c r="Q838" s="215"/>
      <c r="R838" s="215"/>
      <c r="S838" s="215"/>
      <c r="T838" s="215"/>
      <c r="U838" s="215"/>
      <c r="V838" s="215"/>
      <c r="W838" s="215"/>
      <c r="X838" s="215"/>
      <c r="Y838" s="215"/>
      <c r="Z838" s="215"/>
      <c r="AA838" s="215"/>
      <c r="AB838" s="215"/>
      <c r="AC838" s="215"/>
      <c r="AD838" s="215"/>
      <c r="AE838" s="215"/>
      <c r="AF838" s="215"/>
      <c r="AG838" s="216"/>
      <c r="AJ838" s="214"/>
      <c r="AO838" s="214"/>
      <c r="AQ838" s="214"/>
      <c r="AU838" s="217"/>
      <c r="AV838" s="217"/>
      <c r="AW838" s="217"/>
    </row>
    <row r="839">
      <c r="C839" s="214"/>
      <c r="E839" s="215"/>
      <c r="F839" s="215"/>
      <c r="G839" s="215"/>
      <c r="H839" s="215"/>
      <c r="I839" s="215"/>
      <c r="J839" s="215"/>
      <c r="K839" s="215"/>
      <c r="L839" s="215"/>
      <c r="M839" s="215"/>
      <c r="N839" s="215"/>
      <c r="O839" s="215"/>
      <c r="P839" s="215"/>
      <c r="Q839" s="215"/>
      <c r="R839" s="215"/>
      <c r="S839" s="215"/>
      <c r="T839" s="215"/>
      <c r="U839" s="215"/>
      <c r="V839" s="215"/>
      <c r="W839" s="215"/>
      <c r="X839" s="215"/>
      <c r="Y839" s="215"/>
      <c r="Z839" s="215"/>
      <c r="AA839" s="215"/>
      <c r="AB839" s="215"/>
      <c r="AC839" s="215"/>
      <c r="AD839" s="215"/>
      <c r="AE839" s="215"/>
      <c r="AF839" s="215"/>
      <c r="AG839" s="216"/>
      <c r="AJ839" s="214"/>
      <c r="AO839" s="214"/>
      <c r="AQ839" s="214"/>
      <c r="AU839" s="217"/>
      <c r="AV839" s="217"/>
      <c r="AW839" s="217"/>
    </row>
    <row r="840">
      <c r="C840" s="214"/>
      <c r="E840" s="215"/>
      <c r="F840" s="215"/>
      <c r="G840" s="215"/>
      <c r="H840" s="215"/>
      <c r="I840" s="215"/>
      <c r="J840" s="215"/>
      <c r="K840" s="215"/>
      <c r="L840" s="215"/>
      <c r="M840" s="215"/>
      <c r="N840" s="215"/>
      <c r="O840" s="215"/>
      <c r="P840" s="215"/>
      <c r="Q840" s="215"/>
      <c r="R840" s="215"/>
      <c r="S840" s="215"/>
      <c r="T840" s="215"/>
      <c r="U840" s="215"/>
      <c r="V840" s="215"/>
      <c r="W840" s="215"/>
      <c r="X840" s="215"/>
      <c r="Y840" s="215"/>
      <c r="Z840" s="215"/>
      <c r="AA840" s="215"/>
      <c r="AB840" s="215"/>
      <c r="AC840" s="215"/>
      <c r="AD840" s="215"/>
      <c r="AE840" s="215"/>
      <c r="AF840" s="215"/>
      <c r="AG840" s="216"/>
      <c r="AJ840" s="214"/>
      <c r="AO840" s="214"/>
      <c r="AQ840" s="214"/>
      <c r="AU840" s="217"/>
      <c r="AV840" s="217"/>
      <c r="AW840" s="217"/>
    </row>
    <row r="841">
      <c r="C841" s="214"/>
      <c r="E841" s="215"/>
      <c r="F841" s="215"/>
      <c r="G841" s="215"/>
      <c r="H841" s="215"/>
      <c r="I841" s="215"/>
      <c r="J841" s="215"/>
      <c r="K841" s="215"/>
      <c r="L841" s="215"/>
      <c r="M841" s="215"/>
      <c r="N841" s="215"/>
      <c r="O841" s="215"/>
      <c r="P841" s="215"/>
      <c r="Q841" s="215"/>
      <c r="R841" s="215"/>
      <c r="S841" s="215"/>
      <c r="T841" s="215"/>
      <c r="U841" s="215"/>
      <c r="V841" s="215"/>
      <c r="W841" s="215"/>
      <c r="X841" s="215"/>
      <c r="Y841" s="215"/>
      <c r="Z841" s="215"/>
      <c r="AA841" s="215"/>
      <c r="AB841" s="215"/>
      <c r="AC841" s="215"/>
      <c r="AD841" s="215"/>
      <c r="AE841" s="215"/>
      <c r="AF841" s="215"/>
      <c r="AG841" s="216"/>
      <c r="AJ841" s="214"/>
      <c r="AO841" s="214"/>
      <c r="AQ841" s="214"/>
      <c r="AU841" s="217"/>
      <c r="AV841" s="217"/>
      <c r="AW841" s="217"/>
    </row>
    <row r="842">
      <c r="C842" s="214"/>
      <c r="E842" s="215"/>
      <c r="F842" s="215"/>
      <c r="G842" s="215"/>
      <c r="H842" s="215"/>
      <c r="I842" s="215"/>
      <c r="J842" s="215"/>
      <c r="K842" s="215"/>
      <c r="L842" s="215"/>
      <c r="M842" s="215"/>
      <c r="N842" s="215"/>
      <c r="O842" s="215"/>
      <c r="P842" s="215"/>
      <c r="Q842" s="215"/>
      <c r="R842" s="215"/>
      <c r="S842" s="215"/>
      <c r="T842" s="215"/>
      <c r="U842" s="215"/>
      <c r="V842" s="215"/>
      <c r="W842" s="215"/>
      <c r="X842" s="215"/>
      <c r="Y842" s="215"/>
      <c r="Z842" s="215"/>
      <c r="AA842" s="215"/>
      <c r="AB842" s="215"/>
      <c r="AC842" s="215"/>
      <c r="AD842" s="215"/>
      <c r="AE842" s="215"/>
      <c r="AF842" s="215"/>
      <c r="AG842" s="216"/>
      <c r="AJ842" s="214"/>
      <c r="AO842" s="214"/>
      <c r="AQ842" s="214"/>
      <c r="AU842" s="217"/>
      <c r="AV842" s="217"/>
      <c r="AW842" s="217"/>
    </row>
    <row r="843">
      <c r="C843" s="214"/>
      <c r="E843" s="215"/>
      <c r="F843" s="215"/>
      <c r="G843" s="215"/>
      <c r="H843" s="215"/>
      <c r="I843" s="215"/>
      <c r="J843" s="215"/>
      <c r="K843" s="215"/>
      <c r="L843" s="215"/>
      <c r="M843" s="215"/>
      <c r="N843" s="215"/>
      <c r="O843" s="215"/>
      <c r="P843" s="215"/>
      <c r="Q843" s="215"/>
      <c r="R843" s="215"/>
      <c r="S843" s="215"/>
      <c r="T843" s="215"/>
      <c r="U843" s="215"/>
      <c r="V843" s="215"/>
      <c r="W843" s="215"/>
      <c r="X843" s="215"/>
      <c r="Y843" s="215"/>
      <c r="Z843" s="215"/>
      <c r="AA843" s="215"/>
      <c r="AB843" s="215"/>
      <c r="AC843" s="215"/>
      <c r="AD843" s="215"/>
      <c r="AE843" s="215"/>
      <c r="AF843" s="215"/>
      <c r="AG843" s="216"/>
      <c r="AJ843" s="214"/>
      <c r="AO843" s="214"/>
      <c r="AQ843" s="214"/>
      <c r="AU843" s="217"/>
      <c r="AV843" s="217"/>
      <c r="AW843" s="217"/>
    </row>
    <row r="844">
      <c r="C844" s="214"/>
      <c r="E844" s="215"/>
      <c r="F844" s="215"/>
      <c r="G844" s="215"/>
      <c r="H844" s="215"/>
      <c r="I844" s="215"/>
      <c r="J844" s="215"/>
      <c r="K844" s="215"/>
      <c r="L844" s="215"/>
      <c r="M844" s="215"/>
      <c r="N844" s="215"/>
      <c r="O844" s="215"/>
      <c r="P844" s="215"/>
      <c r="Q844" s="215"/>
      <c r="R844" s="215"/>
      <c r="S844" s="215"/>
      <c r="T844" s="215"/>
      <c r="U844" s="215"/>
      <c r="V844" s="215"/>
      <c r="W844" s="215"/>
      <c r="X844" s="215"/>
      <c r="Y844" s="215"/>
      <c r="Z844" s="215"/>
      <c r="AA844" s="215"/>
      <c r="AB844" s="215"/>
      <c r="AC844" s="215"/>
      <c r="AD844" s="215"/>
      <c r="AE844" s="215"/>
      <c r="AF844" s="215"/>
      <c r="AG844" s="216"/>
      <c r="AJ844" s="214"/>
      <c r="AO844" s="214"/>
      <c r="AQ844" s="214"/>
      <c r="AU844" s="217"/>
      <c r="AV844" s="217"/>
      <c r="AW844" s="217"/>
    </row>
    <row r="845">
      <c r="C845" s="214"/>
      <c r="E845" s="215"/>
      <c r="F845" s="215"/>
      <c r="G845" s="215"/>
      <c r="H845" s="215"/>
      <c r="I845" s="215"/>
      <c r="J845" s="215"/>
      <c r="K845" s="215"/>
      <c r="L845" s="215"/>
      <c r="M845" s="215"/>
      <c r="N845" s="215"/>
      <c r="O845" s="215"/>
      <c r="P845" s="215"/>
      <c r="Q845" s="215"/>
      <c r="R845" s="215"/>
      <c r="S845" s="215"/>
      <c r="T845" s="215"/>
      <c r="U845" s="215"/>
      <c r="V845" s="215"/>
      <c r="W845" s="215"/>
      <c r="X845" s="215"/>
      <c r="Y845" s="215"/>
      <c r="Z845" s="215"/>
      <c r="AA845" s="215"/>
      <c r="AB845" s="215"/>
      <c r="AC845" s="215"/>
      <c r="AD845" s="215"/>
      <c r="AE845" s="215"/>
      <c r="AF845" s="215"/>
      <c r="AG845" s="216"/>
      <c r="AJ845" s="214"/>
      <c r="AO845" s="214"/>
      <c r="AQ845" s="214"/>
      <c r="AU845" s="217"/>
      <c r="AV845" s="217"/>
      <c r="AW845" s="217"/>
    </row>
    <row r="846">
      <c r="C846" s="214"/>
      <c r="E846" s="215"/>
      <c r="F846" s="215"/>
      <c r="G846" s="215"/>
      <c r="H846" s="215"/>
      <c r="I846" s="215"/>
      <c r="J846" s="215"/>
      <c r="K846" s="215"/>
      <c r="L846" s="215"/>
      <c r="M846" s="215"/>
      <c r="N846" s="215"/>
      <c r="O846" s="215"/>
      <c r="P846" s="215"/>
      <c r="Q846" s="215"/>
      <c r="R846" s="215"/>
      <c r="S846" s="215"/>
      <c r="T846" s="215"/>
      <c r="U846" s="215"/>
      <c r="V846" s="215"/>
      <c r="W846" s="215"/>
      <c r="X846" s="215"/>
      <c r="Y846" s="215"/>
      <c r="Z846" s="215"/>
      <c r="AA846" s="215"/>
      <c r="AB846" s="215"/>
      <c r="AC846" s="215"/>
      <c r="AD846" s="215"/>
      <c r="AE846" s="215"/>
      <c r="AF846" s="215"/>
      <c r="AG846" s="216"/>
      <c r="AJ846" s="214"/>
      <c r="AO846" s="214"/>
      <c r="AQ846" s="214"/>
      <c r="AU846" s="217"/>
      <c r="AV846" s="217"/>
      <c r="AW846" s="217"/>
    </row>
    <row r="847">
      <c r="C847" s="214"/>
      <c r="E847" s="215"/>
      <c r="F847" s="215"/>
      <c r="G847" s="215"/>
      <c r="H847" s="215"/>
      <c r="I847" s="215"/>
      <c r="J847" s="215"/>
      <c r="K847" s="215"/>
      <c r="L847" s="215"/>
      <c r="M847" s="215"/>
      <c r="N847" s="215"/>
      <c r="O847" s="215"/>
      <c r="P847" s="215"/>
      <c r="Q847" s="215"/>
      <c r="R847" s="215"/>
      <c r="S847" s="215"/>
      <c r="T847" s="215"/>
      <c r="U847" s="215"/>
      <c r="V847" s="215"/>
      <c r="W847" s="215"/>
      <c r="X847" s="215"/>
      <c r="Y847" s="215"/>
      <c r="Z847" s="215"/>
      <c r="AA847" s="215"/>
      <c r="AB847" s="215"/>
      <c r="AC847" s="215"/>
      <c r="AD847" s="215"/>
      <c r="AE847" s="215"/>
      <c r="AF847" s="215"/>
      <c r="AG847" s="216"/>
      <c r="AJ847" s="214"/>
      <c r="AO847" s="214"/>
      <c r="AQ847" s="214"/>
      <c r="AU847" s="217"/>
      <c r="AV847" s="217"/>
      <c r="AW847" s="217"/>
    </row>
    <row r="848">
      <c r="C848" s="214"/>
      <c r="E848" s="215"/>
      <c r="F848" s="215"/>
      <c r="G848" s="215"/>
      <c r="H848" s="215"/>
      <c r="I848" s="215"/>
      <c r="J848" s="215"/>
      <c r="K848" s="215"/>
      <c r="L848" s="215"/>
      <c r="M848" s="215"/>
      <c r="N848" s="215"/>
      <c r="O848" s="215"/>
      <c r="P848" s="215"/>
      <c r="Q848" s="215"/>
      <c r="R848" s="215"/>
      <c r="S848" s="215"/>
      <c r="T848" s="215"/>
      <c r="U848" s="215"/>
      <c r="V848" s="215"/>
      <c r="W848" s="215"/>
      <c r="X848" s="215"/>
      <c r="Y848" s="215"/>
      <c r="Z848" s="215"/>
      <c r="AA848" s="215"/>
      <c r="AB848" s="215"/>
      <c r="AC848" s="215"/>
      <c r="AD848" s="215"/>
      <c r="AE848" s="215"/>
      <c r="AF848" s="215"/>
      <c r="AG848" s="216"/>
      <c r="AJ848" s="214"/>
      <c r="AO848" s="214"/>
      <c r="AQ848" s="214"/>
      <c r="AU848" s="217"/>
      <c r="AV848" s="217"/>
      <c r="AW848" s="217"/>
    </row>
    <row r="849">
      <c r="C849" s="214"/>
      <c r="E849" s="215"/>
      <c r="F849" s="215"/>
      <c r="G849" s="215"/>
      <c r="H849" s="215"/>
      <c r="I849" s="215"/>
      <c r="J849" s="215"/>
      <c r="K849" s="215"/>
      <c r="L849" s="215"/>
      <c r="M849" s="215"/>
      <c r="N849" s="215"/>
      <c r="O849" s="215"/>
      <c r="P849" s="215"/>
      <c r="Q849" s="215"/>
      <c r="R849" s="215"/>
      <c r="S849" s="215"/>
      <c r="T849" s="215"/>
      <c r="U849" s="215"/>
      <c r="V849" s="215"/>
      <c r="W849" s="215"/>
      <c r="X849" s="215"/>
      <c r="Y849" s="215"/>
      <c r="Z849" s="215"/>
      <c r="AA849" s="215"/>
      <c r="AB849" s="215"/>
      <c r="AC849" s="215"/>
      <c r="AD849" s="215"/>
      <c r="AE849" s="215"/>
      <c r="AF849" s="215"/>
      <c r="AG849" s="216"/>
      <c r="AJ849" s="214"/>
      <c r="AO849" s="214"/>
      <c r="AQ849" s="214"/>
      <c r="AU849" s="217"/>
      <c r="AV849" s="217"/>
      <c r="AW849" s="217"/>
    </row>
    <row r="850">
      <c r="C850" s="214"/>
      <c r="E850" s="215"/>
      <c r="F850" s="215"/>
      <c r="G850" s="215"/>
      <c r="H850" s="215"/>
      <c r="I850" s="215"/>
      <c r="J850" s="215"/>
      <c r="K850" s="215"/>
      <c r="L850" s="215"/>
      <c r="M850" s="215"/>
      <c r="N850" s="215"/>
      <c r="O850" s="215"/>
      <c r="P850" s="215"/>
      <c r="Q850" s="215"/>
      <c r="R850" s="215"/>
      <c r="S850" s="215"/>
      <c r="T850" s="215"/>
      <c r="U850" s="215"/>
      <c r="V850" s="215"/>
      <c r="W850" s="215"/>
      <c r="X850" s="215"/>
      <c r="Y850" s="215"/>
      <c r="Z850" s="215"/>
      <c r="AA850" s="215"/>
      <c r="AB850" s="215"/>
      <c r="AC850" s="215"/>
      <c r="AD850" s="215"/>
      <c r="AE850" s="215"/>
      <c r="AF850" s="215"/>
      <c r="AG850" s="216"/>
      <c r="AJ850" s="214"/>
      <c r="AO850" s="214"/>
      <c r="AQ850" s="214"/>
      <c r="AU850" s="217"/>
      <c r="AV850" s="217"/>
      <c r="AW850" s="217"/>
    </row>
    <row r="851">
      <c r="C851" s="214"/>
      <c r="E851" s="215"/>
      <c r="F851" s="215"/>
      <c r="G851" s="215"/>
      <c r="H851" s="215"/>
      <c r="I851" s="215"/>
      <c r="J851" s="215"/>
      <c r="K851" s="215"/>
      <c r="L851" s="215"/>
      <c r="M851" s="215"/>
      <c r="N851" s="215"/>
      <c r="O851" s="215"/>
      <c r="P851" s="215"/>
      <c r="Q851" s="215"/>
      <c r="R851" s="215"/>
      <c r="S851" s="215"/>
      <c r="T851" s="215"/>
      <c r="U851" s="215"/>
      <c r="V851" s="215"/>
      <c r="W851" s="215"/>
      <c r="X851" s="215"/>
      <c r="Y851" s="215"/>
      <c r="Z851" s="215"/>
      <c r="AA851" s="215"/>
      <c r="AB851" s="215"/>
      <c r="AC851" s="215"/>
      <c r="AD851" s="215"/>
      <c r="AE851" s="215"/>
      <c r="AF851" s="215"/>
      <c r="AG851" s="216"/>
      <c r="AJ851" s="214"/>
      <c r="AO851" s="214"/>
      <c r="AQ851" s="214"/>
      <c r="AU851" s="217"/>
      <c r="AV851" s="217"/>
      <c r="AW851" s="217"/>
    </row>
    <row r="852">
      <c r="C852" s="214"/>
      <c r="E852" s="215"/>
      <c r="F852" s="215"/>
      <c r="G852" s="215"/>
      <c r="H852" s="215"/>
      <c r="I852" s="215"/>
      <c r="J852" s="215"/>
      <c r="K852" s="215"/>
      <c r="L852" s="215"/>
      <c r="M852" s="215"/>
      <c r="N852" s="215"/>
      <c r="O852" s="215"/>
      <c r="P852" s="215"/>
      <c r="Q852" s="215"/>
      <c r="R852" s="215"/>
      <c r="S852" s="215"/>
      <c r="T852" s="215"/>
      <c r="U852" s="215"/>
      <c r="V852" s="215"/>
      <c r="W852" s="215"/>
      <c r="X852" s="215"/>
      <c r="Y852" s="215"/>
      <c r="Z852" s="215"/>
      <c r="AA852" s="215"/>
      <c r="AB852" s="215"/>
      <c r="AC852" s="215"/>
      <c r="AD852" s="215"/>
      <c r="AE852" s="215"/>
      <c r="AF852" s="215"/>
      <c r="AG852" s="216"/>
      <c r="AJ852" s="214"/>
      <c r="AO852" s="214"/>
      <c r="AQ852" s="214"/>
      <c r="AU852" s="217"/>
      <c r="AV852" s="217"/>
      <c r="AW852" s="217"/>
    </row>
    <row r="853">
      <c r="C853" s="214"/>
      <c r="E853" s="215"/>
      <c r="F853" s="215"/>
      <c r="G853" s="215"/>
      <c r="H853" s="215"/>
      <c r="I853" s="215"/>
      <c r="J853" s="215"/>
      <c r="K853" s="215"/>
      <c r="L853" s="215"/>
      <c r="M853" s="215"/>
      <c r="N853" s="215"/>
      <c r="O853" s="215"/>
      <c r="P853" s="215"/>
      <c r="Q853" s="215"/>
      <c r="R853" s="215"/>
      <c r="S853" s="215"/>
      <c r="T853" s="215"/>
      <c r="U853" s="215"/>
      <c r="V853" s="215"/>
      <c r="W853" s="215"/>
      <c r="X853" s="215"/>
      <c r="Y853" s="215"/>
      <c r="Z853" s="215"/>
      <c r="AA853" s="215"/>
      <c r="AB853" s="215"/>
      <c r="AC853" s="215"/>
      <c r="AD853" s="215"/>
      <c r="AE853" s="215"/>
      <c r="AF853" s="215"/>
      <c r="AG853" s="216"/>
      <c r="AJ853" s="214"/>
      <c r="AO853" s="214"/>
      <c r="AQ853" s="214"/>
      <c r="AU853" s="217"/>
      <c r="AV853" s="217"/>
      <c r="AW853" s="217"/>
    </row>
    <row r="854">
      <c r="C854" s="214"/>
      <c r="E854" s="215"/>
      <c r="F854" s="215"/>
      <c r="G854" s="215"/>
      <c r="H854" s="215"/>
      <c r="I854" s="215"/>
      <c r="J854" s="215"/>
      <c r="K854" s="215"/>
      <c r="L854" s="215"/>
      <c r="M854" s="215"/>
      <c r="N854" s="215"/>
      <c r="O854" s="215"/>
      <c r="P854" s="215"/>
      <c r="Q854" s="215"/>
      <c r="R854" s="215"/>
      <c r="S854" s="215"/>
      <c r="T854" s="215"/>
      <c r="U854" s="215"/>
      <c r="V854" s="215"/>
      <c r="W854" s="215"/>
      <c r="X854" s="215"/>
      <c r="Y854" s="215"/>
      <c r="Z854" s="215"/>
      <c r="AA854" s="215"/>
      <c r="AB854" s="215"/>
      <c r="AC854" s="215"/>
      <c r="AD854" s="215"/>
      <c r="AE854" s="215"/>
      <c r="AF854" s="215"/>
      <c r="AG854" s="216"/>
      <c r="AJ854" s="214"/>
      <c r="AO854" s="214"/>
      <c r="AQ854" s="214"/>
      <c r="AU854" s="217"/>
      <c r="AV854" s="217"/>
      <c r="AW854" s="217"/>
    </row>
    <row r="855">
      <c r="C855" s="214"/>
      <c r="E855" s="215"/>
      <c r="F855" s="215"/>
      <c r="G855" s="215"/>
      <c r="H855" s="215"/>
      <c r="I855" s="215"/>
      <c r="J855" s="215"/>
      <c r="K855" s="215"/>
      <c r="L855" s="215"/>
      <c r="M855" s="215"/>
      <c r="N855" s="215"/>
      <c r="O855" s="215"/>
      <c r="P855" s="215"/>
      <c r="Q855" s="215"/>
      <c r="R855" s="215"/>
      <c r="S855" s="215"/>
      <c r="T855" s="215"/>
      <c r="U855" s="215"/>
      <c r="V855" s="215"/>
      <c r="W855" s="215"/>
      <c r="X855" s="215"/>
      <c r="Y855" s="215"/>
      <c r="Z855" s="215"/>
      <c r="AA855" s="215"/>
      <c r="AB855" s="215"/>
      <c r="AC855" s="215"/>
      <c r="AD855" s="215"/>
      <c r="AE855" s="215"/>
      <c r="AF855" s="215"/>
      <c r="AG855" s="216"/>
      <c r="AJ855" s="214"/>
      <c r="AO855" s="214"/>
      <c r="AQ855" s="214"/>
      <c r="AU855" s="217"/>
      <c r="AV855" s="217"/>
      <c r="AW855" s="217"/>
    </row>
    <row r="856">
      <c r="C856" s="214"/>
      <c r="E856" s="215"/>
      <c r="F856" s="215"/>
      <c r="G856" s="215"/>
      <c r="H856" s="215"/>
      <c r="I856" s="215"/>
      <c r="J856" s="215"/>
      <c r="K856" s="215"/>
      <c r="L856" s="215"/>
      <c r="M856" s="215"/>
      <c r="N856" s="215"/>
      <c r="O856" s="215"/>
      <c r="P856" s="215"/>
      <c r="Q856" s="215"/>
      <c r="R856" s="215"/>
      <c r="S856" s="215"/>
      <c r="T856" s="215"/>
      <c r="U856" s="215"/>
      <c r="V856" s="215"/>
      <c r="W856" s="215"/>
      <c r="X856" s="215"/>
      <c r="Y856" s="215"/>
      <c r="Z856" s="215"/>
      <c r="AA856" s="215"/>
      <c r="AB856" s="215"/>
      <c r="AC856" s="215"/>
      <c r="AD856" s="215"/>
      <c r="AE856" s="215"/>
      <c r="AF856" s="215"/>
      <c r="AG856" s="216"/>
      <c r="AJ856" s="214"/>
      <c r="AO856" s="214"/>
      <c r="AQ856" s="214"/>
      <c r="AU856" s="217"/>
      <c r="AV856" s="217"/>
      <c r="AW856" s="217"/>
    </row>
    <row r="857">
      <c r="C857" s="214"/>
      <c r="E857" s="215"/>
      <c r="F857" s="215"/>
      <c r="G857" s="215"/>
      <c r="H857" s="215"/>
      <c r="I857" s="215"/>
      <c r="J857" s="215"/>
      <c r="K857" s="215"/>
      <c r="L857" s="215"/>
      <c r="M857" s="215"/>
      <c r="N857" s="215"/>
      <c r="O857" s="215"/>
      <c r="P857" s="215"/>
      <c r="Q857" s="215"/>
      <c r="R857" s="215"/>
      <c r="S857" s="215"/>
      <c r="T857" s="215"/>
      <c r="U857" s="215"/>
      <c r="V857" s="215"/>
      <c r="W857" s="215"/>
      <c r="X857" s="215"/>
      <c r="Y857" s="215"/>
      <c r="Z857" s="215"/>
      <c r="AA857" s="215"/>
      <c r="AB857" s="215"/>
      <c r="AC857" s="215"/>
      <c r="AD857" s="215"/>
      <c r="AE857" s="215"/>
      <c r="AF857" s="215"/>
      <c r="AG857" s="216"/>
      <c r="AJ857" s="214"/>
      <c r="AO857" s="214"/>
      <c r="AQ857" s="214"/>
      <c r="AU857" s="217"/>
      <c r="AV857" s="217"/>
      <c r="AW857" s="217"/>
    </row>
    <row r="858">
      <c r="C858" s="214"/>
      <c r="E858" s="215"/>
      <c r="F858" s="215"/>
      <c r="G858" s="215"/>
      <c r="H858" s="215"/>
      <c r="I858" s="215"/>
      <c r="J858" s="215"/>
      <c r="K858" s="215"/>
      <c r="L858" s="215"/>
      <c r="M858" s="215"/>
      <c r="N858" s="215"/>
      <c r="O858" s="215"/>
      <c r="P858" s="215"/>
      <c r="Q858" s="215"/>
      <c r="R858" s="215"/>
      <c r="S858" s="215"/>
      <c r="T858" s="215"/>
      <c r="U858" s="215"/>
      <c r="V858" s="215"/>
      <c r="W858" s="215"/>
      <c r="X858" s="215"/>
      <c r="Y858" s="215"/>
      <c r="Z858" s="215"/>
      <c r="AA858" s="215"/>
      <c r="AB858" s="215"/>
      <c r="AC858" s="215"/>
      <c r="AD858" s="215"/>
      <c r="AE858" s="215"/>
      <c r="AF858" s="215"/>
      <c r="AG858" s="216"/>
      <c r="AJ858" s="214"/>
      <c r="AO858" s="214"/>
      <c r="AQ858" s="214"/>
      <c r="AU858" s="217"/>
      <c r="AV858" s="217"/>
      <c r="AW858" s="217"/>
    </row>
    <row r="859">
      <c r="C859" s="214"/>
      <c r="E859" s="215"/>
      <c r="F859" s="215"/>
      <c r="G859" s="215"/>
      <c r="H859" s="215"/>
      <c r="I859" s="215"/>
      <c r="J859" s="215"/>
      <c r="K859" s="215"/>
      <c r="L859" s="215"/>
      <c r="M859" s="215"/>
      <c r="N859" s="215"/>
      <c r="O859" s="215"/>
      <c r="P859" s="215"/>
      <c r="Q859" s="215"/>
      <c r="R859" s="215"/>
      <c r="S859" s="215"/>
      <c r="T859" s="215"/>
      <c r="U859" s="215"/>
      <c r="V859" s="215"/>
      <c r="W859" s="215"/>
      <c r="X859" s="215"/>
      <c r="Y859" s="215"/>
      <c r="Z859" s="215"/>
      <c r="AA859" s="215"/>
      <c r="AB859" s="215"/>
      <c r="AC859" s="215"/>
      <c r="AD859" s="215"/>
      <c r="AE859" s="215"/>
      <c r="AF859" s="215"/>
      <c r="AG859" s="216"/>
      <c r="AJ859" s="214"/>
      <c r="AO859" s="214"/>
      <c r="AQ859" s="214"/>
      <c r="AU859" s="217"/>
      <c r="AV859" s="217"/>
      <c r="AW859" s="217"/>
    </row>
    <row r="860">
      <c r="C860" s="214"/>
      <c r="E860" s="215"/>
      <c r="F860" s="215"/>
      <c r="G860" s="215"/>
      <c r="H860" s="215"/>
      <c r="I860" s="215"/>
      <c r="J860" s="215"/>
      <c r="K860" s="215"/>
      <c r="L860" s="215"/>
      <c r="M860" s="215"/>
      <c r="N860" s="215"/>
      <c r="O860" s="215"/>
      <c r="P860" s="215"/>
      <c r="Q860" s="215"/>
      <c r="R860" s="215"/>
      <c r="S860" s="215"/>
      <c r="T860" s="215"/>
      <c r="U860" s="215"/>
      <c r="V860" s="215"/>
      <c r="W860" s="215"/>
      <c r="X860" s="215"/>
      <c r="Y860" s="215"/>
      <c r="Z860" s="215"/>
      <c r="AA860" s="215"/>
      <c r="AB860" s="215"/>
      <c r="AC860" s="215"/>
      <c r="AD860" s="215"/>
      <c r="AE860" s="215"/>
      <c r="AF860" s="215"/>
      <c r="AG860" s="216"/>
      <c r="AJ860" s="214"/>
      <c r="AO860" s="214"/>
      <c r="AQ860" s="214"/>
      <c r="AU860" s="217"/>
      <c r="AV860" s="217"/>
      <c r="AW860" s="217"/>
    </row>
    <row r="861">
      <c r="C861" s="214"/>
      <c r="E861" s="215"/>
      <c r="F861" s="215"/>
      <c r="G861" s="215"/>
      <c r="H861" s="215"/>
      <c r="I861" s="215"/>
      <c r="J861" s="215"/>
      <c r="K861" s="215"/>
      <c r="L861" s="215"/>
      <c r="M861" s="215"/>
      <c r="N861" s="215"/>
      <c r="O861" s="215"/>
      <c r="P861" s="215"/>
      <c r="Q861" s="215"/>
      <c r="R861" s="215"/>
      <c r="S861" s="215"/>
      <c r="T861" s="215"/>
      <c r="U861" s="215"/>
      <c r="V861" s="215"/>
      <c r="W861" s="215"/>
      <c r="X861" s="215"/>
      <c r="Y861" s="215"/>
      <c r="Z861" s="215"/>
      <c r="AA861" s="215"/>
      <c r="AB861" s="215"/>
      <c r="AC861" s="215"/>
      <c r="AD861" s="215"/>
      <c r="AE861" s="215"/>
      <c r="AF861" s="215"/>
      <c r="AG861" s="216"/>
      <c r="AJ861" s="214"/>
      <c r="AO861" s="214"/>
      <c r="AQ861" s="214"/>
      <c r="AU861" s="217"/>
      <c r="AV861" s="217"/>
      <c r="AW861" s="217"/>
    </row>
    <row r="862">
      <c r="C862" s="214"/>
      <c r="E862" s="215"/>
      <c r="F862" s="215"/>
      <c r="G862" s="215"/>
      <c r="H862" s="215"/>
      <c r="I862" s="215"/>
      <c r="J862" s="215"/>
      <c r="K862" s="215"/>
      <c r="L862" s="215"/>
      <c r="M862" s="215"/>
      <c r="N862" s="215"/>
      <c r="O862" s="215"/>
      <c r="P862" s="215"/>
      <c r="Q862" s="215"/>
      <c r="R862" s="215"/>
      <c r="S862" s="215"/>
      <c r="T862" s="215"/>
      <c r="U862" s="215"/>
      <c r="V862" s="215"/>
      <c r="W862" s="215"/>
      <c r="X862" s="215"/>
      <c r="Y862" s="215"/>
      <c r="Z862" s="215"/>
      <c r="AA862" s="215"/>
      <c r="AB862" s="215"/>
      <c r="AC862" s="215"/>
      <c r="AD862" s="215"/>
      <c r="AE862" s="215"/>
      <c r="AF862" s="215"/>
      <c r="AG862" s="216"/>
      <c r="AJ862" s="214"/>
      <c r="AO862" s="214"/>
      <c r="AQ862" s="214"/>
      <c r="AU862" s="217"/>
      <c r="AV862" s="217"/>
      <c r="AW862" s="217"/>
    </row>
    <row r="863">
      <c r="C863" s="214"/>
      <c r="E863" s="215"/>
      <c r="F863" s="215"/>
      <c r="G863" s="215"/>
      <c r="H863" s="215"/>
      <c r="I863" s="215"/>
      <c r="J863" s="215"/>
      <c r="K863" s="215"/>
      <c r="L863" s="215"/>
      <c r="M863" s="215"/>
      <c r="N863" s="215"/>
      <c r="O863" s="215"/>
      <c r="P863" s="215"/>
      <c r="Q863" s="215"/>
      <c r="R863" s="215"/>
      <c r="S863" s="215"/>
      <c r="T863" s="215"/>
      <c r="U863" s="215"/>
      <c r="V863" s="215"/>
      <c r="W863" s="215"/>
      <c r="X863" s="215"/>
      <c r="Y863" s="215"/>
      <c r="Z863" s="215"/>
      <c r="AA863" s="215"/>
      <c r="AB863" s="215"/>
      <c r="AC863" s="215"/>
      <c r="AD863" s="215"/>
      <c r="AE863" s="215"/>
      <c r="AF863" s="215"/>
      <c r="AG863" s="216"/>
      <c r="AJ863" s="214"/>
      <c r="AO863" s="214"/>
      <c r="AQ863" s="214"/>
      <c r="AU863" s="217"/>
      <c r="AV863" s="217"/>
      <c r="AW863" s="217"/>
    </row>
    <row r="864">
      <c r="C864" s="214"/>
      <c r="E864" s="215"/>
      <c r="F864" s="215"/>
      <c r="G864" s="215"/>
      <c r="H864" s="215"/>
      <c r="I864" s="215"/>
      <c r="J864" s="215"/>
      <c r="K864" s="215"/>
      <c r="L864" s="215"/>
      <c r="M864" s="215"/>
      <c r="N864" s="215"/>
      <c r="O864" s="215"/>
      <c r="P864" s="215"/>
      <c r="Q864" s="215"/>
      <c r="R864" s="215"/>
      <c r="S864" s="215"/>
      <c r="T864" s="215"/>
      <c r="U864" s="215"/>
      <c r="V864" s="215"/>
      <c r="W864" s="215"/>
      <c r="X864" s="215"/>
      <c r="Y864" s="215"/>
      <c r="Z864" s="215"/>
      <c r="AA864" s="215"/>
      <c r="AB864" s="215"/>
      <c r="AC864" s="215"/>
      <c r="AD864" s="215"/>
      <c r="AE864" s="215"/>
      <c r="AF864" s="215"/>
      <c r="AG864" s="216"/>
      <c r="AJ864" s="214"/>
      <c r="AO864" s="214"/>
      <c r="AQ864" s="214"/>
      <c r="AU864" s="217"/>
      <c r="AV864" s="217"/>
      <c r="AW864" s="217"/>
    </row>
    <row r="865">
      <c r="C865" s="214"/>
      <c r="E865" s="215"/>
      <c r="F865" s="215"/>
      <c r="G865" s="215"/>
      <c r="H865" s="215"/>
      <c r="I865" s="215"/>
      <c r="J865" s="215"/>
      <c r="K865" s="215"/>
      <c r="L865" s="215"/>
      <c r="M865" s="215"/>
      <c r="N865" s="215"/>
      <c r="O865" s="215"/>
      <c r="P865" s="215"/>
      <c r="Q865" s="215"/>
      <c r="R865" s="215"/>
      <c r="S865" s="215"/>
      <c r="T865" s="215"/>
      <c r="U865" s="215"/>
      <c r="V865" s="215"/>
      <c r="W865" s="215"/>
      <c r="X865" s="215"/>
      <c r="Y865" s="215"/>
      <c r="Z865" s="215"/>
      <c r="AA865" s="215"/>
      <c r="AB865" s="215"/>
      <c r="AC865" s="215"/>
      <c r="AD865" s="215"/>
      <c r="AE865" s="215"/>
      <c r="AF865" s="215"/>
      <c r="AG865" s="216"/>
      <c r="AJ865" s="214"/>
      <c r="AO865" s="214"/>
      <c r="AQ865" s="214"/>
      <c r="AU865" s="217"/>
      <c r="AV865" s="217"/>
      <c r="AW865" s="217"/>
    </row>
    <row r="866">
      <c r="C866" s="214"/>
      <c r="E866" s="215"/>
      <c r="F866" s="215"/>
      <c r="G866" s="215"/>
      <c r="H866" s="215"/>
      <c r="I866" s="215"/>
      <c r="J866" s="215"/>
      <c r="K866" s="215"/>
      <c r="L866" s="215"/>
      <c r="M866" s="215"/>
      <c r="N866" s="215"/>
      <c r="O866" s="215"/>
      <c r="P866" s="215"/>
      <c r="Q866" s="215"/>
      <c r="R866" s="215"/>
      <c r="S866" s="215"/>
      <c r="T866" s="215"/>
      <c r="U866" s="215"/>
      <c r="V866" s="215"/>
      <c r="W866" s="215"/>
      <c r="X866" s="215"/>
      <c r="Y866" s="215"/>
      <c r="Z866" s="215"/>
      <c r="AA866" s="215"/>
      <c r="AB866" s="215"/>
      <c r="AC866" s="215"/>
      <c r="AD866" s="215"/>
      <c r="AE866" s="215"/>
      <c r="AF866" s="215"/>
      <c r="AG866" s="216"/>
      <c r="AJ866" s="214"/>
      <c r="AO866" s="214"/>
      <c r="AQ866" s="214"/>
      <c r="AU866" s="217"/>
      <c r="AV866" s="217"/>
      <c r="AW866" s="217"/>
    </row>
    <row r="867">
      <c r="C867" s="214"/>
      <c r="E867" s="215"/>
      <c r="F867" s="215"/>
      <c r="G867" s="215"/>
      <c r="H867" s="215"/>
      <c r="I867" s="215"/>
      <c r="J867" s="215"/>
      <c r="K867" s="215"/>
      <c r="L867" s="215"/>
      <c r="M867" s="215"/>
      <c r="N867" s="215"/>
      <c r="O867" s="215"/>
      <c r="P867" s="215"/>
      <c r="Q867" s="215"/>
      <c r="R867" s="215"/>
      <c r="S867" s="215"/>
      <c r="T867" s="215"/>
      <c r="U867" s="215"/>
      <c r="V867" s="215"/>
      <c r="W867" s="215"/>
      <c r="X867" s="215"/>
      <c r="Y867" s="215"/>
      <c r="Z867" s="215"/>
      <c r="AA867" s="215"/>
      <c r="AB867" s="215"/>
      <c r="AC867" s="215"/>
      <c r="AD867" s="215"/>
      <c r="AE867" s="215"/>
      <c r="AF867" s="215"/>
      <c r="AG867" s="216"/>
      <c r="AJ867" s="214"/>
      <c r="AO867" s="214"/>
      <c r="AQ867" s="214"/>
      <c r="AU867" s="217"/>
      <c r="AV867" s="217"/>
      <c r="AW867" s="217"/>
    </row>
    <row r="868">
      <c r="C868" s="214"/>
      <c r="E868" s="215"/>
      <c r="F868" s="215"/>
      <c r="G868" s="215"/>
      <c r="H868" s="215"/>
      <c r="I868" s="215"/>
      <c r="J868" s="215"/>
      <c r="K868" s="215"/>
      <c r="L868" s="215"/>
      <c r="M868" s="215"/>
      <c r="N868" s="215"/>
      <c r="O868" s="215"/>
      <c r="P868" s="215"/>
      <c r="Q868" s="215"/>
      <c r="R868" s="215"/>
      <c r="S868" s="215"/>
      <c r="T868" s="215"/>
      <c r="U868" s="215"/>
      <c r="V868" s="215"/>
      <c r="W868" s="215"/>
      <c r="X868" s="215"/>
      <c r="Y868" s="215"/>
      <c r="Z868" s="215"/>
      <c r="AA868" s="215"/>
      <c r="AB868" s="215"/>
      <c r="AC868" s="215"/>
      <c r="AD868" s="215"/>
      <c r="AE868" s="215"/>
      <c r="AF868" s="215"/>
      <c r="AG868" s="216"/>
      <c r="AJ868" s="214"/>
      <c r="AO868" s="214"/>
      <c r="AQ868" s="214"/>
      <c r="AU868" s="217"/>
      <c r="AV868" s="217"/>
      <c r="AW868" s="217"/>
    </row>
    <row r="869">
      <c r="C869" s="214"/>
      <c r="E869" s="215"/>
      <c r="F869" s="215"/>
      <c r="G869" s="215"/>
      <c r="H869" s="215"/>
      <c r="I869" s="215"/>
      <c r="J869" s="215"/>
      <c r="K869" s="215"/>
      <c r="L869" s="215"/>
      <c r="M869" s="215"/>
      <c r="N869" s="215"/>
      <c r="O869" s="215"/>
      <c r="P869" s="215"/>
      <c r="Q869" s="215"/>
      <c r="R869" s="215"/>
      <c r="S869" s="215"/>
      <c r="T869" s="215"/>
      <c r="U869" s="215"/>
      <c r="V869" s="215"/>
      <c r="W869" s="215"/>
      <c r="X869" s="215"/>
      <c r="Y869" s="215"/>
      <c r="Z869" s="215"/>
      <c r="AA869" s="215"/>
      <c r="AB869" s="215"/>
      <c r="AC869" s="215"/>
      <c r="AD869" s="215"/>
      <c r="AE869" s="215"/>
      <c r="AF869" s="215"/>
      <c r="AG869" s="216"/>
      <c r="AJ869" s="214"/>
      <c r="AO869" s="214"/>
      <c r="AQ869" s="214"/>
      <c r="AU869" s="217"/>
      <c r="AV869" s="217"/>
      <c r="AW869" s="217"/>
    </row>
    <row r="870">
      <c r="C870" s="214"/>
      <c r="E870" s="215"/>
      <c r="F870" s="215"/>
      <c r="G870" s="215"/>
      <c r="H870" s="215"/>
      <c r="I870" s="215"/>
      <c r="J870" s="215"/>
      <c r="K870" s="215"/>
      <c r="L870" s="215"/>
      <c r="M870" s="215"/>
      <c r="N870" s="215"/>
      <c r="O870" s="215"/>
      <c r="P870" s="215"/>
      <c r="Q870" s="215"/>
      <c r="R870" s="215"/>
      <c r="S870" s="215"/>
      <c r="T870" s="215"/>
      <c r="U870" s="215"/>
      <c r="V870" s="215"/>
      <c r="W870" s="215"/>
      <c r="X870" s="215"/>
      <c r="Y870" s="215"/>
      <c r="Z870" s="215"/>
      <c r="AA870" s="215"/>
      <c r="AB870" s="215"/>
      <c r="AC870" s="215"/>
      <c r="AD870" s="215"/>
      <c r="AE870" s="215"/>
      <c r="AF870" s="215"/>
      <c r="AG870" s="216"/>
      <c r="AJ870" s="214"/>
      <c r="AO870" s="214"/>
      <c r="AQ870" s="214"/>
      <c r="AU870" s="217"/>
      <c r="AV870" s="217"/>
      <c r="AW870" s="217"/>
    </row>
    <row r="871">
      <c r="C871" s="214"/>
      <c r="E871" s="215"/>
      <c r="F871" s="215"/>
      <c r="G871" s="215"/>
      <c r="H871" s="215"/>
      <c r="I871" s="215"/>
      <c r="J871" s="215"/>
      <c r="K871" s="215"/>
      <c r="L871" s="215"/>
      <c r="M871" s="215"/>
      <c r="N871" s="215"/>
      <c r="O871" s="215"/>
      <c r="P871" s="215"/>
      <c r="Q871" s="215"/>
      <c r="R871" s="215"/>
      <c r="S871" s="215"/>
      <c r="T871" s="215"/>
      <c r="U871" s="215"/>
      <c r="V871" s="215"/>
      <c r="W871" s="215"/>
      <c r="X871" s="215"/>
      <c r="Y871" s="215"/>
      <c r="Z871" s="215"/>
      <c r="AA871" s="215"/>
      <c r="AB871" s="215"/>
      <c r="AC871" s="215"/>
      <c r="AD871" s="215"/>
      <c r="AE871" s="215"/>
      <c r="AF871" s="215"/>
      <c r="AG871" s="216"/>
      <c r="AJ871" s="214"/>
      <c r="AO871" s="214"/>
      <c r="AQ871" s="214"/>
      <c r="AU871" s="217"/>
      <c r="AV871" s="217"/>
      <c r="AW871" s="217"/>
    </row>
    <row r="872">
      <c r="C872" s="214"/>
      <c r="E872" s="215"/>
      <c r="F872" s="215"/>
      <c r="G872" s="215"/>
      <c r="H872" s="215"/>
      <c r="I872" s="215"/>
      <c r="J872" s="215"/>
      <c r="K872" s="215"/>
      <c r="L872" s="215"/>
      <c r="M872" s="215"/>
      <c r="N872" s="215"/>
      <c r="O872" s="215"/>
      <c r="P872" s="215"/>
      <c r="Q872" s="215"/>
      <c r="R872" s="215"/>
      <c r="S872" s="215"/>
      <c r="T872" s="215"/>
      <c r="U872" s="215"/>
      <c r="V872" s="215"/>
      <c r="W872" s="215"/>
      <c r="X872" s="215"/>
      <c r="Y872" s="215"/>
      <c r="Z872" s="215"/>
      <c r="AA872" s="215"/>
      <c r="AB872" s="215"/>
      <c r="AC872" s="215"/>
      <c r="AD872" s="215"/>
      <c r="AE872" s="215"/>
      <c r="AF872" s="215"/>
      <c r="AG872" s="216"/>
      <c r="AJ872" s="214"/>
      <c r="AO872" s="214"/>
      <c r="AQ872" s="214"/>
      <c r="AU872" s="217"/>
      <c r="AV872" s="217"/>
      <c r="AW872" s="217"/>
    </row>
    <row r="873">
      <c r="C873" s="214"/>
      <c r="E873" s="215"/>
      <c r="F873" s="215"/>
      <c r="G873" s="215"/>
      <c r="H873" s="215"/>
      <c r="I873" s="215"/>
      <c r="J873" s="215"/>
      <c r="K873" s="215"/>
      <c r="L873" s="215"/>
      <c r="M873" s="215"/>
      <c r="N873" s="215"/>
      <c r="O873" s="215"/>
      <c r="P873" s="215"/>
      <c r="Q873" s="215"/>
      <c r="R873" s="215"/>
      <c r="S873" s="215"/>
      <c r="T873" s="215"/>
      <c r="U873" s="215"/>
      <c r="V873" s="215"/>
      <c r="W873" s="215"/>
      <c r="X873" s="215"/>
      <c r="Y873" s="215"/>
      <c r="Z873" s="215"/>
      <c r="AA873" s="215"/>
      <c r="AB873" s="215"/>
      <c r="AC873" s="215"/>
      <c r="AD873" s="215"/>
      <c r="AE873" s="215"/>
      <c r="AF873" s="215"/>
      <c r="AG873" s="216"/>
      <c r="AJ873" s="214"/>
      <c r="AO873" s="214"/>
      <c r="AQ873" s="214"/>
      <c r="AU873" s="217"/>
      <c r="AV873" s="217"/>
      <c r="AW873" s="217"/>
    </row>
    <row r="874">
      <c r="C874" s="214"/>
      <c r="E874" s="215"/>
      <c r="F874" s="215"/>
      <c r="G874" s="215"/>
      <c r="H874" s="215"/>
      <c r="I874" s="215"/>
      <c r="J874" s="215"/>
      <c r="K874" s="215"/>
      <c r="L874" s="215"/>
      <c r="M874" s="215"/>
      <c r="N874" s="215"/>
      <c r="O874" s="215"/>
      <c r="P874" s="215"/>
      <c r="Q874" s="215"/>
      <c r="R874" s="215"/>
      <c r="S874" s="215"/>
      <c r="T874" s="215"/>
      <c r="U874" s="215"/>
      <c r="V874" s="215"/>
      <c r="W874" s="215"/>
      <c r="X874" s="215"/>
      <c r="Y874" s="215"/>
      <c r="Z874" s="215"/>
      <c r="AA874" s="215"/>
      <c r="AB874" s="215"/>
      <c r="AC874" s="215"/>
      <c r="AD874" s="215"/>
      <c r="AE874" s="215"/>
      <c r="AF874" s="215"/>
      <c r="AG874" s="216"/>
      <c r="AJ874" s="214"/>
      <c r="AO874" s="214"/>
      <c r="AQ874" s="214"/>
      <c r="AU874" s="217"/>
      <c r="AV874" s="217"/>
      <c r="AW874" s="217"/>
    </row>
    <row r="875">
      <c r="C875" s="214"/>
      <c r="E875" s="215"/>
      <c r="F875" s="215"/>
      <c r="G875" s="215"/>
      <c r="H875" s="215"/>
      <c r="I875" s="215"/>
      <c r="J875" s="215"/>
      <c r="K875" s="215"/>
      <c r="L875" s="215"/>
      <c r="M875" s="215"/>
      <c r="N875" s="215"/>
      <c r="O875" s="215"/>
      <c r="P875" s="215"/>
      <c r="Q875" s="215"/>
      <c r="R875" s="215"/>
      <c r="S875" s="215"/>
      <c r="T875" s="215"/>
      <c r="U875" s="215"/>
      <c r="V875" s="215"/>
      <c r="W875" s="215"/>
      <c r="X875" s="215"/>
      <c r="Y875" s="215"/>
      <c r="Z875" s="215"/>
      <c r="AA875" s="215"/>
      <c r="AB875" s="215"/>
      <c r="AC875" s="215"/>
      <c r="AD875" s="215"/>
      <c r="AE875" s="215"/>
      <c r="AF875" s="215"/>
      <c r="AG875" s="216"/>
      <c r="AJ875" s="214"/>
      <c r="AO875" s="214"/>
      <c r="AQ875" s="214"/>
      <c r="AU875" s="217"/>
      <c r="AV875" s="217"/>
      <c r="AW875" s="217"/>
    </row>
    <row r="876">
      <c r="C876" s="214"/>
      <c r="E876" s="215"/>
      <c r="F876" s="215"/>
      <c r="G876" s="215"/>
      <c r="H876" s="215"/>
      <c r="I876" s="215"/>
      <c r="J876" s="215"/>
      <c r="K876" s="215"/>
      <c r="L876" s="215"/>
      <c r="M876" s="215"/>
      <c r="N876" s="215"/>
      <c r="O876" s="215"/>
      <c r="P876" s="215"/>
      <c r="Q876" s="215"/>
      <c r="R876" s="215"/>
      <c r="S876" s="215"/>
      <c r="T876" s="215"/>
      <c r="U876" s="215"/>
      <c r="V876" s="215"/>
      <c r="W876" s="215"/>
      <c r="X876" s="215"/>
      <c r="Y876" s="215"/>
      <c r="Z876" s="215"/>
      <c r="AA876" s="215"/>
      <c r="AB876" s="215"/>
      <c r="AC876" s="215"/>
      <c r="AD876" s="215"/>
      <c r="AE876" s="215"/>
      <c r="AF876" s="215"/>
      <c r="AG876" s="216"/>
      <c r="AJ876" s="214"/>
      <c r="AO876" s="214"/>
      <c r="AQ876" s="214"/>
      <c r="AU876" s="217"/>
      <c r="AV876" s="217"/>
      <c r="AW876" s="217"/>
    </row>
    <row r="877">
      <c r="C877" s="214"/>
      <c r="E877" s="215"/>
      <c r="F877" s="215"/>
      <c r="G877" s="215"/>
      <c r="H877" s="215"/>
      <c r="I877" s="215"/>
      <c r="J877" s="215"/>
      <c r="K877" s="215"/>
      <c r="L877" s="215"/>
      <c r="M877" s="215"/>
      <c r="N877" s="215"/>
      <c r="O877" s="215"/>
      <c r="P877" s="215"/>
      <c r="Q877" s="215"/>
      <c r="R877" s="215"/>
      <c r="S877" s="215"/>
      <c r="T877" s="215"/>
      <c r="U877" s="215"/>
      <c r="V877" s="215"/>
      <c r="W877" s="215"/>
      <c r="X877" s="215"/>
      <c r="Y877" s="215"/>
      <c r="Z877" s="215"/>
      <c r="AA877" s="215"/>
      <c r="AB877" s="215"/>
      <c r="AC877" s="215"/>
      <c r="AD877" s="215"/>
      <c r="AE877" s="215"/>
      <c r="AF877" s="215"/>
      <c r="AG877" s="216"/>
      <c r="AJ877" s="214"/>
      <c r="AO877" s="214"/>
      <c r="AQ877" s="214"/>
      <c r="AU877" s="217"/>
      <c r="AV877" s="217"/>
      <c r="AW877" s="217"/>
    </row>
    <row r="878">
      <c r="C878" s="214"/>
      <c r="E878" s="215"/>
      <c r="F878" s="215"/>
      <c r="G878" s="215"/>
      <c r="H878" s="215"/>
      <c r="I878" s="215"/>
      <c r="J878" s="215"/>
      <c r="K878" s="215"/>
      <c r="L878" s="215"/>
      <c r="M878" s="215"/>
      <c r="N878" s="215"/>
      <c r="O878" s="215"/>
      <c r="P878" s="215"/>
      <c r="Q878" s="215"/>
      <c r="R878" s="215"/>
      <c r="S878" s="215"/>
      <c r="T878" s="215"/>
      <c r="U878" s="215"/>
      <c r="V878" s="215"/>
      <c r="W878" s="215"/>
      <c r="X878" s="215"/>
      <c r="Y878" s="215"/>
      <c r="Z878" s="215"/>
      <c r="AA878" s="215"/>
      <c r="AB878" s="215"/>
      <c r="AC878" s="215"/>
      <c r="AD878" s="215"/>
      <c r="AE878" s="215"/>
      <c r="AF878" s="215"/>
      <c r="AG878" s="216"/>
      <c r="AJ878" s="214"/>
      <c r="AO878" s="214"/>
      <c r="AQ878" s="214"/>
      <c r="AU878" s="217"/>
      <c r="AV878" s="217"/>
      <c r="AW878" s="217"/>
    </row>
    <row r="879">
      <c r="C879" s="214"/>
      <c r="E879" s="215"/>
      <c r="F879" s="215"/>
      <c r="G879" s="215"/>
      <c r="H879" s="215"/>
      <c r="I879" s="215"/>
      <c r="J879" s="215"/>
      <c r="K879" s="215"/>
      <c r="L879" s="215"/>
      <c r="M879" s="215"/>
      <c r="N879" s="215"/>
      <c r="O879" s="215"/>
      <c r="P879" s="215"/>
      <c r="Q879" s="215"/>
      <c r="R879" s="215"/>
      <c r="S879" s="215"/>
      <c r="T879" s="215"/>
      <c r="U879" s="215"/>
      <c r="V879" s="215"/>
      <c r="W879" s="215"/>
      <c r="X879" s="215"/>
      <c r="Y879" s="215"/>
      <c r="Z879" s="215"/>
      <c r="AA879" s="215"/>
      <c r="AB879" s="215"/>
      <c r="AC879" s="215"/>
      <c r="AD879" s="215"/>
      <c r="AE879" s="215"/>
      <c r="AF879" s="215"/>
      <c r="AG879" s="216"/>
      <c r="AJ879" s="214"/>
      <c r="AO879" s="214"/>
      <c r="AQ879" s="214"/>
      <c r="AU879" s="217"/>
      <c r="AV879" s="217"/>
      <c r="AW879" s="217"/>
    </row>
    <row r="880">
      <c r="C880" s="214"/>
      <c r="E880" s="215"/>
      <c r="F880" s="215"/>
      <c r="G880" s="215"/>
      <c r="H880" s="215"/>
      <c r="I880" s="215"/>
      <c r="J880" s="215"/>
      <c r="K880" s="215"/>
      <c r="L880" s="215"/>
      <c r="M880" s="215"/>
      <c r="N880" s="215"/>
      <c r="O880" s="215"/>
      <c r="P880" s="215"/>
      <c r="Q880" s="215"/>
      <c r="R880" s="215"/>
      <c r="S880" s="215"/>
      <c r="T880" s="215"/>
      <c r="U880" s="215"/>
      <c r="V880" s="215"/>
      <c r="W880" s="215"/>
      <c r="X880" s="215"/>
      <c r="Y880" s="215"/>
      <c r="Z880" s="215"/>
      <c r="AA880" s="215"/>
      <c r="AB880" s="215"/>
      <c r="AC880" s="215"/>
      <c r="AD880" s="215"/>
      <c r="AE880" s="215"/>
      <c r="AF880" s="215"/>
      <c r="AG880" s="216"/>
      <c r="AJ880" s="214"/>
      <c r="AO880" s="214"/>
      <c r="AQ880" s="214"/>
      <c r="AU880" s="217"/>
      <c r="AV880" s="217"/>
      <c r="AW880" s="217"/>
    </row>
    <row r="881">
      <c r="C881" s="214"/>
      <c r="E881" s="215"/>
      <c r="F881" s="215"/>
      <c r="G881" s="215"/>
      <c r="H881" s="215"/>
      <c r="I881" s="215"/>
      <c r="J881" s="215"/>
      <c r="K881" s="215"/>
      <c r="L881" s="215"/>
      <c r="M881" s="215"/>
      <c r="N881" s="215"/>
      <c r="O881" s="215"/>
      <c r="P881" s="215"/>
      <c r="Q881" s="215"/>
      <c r="R881" s="215"/>
      <c r="S881" s="215"/>
      <c r="T881" s="215"/>
      <c r="U881" s="215"/>
      <c r="V881" s="215"/>
      <c r="W881" s="215"/>
      <c r="X881" s="215"/>
      <c r="Y881" s="215"/>
      <c r="Z881" s="215"/>
      <c r="AA881" s="215"/>
      <c r="AB881" s="215"/>
      <c r="AC881" s="215"/>
      <c r="AD881" s="215"/>
      <c r="AE881" s="215"/>
      <c r="AF881" s="215"/>
      <c r="AG881" s="216"/>
      <c r="AJ881" s="214"/>
      <c r="AO881" s="214"/>
      <c r="AQ881" s="214"/>
      <c r="AU881" s="217"/>
      <c r="AV881" s="217"/>
      <c r="AW881" s="217"/>
    </row>
    <row r="882">
      <c r="C882" s="214"/>
      <c r="E882" s="215"/>
      <c r="F882" s="215"/>
      <c r="G882" s="215"/>
      <c r="H882" s="215"/>
      <c r="I882" s="215"/>
      <c r="J882" s="215"/>
      <c r="K882" s="215"/>
      <c r="L882" s="215"/>
      <c r="M882" s="215"/>
      <c r="N882" s="215"/>
      <c r="O882" s="215"/>
      <c r="P882" s="215"/>
      <c r="Q882" s="215"/>
      <c r="R882" s="215"/>
      <c r="S882" s="215"/>
      <c r="T882" s="215"/>
      <c r="U882" s="215"/>
      <c r="V882" s="215"/>
      <c r="W882" s="215"/>
      <c r="X882" s="215"/>
      <c r="Y882" s="215"/>
      <c r="Z882" s="215"/>
      <c r="AA882" s="215"/>
      <c r="AB882" s="215"/>
      <c r="AC882" s="215"/>
      <c r="AD882" s="215"/>
      <c r="AE882" s="215"/>
      <c r="AF882" s="215"/>
      <c r="AG882" s="216"/>
      <c r="AJ882" s="214"/>
      <c r="AO882" s="214"/>
      <c r="AQ882" s="214"/>
      <c r="AU882" s="217"/>
      <c r="AV882" s="217"/>
      <c r="AW882" s="217"/>
    </row>
    <row r="883">
      <c r="C883" s="214"/>
      <c r="E883" s="215"/>
      <c r="F883" s="215"/>
      <c r="G883" s="215"/>
      <c r="H883" s="215"/>
      <c r="I883" s="215"/>
      <c r="J883" s="215"/>
      <c r="K883" s="215"/>
      <c r="L883" s="215"/>
      <c r="M883" s="215"/>
      <c r="N883" s="215"/>
      <c r="O883" s="215"/>
      <c r="P883" s="215"/>
      <c r="Q883" s="215"/>
      <c r="R883" s="215"/>
      <c r="S883" s="215"/>
      <c r="T883" s="215"/>
      <c r="U883" s="215"/>
      <c r="V883" s="215"/>
      <c r="W883" s="215"/>
      <c r="X883" s="215"/>
      <c r="Y883" s="215"/>
      <c r="Z883" s="215"/>
      <c r="AA883" s="215"/>
      <c r="AB883" s="215"/>
      <c r="AC883" s="215"/>
      <c r="AD883" s="215"/>
      <c r="AE883" s="215"/>
      <c r="AF883" s="215"/>
      <c r="AG883" s="216"/>
      <c r="AJ883" s="214"/>
      <c r="AO883" s="214"/>
      <c r="AQ883" s="214"/>
      <c r="AU883" s="217"/>
      <c r="AV883" s="217"/>
      <c r="AW883" s="217"/>
    </row>
    <row r="884">
      <c r="C884" s="214"/>
      <c r="E884" s="215"/>
      <c r="F884" s="215"/>
      <c r="G884" s="215"/>
      <c r="H884" s="215"/>
      <c r="I884" s="215"/>
      <c r="J884" s="215"/>
      <c r="K884" s="215"/>
      <c r="L884" s="215"/>
      <c r="M884" s="215"/>
      <c r="N884" s="215"/>
      <c r="O884" s="215"/>
      <c r="P884" s="215"/>
      <c r="Q884" s="215"/>
      <c r="R884" s="215"/>
      <c r="S884" s="215"/>
      <c r="T884" s="215"/>
      <c r="U884" s="215"/>
      <c r="V884" s="215"/>
      <c r="W884" s="215"/>
      <c r="X884" s="215"/>
      <c r="Y884" s="215"/>
      <c r="Z884" s="215"/>
      <c r="AA884" s="215"/>
      <c r="AB884" s="215"/>
      <c r="AC884" s="215"/>
      <c r="AD884" s="215"/>
      <c r="AE884" s="215"/>
      <c r="AF884" s="215"/>
      <c r="AG884" s="216"/>
      <c r="AJ884" s="214"/>
      <c r="AO884" s="214"/>
      <c r="AQ884" s="214"/>
      <c r="AU884" s="217"/>
      <c r="AV884" s="217"/>
      <c r="AW884" s="217"/>
    </row>
    <row r="885">
      <c r="C885" s="214"/>
      <c r="E885" s="215"/>
      <c r="F885" s="215"/>
      <c r="G885" s="215"/>
      <c r="H885" s="215"/>
      <c r="I885" s="215"/>
      <c r="J885" s="215"/>
      <c r="K885" s="215"/>
      <c r="L885" s="215"/>
      <c r="M885" s="215"/>
      <c r="N885" s="215"/>
      <c r="O885" s="215"/>
      <c r="P885" s="215"/>
      <c r="Q885" s="215"/>
      <c r="R885" s="215"/>
      <c r="S885" s="215"/>
      <c r="T885" s="215"/>
      <c r="U885" s="215"/>
      <c r="V885" s="215"/>
      <c r="W885" s="215"/>
      <c r="X885" s="215"/>
      <c r="Y885" s="215"/>
      <c r="Z885" s="215"/>
      <c r="AA885" s="215"/>
      <c r="AB885" s="215"/>
      <c r="AC885" s="215"/>
      <c r="AD885" s="215"/>
      <c r="AE885" s="215"/>
      <c r="AF885" s="215"/>
      <c r="AG885" s="216"/>
      <c r="AJ885" s="214"/>
      <c r="AO885" s="214"/>
      <c r="AQ885" s="214"/>
      <c r="AU885" s="217"/>
      <c r="AV885" s="217"/>
      <c r="AW885" s="217"/>
    </row>
    <row r="886">
      <c r="C886" s="214"/>
      <c r="E886" s="215"/>
      <c r="F886" s="215"/>
      <c r="G886" s="215"/>
      <c r="H886" s="215"/>
      <c r="I886" s="215"/>
      <c r="J886" s="215"/>
      <c r="K886" s="215"/>
      <c r="L886" s="215"/>
      <c r="M886" s="215"/>
      <c r="N886" s="215"/>
      <c r="O886" s="215"/>
      <c r="P886" s="215"/>
      <c r="Q886" s="215"/>
      <c r="R886" s="215"/>
      <c r="S886" s="215"/>
      <c r="T886" s="215"/>
      <c r="U886" s="215"/>
      <c r="V886" s="215"/>
      <c r="W886" s="215"/>
      <c r="X886" s="215"/>
      <c r="Y886" s="215"/>
      <c r="Z886" s="215"/>
      <c r="AA886" s="215"/>
      <c r="AB886" s="215"/>
      <c r="AC886" s="215"/>
      <c r="AD886" s="215"/>
      <c r="AE886" s="215"/>
      <c r="AF886" s="215"/>
      <c r="AG886" s="216"/>
      <c r="AJ886" s="214"/>
      <c r="AO886" s="214"/>
      <c r="AQ886" s="214"/>
      <c r="AU886" s="217"/>
      <c r="AV886" s="217"/>
      <c r="AW886" s="217"/>
    </row>
    <row r="887">
      <c r="C887" s="214"/>
      <c r="E887" s="215"/>
      <c r="F887" s="215"/>
      <c r="G887" s="215"/>
      <c r="H887" s="215"/>
      <c r="I887" s="215"/>
      <c r="J887" s="215"/>
      <c r="K887" s="215"/>
      <c r="L887" s="215"/>
      <c r="M887" s="215"/>
      <c r="N887" s="215"/>
      <c r="O887" s="215"/>
      <c r="P887" s="215"/>
      <c r="Q887" s="215"/>
      <c r="R887" s="215"/>
      <c r="S887" s="215"/>
      <c r="T887" s="215"/>
      <c r="U887" s="215"/>
      <c r="V887" s="215"/>
      <c r="W887" s="215"/>
      <c r="X887" s="215"/>
      <c r="Y887" s="215"/>
      <c r="Z887" s="215"/>
      <c r="AA887" s="215"/>
      <c r="AB887" s="215"/>
      <c r="AC887" s="215"/>
      <c r="AD887" s="215"/>
      <c r="AE887" s="215"/>
      <c r="AF887" s="215"/>
      <c r="AG887" s="216"/>
      <c r="AJ887" s="214"/>
      <c r="AO887" s="214"/>
      <c r="AQ887" s="214"/>
      <c r="AU887" s="217"/>
      <c r="AV887" s="217"/>
      <c r="AW887" s="217"/>
    </row>
    <row r="888">
      <c r="C888" s="214"/>
      <c r="E888" s="215"/>
      <c r="F888" s="215"/>
      <c r="G888" s="215"/>
      <c r="H888" s="215"/>
      <c r="I888" s="215"/>
      <c r="J888" s="215"/>
      <c r="K888" s="215"/>
      <c r="L888" s="215"/>
      <c r="M888" s="215"/>
      <c r="N888" s="215"/>
      <c r="O888" s="215"/>
      <c r="P888" s="215"/>
      <c r="Q888" s="215"/>
      <c r="R888" s="215"/>
      <c r="S888" s="215"/>
      <c r="T888" s="215"/>
      <c r="U888" s="215"/>
      <c r="V888" s="215"/>
      <c r="W888" s="215"/>
      <c r="X888" s="215"/>
      <c r="Y888" s="215"/>
      <c r="Z888" s="215"/>
      <c r="AA888" s="215"/>
      <c r="AB888" s="215"/>
      <c r="AC888" s="215"/>
      <c r="AD888" s="215"/>
      <c r="AE888" s="215"/>
      <c r="AF888" s="215"/>
      <c r="AG888" s="216"/>
      <c r="AJ888" s="214"/>
      <c r="AO888" s="214"/>
      <c r="AQ888" s="214"/>
      <c r="AU888" s="217"/>
      <c r="AV888" s="217"/>
      <c r="AW888" s="217"/>
    </row>
    <row r="889">
      <c r="C889" s="214"/>
      <c r="E889" s="215"/>
      <c r="F889" s="215"/>
      <c r="G889" s="215"/>
      <c r="H889" s="215"/>
      <c r="I889" s="215"/>
      <c r="J889" s="215"/>
      <c r="K889" s="215"/>
      <c r="L889" s="215"/>
      <c r="M889" s="215"/>
      <c r="N889" s="215"/>
      <c r="O889" s="215"/>
      <c r="P889" s="215"/>
      <c r="Q889" s="215"/>
      <c r="R889" s="215"/>
      <c r="S889" s="215"/>
      <c r="T889" s="215"/>
      <c r="U889" s="215"/>
      <c r="V889" s="215"/>
      <c r="W889" s="215"/>
      <c r="X889" s="215"/>
      <c r="Y889" s="215"/>
      <c r="Z889" s="215"/>
      <c r="AA889" s="215"/>
      <c r="AB889" s="215"/>
      <c r="AC889" s="215"/>
      <c r="AD889" s="215"/>
      <c r="AE889" s="215"/>
      <c r="AF889" s="215"/>
      <c r="AG889" s="216"/>
      <c r="AJ889" s="214"/>
      <c r="AO889" s="214"/>
      <c r="AQ889" s="214"/>
      <c r="AU889" s="217"/>
      <c r="AV889" s="217"/>
      <c r="AW889" s="217"/>
    </row>
    <row r="890">
      <c r="C890" s="214"/>
      <c r="E890" s="215"/>
      <c r="F890" s="215"/>
      <c r="G890" s="215"/>
      <c r="H890" s="215"/>
      <c r="I890" s="215"/>
      <c r="J890" s="215"/>
      <c r="K890" s="215"/>
      <c r="L890" s="215"/>
      <c r="M890" s="215"/>
      <c r="N890" s="215"/>
      <c r="O890" s="215"/>
      <c r="P890" s="215"/>
      <c r="Q890" s="215"/>
      <c r="R890" s="215"/>
      <c r="S890" s="215"/>
      <c r="T890" s="215"/>
      <c r="U890" s="215"/>
      <c r="V890" s="215"/>
      <c r="W890" s="215"/>
      <c r="X890" s="215"/>
      <c r="Y890" s="215"/>
      <c r="Z890" s="215"/>
      <c r="AA890" s="215"/>
      <c r="AB890" s="215"/>
      <c r="AC890" s="215"/>
      <c r="AD890" s="215"/>
      <c r="AE890" s="215"/>
      <c r="AF890" s="215"/>
      <c r="AG890" s="216"/>
      <c r="AJ890" s="214"/>
      <c r="AO890" s="214"/>
      <c r="AQ890" s="214"/>
      <c r="AU890" s="217"/>
      <c r="AV890" s="217"/>
      <c r="AW890" s="217"/>
    </row>
    <row r="891">
      <c r="C891" s="214"/>
      <c r="E891" s="215"/>
      <c r="F891" s="215"/>
      <c r="G891" s="215"/>
      <c r="H891" s="215"/>
      <c r="I891" s="215"/>
      <c r="J891" s="215"/>
      <c r="K891" s="215"/>
      <c r="L891" s="215"/>
      <c r="M891" s="215"/>
      <c r="N891" s="215"/>
      <c r="O891" s="215"/>
      <c r="P891" s="215"/>
      <c r="Q891" s="215"/>
      <c r="R891" s="215"/>
      <c r="S891" s="215"/>
      <c r="T891" s="215"/>
      <c r="U891" s="215"/>
      <c r="V891" s="215"/>
      <c r="W891" s="215"/>
      <c r="X891" s="215"/>
      <c r="Y891" s="215"/>
      <c r="Z891" s="215"/>
      <c r="AA891" s="215"/>
      <c r="AB891" s="215"/>
      <c r="AC891" s="215"/>
      <c r="AD891" s="215"/>
      <c r="AE891" s="215"/>
      <c r="AF891" s="215"/>
      <c r="AG891" s="216"/>
      <c r="AJ891" s="214"/>
      <c r="AO891" s="214"/>
      <c r="AQ891" s="214"/>
      <c r="AU891" s="217"/>
      <c r="AV891" s="217"/>
      <c r="AW891" s="217"/>
    </row>
    <row r="892">
      <c r="C892" s="214"/>
      <c r="E892" s="215"/>
      <c r="F892" s="215"/>
      <c r="G892" s="215"/>
      <c r="H892" s="215"/>
      <c r="I892" s="215"/>
      <c r="J892" s="215"/>
      <c r="K892" s="215"/>
      <c r="L892" s="215"/>
      <c r="M892" s="215"/>
      <c r="N892" s="215"/>
      <c r="O892" s="215"/>
      <c r="P892" s="215"/>
      <c r="Q892" s="215"/>
      <c r="R892" s="215"/>
      <c r="S892" s="215"/>
      <c r="T892" s="215"/>
      <c r="U892" s="215"/>
      <c r="V892" s="215"/>
      <c r="W892" s="215"/>
      <c r="X892" s="215"/>
      <c r="Y892" s="215"/>
      <c r="Z892" s="215"/>
      <c r="AA892" s="215"/>
      <c r="AB892" s="215"/>
      <c r="AC892" s="215"/>
      <c r="AD892" s="215"/>
      <c r="AE892" s="215"/>
      <c r="AF892" s="215"/>
      <c r="AG892" s="216"/>
      <c r="AJ892" s="214"/>
      <c r="AO892" s="214"/>
      <c r="AQ892" s="214"/>
      <c r="AU892" s="217"/>
      <c r="AV892" s="217"/>
      <c r="AW892" s="217"/>
    </row>
    <row r="893">
      <c r="C893" s="214"/>
      <c r="E893" s="215"/>
      <c r="F893" s="215"/>
      <c r="G893" s="215"/>
      <c r="H893" s="215"/>
      <c r="I893" s="215"/>
      <c r="J893" s="215"/>
      <c r="K893" s="215"/>
      <c r="L893" s="215"/>
      <c r="M893" s="215"/>
      <c r="N893" s="215"/>
      <c r="O893" s="215"/>
      <c r="P893" s="215"/>
      <c r="Q893" s="215"/>
      <c r="R893" s="215"/>
      <c r="S893" s="215"/>
      <c r="T893" s="215"/>
      <c r="U893" s="215"/>
      <c r="V893" s="215"/>
      <c r="W893" s="215"/>
      <c r="X893" s="215"/>
      <c r="Y893" s="215"/>
      <c r="Z893" s="215"/>
      <c r="AA893" s="215"/>
      <c r="AB893" s="215"/>
      <c r="AC893" s="215"/>
      <c r="AD893" s="215"/>
      <c r="AE893" s="215"/>
      <c r="AF893" s="215"/>
      <c r="AG893" s="216"/>
      <c r="AJ893" s="214"/>
      <c r="AO893" s="214"/>
      <c r="AQ893" s="214"/>
      <c r="AU893" s="217"/>
      <c r="AV893" s="217"/>
      <c r="AW893" s="217"/>
    </row>
    <row r="894">
      <c r="C894" s="214"/>
      <c r="E894" s="215"/>
      <c r="F894" s="215"/>
      <c r="G894" s="215"/>
      <c r="H894" s="215"/>
      <c r="I894" s="215"/>
      <c r="J894" s="215"/>
      <c r="K894" s="215"/>
      <c r="L894" s="215"/>
      <c r="M894" s="215"/>
      <c r="N894" s="215"/>
      <c r="O894" s="215"/>
      <c r="P894" s="215"/>
      <c r="Q894" s="215"/>
      <c r="R894" s="215"/>
      <c r="S894" s="215"/>
      <c r="T894" s="215"/>
      <c r="U894" s="215"/>
      <c r="V894" s="215"/>
      <c r="W894" s="215"/>
      <c r="X894" s="215"/>
      <c r="Y894" s="215"/>
      <c r="Z894" s="215"/>
      <c r="AA894" s="215"/>
      <c r="AB894" s="215"/>
      <c r="AC894" s="215"/>
      <c r="AD894" s="215"/>
      <c r="AE894" s="215"/>
      <c r="AF894" s="215"/>
      <c r="AG894" s="216"/>
      <c r="AJ894" s="214"/>
      <c r="AO894" s="214"/>
      <c r="AQ894" s="214"/>
      <c r="AU894" s="217"/>
      <c r="AV894" s="217"/>
      <c r="AW894" s="217"/>
    </row>
    <row r="895">
      <c r="C895" s="214"/>
      <c r="E895" s="215"/>
      <c r="F895" s="215"/>
      <c r="G895" s="215"/>
      <c r="H895" s="215"/>
      <c r="I895" s="215"/>
      <c r="J895" s="215"/>
      <c r="K895" s="215"/>
      <c r="L895" s="215"/>
      <c r="M895" s="215"/>
      <c r="N895" s="215"/>
      <c r="O895" s="215"/>
      <c r="P895" s="215"/>
      <c r="Q895" s="215"/>
      <c r="R895" s="215"/>
      <c r="S895" s="215"/>
      <c r="T895" s="215"/>
      <c r="U895" s="215"/>
      <c r="V895" s="215"/>
      <c r="W895" s="215"/>
      <c r="X895" s="215"/>
      <c r="Y895" s="215"/>
      <c r="Z895" s="215"/>
      <c r="AA895" s="215"/>
      <c r="AB895" s="215"/>
      <c r="AC895" s="215"/>
      <c r="AD895" s="215"/>
      <c r="AE895" s="215"/>
      <c r="AF895" s="215"/>
      <c r="AG895" s="216"/>
      <c r="AJ895" s="214"/>
      <c r="AO895" s="214"/>
      <c r="AQ895" s="214"/>
      <c r="AU895" s="217"/>
      <c r="AV895" s="217"/>
      <c r="AW895" s="217"/>
    </row>
    <row r="896">
      <c r="C896" s="214"/>
      <c r="E896" s="215"/>
      <c r="F896" s="215"/>
      <c r="G896" s="215"/>
      <c r="H896" s="215"/>
      <c r="I896" s="215"/>
      <c r="J896" s="215"/>
      <c r="K896" s="215"/>
      <c r="L896" s="215"/>
      <c r="M896" s="215"/>
      <c r="N896" s="215"/>
      <c r="O896" s="215"/>
      <c r="P896" s="215"/>
      <c r="Q896" s="215"/>
      <c r="R896" s="215"/>
      <c r="S896" s="215"/>
      <c r="T896" s="215"/>
      <c r="U896" s="215"/>
      <c r="V896" s="215"/>
      <c r="W896" s="215"/>
      <c r="X896" s="215"/>
      <c r="Y896" s="215"/>
      <c r="Z896" s="215"/>
      <c r="AA896" s="215"/>
      <c r="AB896" s="215"/>
      <c r="AC896" s="215"/>
      <c r="AD896" s="215"/>
      <c r="AE896" s="215"/>
      <c r="AF896" s="215"/>
      <c r="AG896" s="216"/>
      <c r="AJ896" s="214"/>
      <c r="AO896" s="214"/>
      <c r="AQ896" s="214"/>
      <c r="AU896" s="217"/>
      <c r="AV896" s="217"/>
      <c r="AW896" s="217"/>
    </row>
    <row r="897">
      <c r="C897" s="214"/>
      <c r="E897" s="215"/>
      <c r="F897" s="215"/>
      <c r="G897" s="215"/>
      <c r="H897" s="215"/>
      <c r="I897" s="215"/>
      <c r="J897" s="215"/>
      <c r="K897" s="215"/>
      <c r="L897" s="215"/>
      <c r="M897" s="215"/>
      <c r="N897" s="215"/>
      <c r="O897" s="215"/>
      <c r="P897" s="215"/>
      <c r="Q897" s="215"/>
      <c r="R897" s="215"/>
      <c r="S897" s="215"/>
      <c r="T897" s="215"/>
      <c r="U897" s="215"/>
      <c r="V897" s="215"/>
      <c r="W897" s="215"/>
      <c r="X897" s="215"/>
      <c r="Y897" s="215"/>
      <c r="Z897" s="215"/>
      <c r="AA897" s="215"/>
      <c r="AB897" s="215"/>
      <c r="AC897" s="215"/>
      <c r="AD897" s="215"/>
      <c r="AE897" s="215"/>
      <c r="AF897" s="215"/>
      <c r="AG897" s="216"/>
      <c r="AJ897" s="214"/>
      <c r="AO897" s="214"/>
      <c r="AQ897" s="214"/>
      <c r="AU897" s="217"/>
      <c r="AV897" s="217"/>
      <c r="AW897" s="217"/>
    </row>
    <row r="898">
      <c r="C898" s="214"/>
      <c r="E898" s="215"/>
      <c r="F898" s="215"/>
      <c r="G898" s="215"/>
      <c r="H898" s="215"/>
      <c r="I898" s="215"/>
      <c r="J898" s="215"/>
      <c r="K898" s="215"/>
      <c r="L898" s="215"/>
      <c r="M898" s="215"/>
      <c r="N898" s="215"/>
      <c r="O898" s="215"/>
      <c r="P898" s="215"/>
      <c r="Q898" s="215"/>
      <c r="R898" s="215"/>
      <c r="S898" s="215"/>
      <c r="T898" s="215"/>
      <c r="U898" s="215"/>
      <c r="V898" s="215"/>
      <c r="W898" s="215"/>
      <c r="X898" s="215"/>
      <c r="Y898" s="215"/>
      <c r="Z898" s="215"/>
      <c r="AA898" s="215"/>
      <c r="AB898" s="215"/>
      <c r="AC898" s="215"/>
      <c r="AD898" s="215"/>
      <c r="AE898" s="215"/>
      <c r="AF898" s="215"/>
      <c r="AG898" s="216"/>
      <c r="AJ898" s="214"/>
      <c r="AO898" s="214"/>
      <c r="AQ898" s="214"/>
      <c r="AU898" s="217"/>
      <c r="AV898" s="217"/>
      <c r="AW898" s="217"/>
    </row>
    <row r="899">
      <c r="C899" s="214"/>
      <c r="E899" s="215"/>
      <c r="F899" s="215"/>
      <c r="G899" s="215"/>
      <c r="H899" s="215"/>
      <c r="I899" s="215"/>
      <c r="J899" s="215"/>
      <c r="K899" s="215"/>
      <c r="L899" s="215"/>
      <c r="M899" s="215"/>
      <c r="N899" s="215"/>
      <c r="O899" s="215"/>
      <c r="P899" s="215"/>
      <c r="Q899" s="215"/>
      <c r="R899" s="215"/>
      <c r="S899" s="215"/>
      <c r="T899" s="215"/>
      <c r="U899" s="215"/>
      <c r="V899" s="215"/>
      <c r="W899" s="215"/>
      <c r="X899" s="215"/>
      <c r="Y899" s="215"/>
      <c r="Z899" s="215"/>
      <c r="AA899" s="215"/>
      <c r="AB899" s="215"/>
      <c r="AC899" s="215"/>
      <c r="AD899" s="215"/>
      <c r="AE899" s="215"/>
      <c r="AF899" s="215"/>
      <c r="AG899" s="216"/>
      <c r="AJ899" s="214"/>
      <c r="AO899" s="214"/>
      <c r="AQ899" s="214"/>
      <c r="AU899" s="217"/>
      <c r="AV899" s="217"/>
      <c r="AW899" s="217"/>
    </row>
    <row r="900">
      <c r="C900" s="214"/>
      <c r="E900" s="215"/>
      <c r="F900" s="215"/>
      <c r="G900" s="215"/>
      <c r="H900" s="215"/>
      <c r="I900" s="215"/>
      <c r="J900" s="215"/>
      <c r="K900" s="215"/>
      <c r="L900" s="215"/>
      <c r="M900" s="215"/>
      <c r="N900" s="215"/>
      <c r="O900" s="215"/>
      <c r="P900" s="215"/>
      <c r="Q900" s="215"/>
      <c r="R900" s="215"/>
      <c r="S900" s="215"/>
      <c r="T900" s="215"/>
      <c r="U900" s="215"/>
      <c r="V900" s="215"/>
      <c r="W900" s="215"/>
      <c r="X900" s="215"/>
      <c r="Y900" s="215"/>
      <c r="Z900" s="215"/>
      <c r="AA900" s="215"/>
      <c r="AB900" s="215"/>
      <c r="AC900" s="215"/>
      <c r="AD900" s="215"/>
      <c r="AE900" s="215"/>
      <c r="AF900" s="215"/>
      <c r="AG900" s="216"/>
      <c r="AJ900" s="214"/>
      <c r="AO900" s="214"/>
      <c r="AQ900" s="214"/>
      <c r="AU900" s="217"/>
      <c r="AV900" s="217"/>
      <c r="AW900" s="217"/>
    </row>
    <row r="901">
      <c r="C901" s="214"/>
      <c r="E901" s="215"/>
      <c r="F901" s="215"/>
      <c r="G901" s="215"/>
      <c r="H901" s="215"/>
      <c r="I901" s="215"/>
      <c r="J901" s="215"/>
      <c r="K901" s="215"/>
      <c r="L901" s="215"/>
      <c r="M901" s="215"/>
      <c r="N901" s="215"/>
      <c r="O901" s="215"/>
      <c r="P901" s="215"/>
      <c r="Q901" s="215"/>
      <c r="R901" s="215"/>
      <c r="S901" s="215"/>
      <c r="T901" s="215"/>
      <c r="U901" s="215"/>
      <c r="V901" s="215"/>
      <c r="W901" s="215"/>
      <c r="X901" s="215"/>
      <c r="Y901" s="215"/>
      <c r="Z901" s="215"/>
      <c r="AA901" s="215"/>
      <c r="AB901" s="215"/>
      <c r="AC901" s="215"/>
      <c r="AD901" s="215"/>
      <c r="AE901" s="215"/>
      <c r="AF901" s="215"/>
      <c r="AG901" s="216"/>
      <c r="AJ901" s="214"/>
      <c r="AO901" s="214"/>
      <c r="AQ901" s="214"/>
      <c r="AU901" s="217"/>
      <c r="AV901" s="217"/>
      <c r="AW901" s="217"/>
    </row>
    <row r="902">
      <c r="C902" s="214"/>
      <c r="E902" s="215"/>
      <c r="F902" s="215"/>
      <c r="G902" s="215"/>
      <c r="H902" s="215"/>
      <c r="I902" s="215"/>
      <c r="J902" s="215"/>
      <c r="K902" s="215"/>
      <c r="L902" s="215"/>
      <c r="M902" s="215"/>
      <c r="N902" s="215"/>
      <c r="O902" s="215"/>
      <c r="P902" s="215"/>
      <c r="Q902" s="215"/>
      <c r="R902" s="215"/>
      <c r="S902" s="215"/>
      <c r="T902" s="215"/>
      <c r="U902" s="215"/>
      <c r="V902" s="215"/>
      <c r="W902" s="215"/>
      <c r="X902" s="215"/>
      <c r="Y902" s="215"/>
      <c r="Z902" s="215"/>
      <c r="AA902" s="215"/>
      <c r="AB902" s="215"/>
      <c r="AC902" s="215"/>
      <c r="AD902" s="215"/>
      <c r="AE902" s="215"/>
      <c r="AF902" s="215"/>
      <c r="AG902" s="216"/>
      <c r="AJ902" s="214"/>
      <c r="AO902" s="214"/>
      <c r="AQ902" s="214"/>
      <c r="AU902" s="217"/>
      <c r="AV902" s="217"/>
      <c r="AW902" s="217"/>
    </row>
    <row r="903">
      <c r="C903" s="214"/>
      <c r="E903" s="215"/>
      <c r="F903" s="215"/>
      <c r="G903" s="215"/>
      <c r="H903" s="215"/>
      <c r="I903" s="215"/>
      <c r="J903" s="215"/>
      <c r="K903" s="215"/>
      <c r="L903" s="215"/>
      <c r="M903" s="215"/>
      <c r="N903" s="215"/>
      <c r="O903" s="215"/>
      <c r="P903" s="215"/>
      <c r="Q903" s="215"/>
      <c r="R903" s="215"/>
      <c r="S903" s="215"/>
      <c r="T903" s="215"/>
      <c r="U903" s="215"/>
      <c r="V903" s="215"/>
      <c r="W903" s="215"/>
      <c r="X903" s="215"/>
      <c r="Y903" s="215"/>
      <c r="Z903" s="215"/>
      <c r="AA903" s="215"/>
      <c r="AB903" s="215"/>
      <c r="AC903" s="215"/>
      <c r="AD903" s="215"/>
      <c r="AE903" s="215"/>
      <c r="AF903" s="215"/>
      <c r="AG903" s="216"/>
      <c r="AJ903" s="214"/>
      <c r="AO903" s="214"/>
      <c r="AQ903" s="214"/>
      <c r="AU903" s="217"/>
      <c r="AV903" s="217"/>
      <c r="AW903" s="217"/>
    </row>
    <row r="904">
      <c r="C904" s="214"/>
      <c r="E904" s="215"/>
      <c r="F904" s="215"/>
      <c r="G904" s="215"/>
      <c r="H904" s="215"/>
      <c r="I904" s="215"/>
      <c r="J904" s="215"/>
      <c r="K904" s="215"/>
      <c r="L904" s="215"/>
      <c r="M904" s="215"/>
      <c r="N904" s="215"/>
      <c r="O904" s="215"/>
      <c r="P904" s="215"/>
      <c r="Q904" s="215"/>
      <c r="R904" s="215"/>
      <c r="S904" s="215"/>
      <c r="T904" s="215"/>
      <c r="U904" s="215"/>
      <c r="V904" s="215"/>
      <c r="W904" s="215"/>
      <c r="X904" s="215"/>
      <c r="Y904" s="215"/>
      <c r="Z904" s="215"/>
      <c r="AA904" s="215"/>
      <c r="AB904" s="215"/>
      <c r="AC904" s="215"/>
      <c r="AD904" s="215"/>
      <c r="AE904" s="215"/>
      <c r="AF904" s="215"/>
      <c r="AG904" s="216"/>
      <c r="AJ904" s="214"/>
      <c r="AO904" s="214"/>
      <c r="AQ904" s="214"/>
      <c r="AU904" s="217"/>
      <c r="AV904" s="217"/>
      <c r="AW904" s="217"/>
    </row>
    <row r="905">
      <c r="C905" s="214"/>
      <c r="E905" s="215"/>
      <c r="F905" s="215"/>
      <c r="G905" s="215"/>
      <c r="H905" s="215"/>
      <c r="I905" s="215"/>
      <c r="J905" s="215"/>
      <c r="K905" s="215"/>
      <c r="L905" s="215"/>
      <c r="M905" s="215"/>
      <c r="N905" s="215"/>
      <c r="O905" s="215"/>
      <c r="P905" s="215"/>
      <c r="Q905" s="215"/>
      <c r="R905" s="215"/>
      <c r="S905" s="215"/>
      <c r="T905" s="215"/>
      <c r="U905" s="215"/>
      <c r="V905" s="215"/>
      <c r="W905" s="215"/>
      <c r="X905" s="215"/>
      <c r="Y905" s="215"/>
      <c r="Z905" s="215"/>
      <c r="AA905" s="215"/>
      <c r="AB905" s="215"/>
      <c r="AC905" s="215"/>
      <c r="AD905" s="215"/>
      <c r="AE905" s="215"/>
      <c r="AF905" s="215"/>
      <c r="AG905" s="216"/>
      <c r="AJ905" s="214"/>
      <c r="AO905" s="214"/>
      <c r="AQ905" s="214"/>
      <c r="AU905" s="217"/>
      <c r="AV905" s="217"/>
      <c r="AW905" s="217"/>
    </row>
    <row r="906">
      <c r="C906" s="214"/>
      <c r="E906" s="215"/>
      <c r="F906" s="215"/>
      <c r="G906" s="215"/>
      <c r="H906" s="215"/>
      <c r="I906" s="215"/>
      <c r="J906" s="215"/>
      <c r="K906" s="215"/>
      <c r="L906" s="215"/>
      <c r="M906" s="215"/>
      <c r="N906" s="215"/>
      <c r="O906" s="215"/>
      <c r="P906" s="215"/>
      <c r="Q906" s="215"/>
      <c r="R906" s="215"/>
      <c r="S906" s="215"/>
      <c r="T906" s="215"/>
      <c r="U906" s="215"/>
      <c r="V906" s="215"/>
      <c r="W906" s="215"/>
      <c r="X906" s="215"/>
      <c r="Y906" s="215"/>
      <c r="Z906" s="215"/>
      <c r="AA906" s="215"/>
      <c r="AB906" s="215"/>
      <c r="AC906" s="215"/>
      <c r="AD906" s="215"/>
      <c r="AE906" s="215"/>
      <c r="AF906" s="215"/>
      <c r="AG906" s="216"/>
      <c r="AJ906" s="214"/>
      <c r="AO906" s="214"/>
      <c r="AQ906" s="214"/>
      <c r="AU906" s="217"/>
      <c r="AV906" s="217"/>
      <c r="AW906" s="217"/>
    </row>
    <row r="907">
      <c r="C907" s="214"/>
      <c r="E907" s="215"/>
      <c r="F907" s="215"/>
      <c r="G907" s="215"/>
      <c r="H907" s="215"/>
      <c r="I907" s="215"/>
      <c r="J907" s="215"/>
      <c r="K907" s="215"/>
      <c r="L907" s="215"/>
      <c r="M907" s="215"/>
      <c r="N907" s="215"/>
      <c r="O907" s="215"/>
      <c r="P907" s="215"/>
      <c r="Q907" s="215"/>
      <c r="R907" s="215"/>
      <c r="S907" s="215"/>
      <c r="T907" s="215"/>
      <c r="U907" s="215"/>
      <c r="V907" s="215"/>
      <c r="W907" s="215"/>
      <c r="X907" s="215"/>
      <c r="Y907" s="215"/>
      <c r="Z907" s="215"/>
      <c r="AA907" s="215"/>
      <c r="AB907" s="215"/>
      <c r="AC907" s="215"/>
      <c r="AD907" s="215"/>
      <c r="AE907" s="215"/>
      <c r="AF907" s="215"/>
      <c r="AG907" s="216"/>
      <c r="AJ907" s="214"/>
      <c r="AO907" s="214"/>
      <c r="AQ907" s="214"/>
      <c r="AU907" s="217"/>
      <c r="AV907" s="217"/>
      <c r="AW907" s="217"/>
    </row>
    <row r="908">
      <c r="C908" s="214"/>
      <c r="E908" s="215"/>
      <c r="F908" s="215"/>
      <c r="G908" s="215"/>
      <c r="H908" s="215"/>
      <c r="I908" s="215"/>
      <c r="J908" s="215"/>
      <c r="K908" s="215"/>
      <c r="L908" s="215"/>
      <c r="M908" s="215"/>
      <c r="N908" s="215"/>
      <c r="O908" s="215"/>
      <c r="P908" s="215"/>
      <c r="Q908" s="215"/>
      <c r="R908" s="215"/>
      <c r="S908" s="215"/>
      <c r="T908" s="215"/>
      <c r="U908" s="215"/>
      <c r="V908" s="215"/>
      <c r="W908" s="215"/>
      <c r="X908" s="215"/>
      <c r="Y908" s="215"/>
      <c r="Z908" s="215"/>
      <c r="AA908" s="215"/>
      <c r="AB908" s="215"/>
      <c r="AC908" s="215"/>
      <c r="AD908" s="215"/>
      <c r="AE908" s="215"/>
      <c r="AF908" s="215"/>
      <c r="AG908" s="216"/>
      <c r="AJ908" s="214"/>
      <c r="AO908" s="214"/>
      <c r="AQ908" s="214"/>
      <c r="AU908" s="217"/>
      <c r="AV908" s="217"/>
      <c r="AW908" s="217"/>
    </row>
    <row r="909">
      <c r="C909" s="214"/>
      <c r="E909" s="215"/>
      <c r="F909" s="215"/>
      <c r="G909" s="215"/>
      <c r="H909" s="215"/>
      <c r="I909" s="215"/>
      <c r="J909" s="215"/>
      <c r="K909" s="215"/>
      <c r="L909" s="215"/>
      <c r="M909" s="215"/>
      <c r="N909" s="215"/>
      <c r="O909" s="215"/>
      <c r="P909" s="215"/>
      <c r="Q909" s="215"/>
      <c r="R909" s="215"/>
      <c r="S909" s="215"/>
      <c r="T909" s="215"/>
      <c r="U909" s="215"/>
      <c r="V909" s="215"/>
      <c r="W909" s="215"/>
      <c r="X909" s="215"/>
      <c r="Y909" s="215"/>
      <c r="Z909" s="215"/>
      <c r="AA909" s="215"/>
      <c r="AB909" s="215"/>
      <c r="AC909" s="215"/>
      <c r="AD909" s="215"/>
      <c r="AE909" s="215"/>
      <c r="AF909" s="215"/>
      <c r="AG909" s="216"/>
      <c r="AJ909" s="214"/>
      <c r="AO909" s="214"/>
      <c r="AQ909" s="214"/>
      <c r="AU909" s="217"/>
      <c r="AV909" s="217"/>
      <c r="AW909" s="217"/>
    </row>
    <row r="910">
      <c r="C910" s="214"/>
      <c r="E910" s="215"/>
      <c r="F910" s="215"/>
      <c r="G910" s="215"/>
      <c r="H910" s="215"/>
      <c r="I910" s="215"/>
      <c r="J910" s="215"/>
      <c r="K910" s="215"/>
      <c r="L910" s="215"/>
      <c r="M910" s="215"/>
      <c r="N910" s="215"/>
      <c r="O910" s="215"/>
      <c r="P910" s="215"/>
      <c r="Q910" s="215"/>
      <c r="R910" s="215"/>
      <c r="S910" s="215"/>
      <c r="T910" s="215"/>
      <c r="U910" s="215"/>
      <c r="V910" s="215"/>
      <c r="W910" s="215"/>
      <c r="X910" s="215"/>
      <c r="Y910" s="215"/>
      <c r="Z910" s="215"/>
      <c r="AA910" s="215"/>
      <c r="AB910" s="215"/>
      <c r="AC910" s="215"/>
      <c r="AD910" s="215"/>
      <c r="AE910" s="215"/>
      <c r="AF910" s="215"/>
      <c r="AG910" s="216"/>
      <c r="AJ910" s="214"/>
      <c r="AO910" s="214"/>
      <c r="AQ910" s="214"/>
      <c r="AU910" s="217"/>
      <c r="AV910" s="217"/>
      <c r="AW910" s="217"/>
    </row>
    <row r="911">
      <c r="C911" s="214"/>
      <c r="E911" s="215"/>
      <c r="F911" s="215"/>
      <c r="G911" s="215"/>
      <c r="H911" s="215"/>
      <c r="I911" s="215"/>
      <c r="J911" s="215"/>
      <c r="K911" s="215"/>
      <c r="L911" s="215"/>
      <c r="M911" s="215"/>
      <c r="N911" s="215"/>
      <c r="O911" s="215"/>
      <c r="P911" s="215"/>
      <c r="Q911" s="215"/>
      <c r="R911" s="215"/>
      <c r="S911" s="215"/>
      <c r="T911" s="215"/>
      <c r="U911" s="215"/>
      <c r="V911" s="215"/>
      <c r="W911" s="215"/>
      <c r="X911" s="215"/>
      <c r="Y911" s="215"/>
      <c r="Z911" s="215"/>
      <c r="AA911" s="215"/>
      <c r="AB911" s="215"/>
      <c r="AC911" s="215"/>
      <c r="AD911" s="215"/>
      <c r="AE911" s="215"/>
      <c r="AF911" s="215"/>
      <c r="AG911" s="216"/>
      <c r="AJ911" s="214"/>
      <c r="AO911" s="214"/>
      <c r="AQ911" s="214"/>
      <c r="AU911" s="217"/>
      <c r="AV911" s="217"/>
      <c r="AW911" s="217"/>
    </row>
    <row r="912">
      <c r="C912" s="214"/>
      <c r="E912" s="215"/>
      <c r="F912" s="215"/>
      <c r="G912" s="215"/>
      <c r="H912" s="215"/>
      <c r="I912" s="215"/>
      <c r="J912" s="215"/>
      <c r="K912" s="215"/>
      <c r="L912" s="215"/>
      <c r="M912" s="215"/>
      <c r="N912" s="215"/>
      <c r="O912" s="215"/>
      <c r="P912" s="215"/>
      <c r="Q912" s="215"/>
      <c r="R912" s="215"/>
      <c r="S912" s="215"/>
      <c r="T912" s="215"/>
      <c r="U912" s="215"/>
      <c r="V912" s="215"/>
      <c r="W912" s="215"/>
      <c r="X912" s="215"/>
      <c r="Y912" s="215"/>
      <c r="Z912" s="215"/>
      <c r="AA912" s="215"/>
      <c r="AB912" s="215"/>
      <c r="AC912" s="215"/>
      <c r="AD912" s="215"/>
      <c r="AE912" s="215"/>
      <c r="AF912" s="215"/>
      <c r="AG912" s="216"/>
      <c r="AJ912" s="214"/>
      <c r="AO912" s="214"/>
      <c r="AQ912" s="214"/>
      <c r="AU912" s="217"/>
      <c r="AV912" s="217"/>
      <c r="AW912" s="217"/>
    </row>
    <row r="913">
      <c r="C913" s="214"/>
      <c r="E913" s="215"/>
      <c r="F913" s="215"/>
      <c r="G913" s="215"/>
      <c r="H913" s="215"/>
      <c r="I913" s="215"/>
      <c r="J913" s="215"/>
      <c r="K913" s="215"/>
      <c r="L913" s="215"/>
      <c r="M913" s="215"/>
      <c r="N913" s="215"/>
      <c r="O913" s="215"/>
      <c r="P913" s="215"/>
      <c r="Q913" s="215"/>
      <c r="R913" s="215"/>
      <c r="S913" s="215"/>
      <c r="T913" s="215"/>
      <c r="U913" s="215"/>
      <c r="V913" s="215"/>
      <c r="W913" s="215"/>
      <c r="X913" s="215"/>
      <c r="Y913" s="215"/>
      <c r="Z913" s="215"/>
      <c r="AA913" s="215"/>
      <c r="AB913" s="215"/>
      <c r="AC913" s="215"/>
      <c r="AD913" s="215"/>
      <c r="AE913" s="215"/>
      <c r="AF913" s="215"/>
      <c r="AG913" s="216"/>
      <c r="AJ913" s="214"/>
      <c r="AO913" s="214"/>
      <c r="AQ913" s="214"/>
      <c r="AU913" s="217"/>
      <c r="AV913" s="217"/>
      <c r="AW913" s="217"/>
    </row>
    <row r="914">
      <c r="C914" s="214"/>
      <c r="E914" s="215"/>
      <c r="F914" s="215"/>
      <c r="G914" s="215"/>
      <c r="H914" s="215"/>
      <c r="I914" s="215"/>
      <c r="J914" s="215"/>
      <c r="K914" s="215"/>
      <c r="L914" s="215"/>
      <c r="M914" s="215"/>
      <c r="N914" s="215"/>
      <c r="O914" s="215"/>
      <c r="P914" s="215"/>
      <c r="Q914" s="215"/>
      <c r="R914" s="215"/>
      <c r="S914" s="215"/>
      <c r="T914" s="215"/>
      <c r="U914" s="215"/>
      <c r="V914" s="215"/>
      <c r="W914" s="215"/>
      <c r="X914" s="215"/>
      <c r="Y914" s="215"/>
      <c r="Z914" s="215"/>
      <c r="AA914" s="215"/>
      <c r="AB914" s="215"/>
      <c r="AC914" s="215"/>
      <c r="AD914" s="215"/>
      <c r="AE914" s="215"/>
      <c r="AF914" s="215"/>
      <c r="AG914" s="216"/>
      <c r="AJ914" s="214"/>
      <c r="AO914" s="214"/>
      <c r="AQ914" s="214"/>
      <c r="AU914" s="217"/>
      <c r="AV914" s="217"/>
      <c r="AW914" s="217"/>
    </row>
    <row r="915">
      <c r="C915" s="214"/>
      <c r="E915" s="215"/>
      <c r="F915" s="215"/>
      <c r="G915" s="215"/>
      <c r="H915" s="215"/>
      <c r="I915" s="215"/>
      <c r="J915" s="215"/>
      <c r="K915" s="215"/>
      <c r="L915" s="215"/>
      <c r="M915" s="215"/>
      <c r="N915" s="215"/>
      <c r="O915" s="215"/>
      <c r="P915" s="215"/>
      <c r="Q915" s="215"/>
      <c r="R915" s="215"/>
      <c r="S915" s="215"/>
      <c r="T915" s="215"/>
      <c r="U915" s="215"/>
      <c r="V915" s="215"/>
      <c r="W915" s="215"/>
      <c r="X915" s="215"/>
      <c r="Y915" s="215"/>
      <c r="Z915" s="215"/>
      <c r="AA915" s="215"/>
      <c r="AB915" s="215"/>
      <c r="AC915" s="215"/>
      <c r="AD915" s="215"/>
      <c r="AE915" s="215"/>
      <c r="AF915" s="215"/>
      <c r="AG915" s="216"/>
      <c r="AJ915" s="214"/>
      <c r="AO915" s="214"/>
      <c r="AQ915" s="214"/>
      <c r="AU915" s="217"/>
      <c r="AV915" s="217"/>
      <c r="AW915" s="217"/>
    </row>
    <row r="916">
      <c r="C916" s="214"/>
      <c r="E916" s="215"/>
      <c r="F916" s="215"/>
      <c r="G916" s="215"/>
      <c r="H916" s="215"/>
      <c r="I916" s="215"/>
      <c r="J916" s="215"/>
      <c r="K916" s="215"/>
      <c r="L916" s="215"/>
      <c r="M916" s="215"/>
      <c r="N916" s="215"/>
      <c r="O916" s="215"/>
      <c r="P916" s="215"/>
      <c r="Q916" s="215"/>
      <c r="R916" s="215"/>
      <c r="S916" s="215"/>
      <c r="T916" s="215"/>
      <c r="U916" s="215"/>
      <c r="V916" s="215"/>
      <c r="W916" s="215"/>
      <c r="X916" s="215"/>
      <c r="Y916" s="215"/>
      <c r="Z916" s="215"/>
      <c r="AA916" s="215"/>
      <c r="AB916" s="215"/>
      <c r="AC916" s="215"/>
      <c r="AD916" s="215"/>
      <c r="AE916" s="215"/>
      <c r="AF916" s="215"/>
      <c r="AG916" s="216"/>
      <c r="AJ916" s="214"/>
      <c r="AO916" s="214"/>
      <c r="AQ916" s="214"/>
      <c r="AU916" s="217"/>
      <c r="AV916" s="217"/>
      <c r="AW916" s="217"/>
    </row>
    <row r="917">
      <c r="C917" s="214"/>
      <c r="E917" s="215"/>
      <c r="F917" s="215"/>
      <c r="G917" s="215"/>
      <c r="H917" s="215"/>
      <c r="I917" s="215"/>
      <c r="J917" s="215"/>
      <c r="K917" s="215"/>
      <c r="L917" s="215"/>
      <c r="M917" s="215"/>
      <c r="N917" s="215"/>
      <c r="O917" s="215"/>
      <c r="P917" s="215"/>
      <c r="Q917" s="215"/>
      <c r="R917" s="215"/>
      <c r="S917" s="215"/>
      <c r="T917" s="215"/>
      <c r="U917" s="215"/>
      <c r="V917" s="215"/>
      <c r="W917" s="215"/>
      <c r="X917" s="215"/>
      <c r="Y917" s="215"/>
      <c r="Z917" s="215"/>
      <c r="AA917" s="215"/>
      <c r="AB917" s="215"/>
      <c r="AC917" s="215"/>
      <c r="AD917" s="215"/>
      <c r="AE917" s="215"/>
      <c r="AF917" s="215"/>
      <c r="AG917" s="216"/>
      <c r="AJ917" s="214"/>
      <c r="AO917" s="214"/>
      <c r="AQ917" s="214"/>
      <c r="AU917" s="217"/>
      <c r="AV917" s="217"/>
      <c r="AW917" s="217"/>
    </row>
    <row r="918">
      <c r="C918" s="214"/>
      <c r="E918" s="215"/>
      <c r="F918" s="215"/>
      <c r="G918" s="215"/>
      <c r="H918" s="215"/>
      <c r="I918" s="215"/>
      <c r="J918" s="215"/>
      <c r="K918" s="215"/>
      <c r="L918" s="215"/>
      <c r="M918" s="215"/>
      <c r="N918" s="215"/>
      <c r="O918" s="215"/>
      <c r="P918" s="215"/>
      <c r="Q918" s="215"/>
      <c r="R918" s="215"/>
      <c r="S918" s="215"/>
      <c r="T918" s="215"/>
      <c r="U918" s="215"/>
      <c r="V918" s="215"/>
      <c r="W918" s="215"/>
      <c r="X918" s="215"/>
      <c r="Y918" s="215"/>
      <c r="Z918" s="215"/>
      <c r="AA918" s="215"/>
      <c r="AB918" s="215"/>
      <c r="AC918" s="215"/>
      <c r="AD918" s="215"/>
      <c r="AE918" s="215"/>
      <c r="AF918" s="215"/>
      <c r="AG918" s="216"/>
      <c r="AJ918" s="214"/>
      <c r="AO918" s="214"/>
      <c r="AQ918" s="214"/>
      <c r="AU918" s="217"/>
      <c r="AV918" s="217"/>
      <c r="AW918" s="217"/>
    </row>
    <row r="919">
      <c r="C919" s="214"/>
      <c r="E919" s="215"/>
      <c r="F919" s="215"/>
      <c r="G919" s="215"/>
      <c r="H919" s="215"/>
      <c r="I919" s="215"/>
      <c r="J919" s="215"/>
      <c r="K919" s="215"/>
      <c r="L919" s="215"/>
      <c r="M919" s="215"/>
      <c r="N919" s="215"/>
      <c r="O919" s="215"/>
      <c r="P919" s="215"/>
      <c r="Q919" s="215"/>
      <c r="R919" s="215"/>
      <c r="S919" s="215"/>
      <c r="T919" s="215"/>
      <c r="U919" s="215"/>
      <c r="V919" s="215"/>
      <c r="W919" s="215"/>
      <c r="X919" s="215"/>
      <c r="Y919" s="215"/>
      <c r="Z919" s="215"/>
      <c r="AA919" s="215"/>
      <c r="AB919" s="215"/>
      <c r="AC919" s="215"/>
      <c r="AD919" s="215"/>
      <c r="AE919" s="215"/>
      <c r="AF919" s="215"/>
      <c r="AG919" s="216"/>
      <c r="AJ919" s="214"/>
      <c r="AO919" s="214"/>
      <c r="AQ919" s="214"/>
      <c r="AU919" s="217"/>
      <c r="AV919" s="217"/>
      <c r="AW919" s="217"/>
    </row>
    <row r="920">
      <c r="C920" s="214"/>
      <c r="E920" s="215"/>
      <c r="F920" s="215"/>
      <c r="G920" s="215"/>
      <c r="H920" s="215"/>
      <c r="I920" s="215"/>
      <c r="J920" s="215"/>
      <c r="K920" s="215"/>
      <c r="L920" s="215"/>
      <c r="M920" s="215"/>
      <c r="N920" s="215"/>
      <c r="O920" s="215"/>
      <c r="P920" s="215"/>
      <c r="Q920" s="215"/>
      <c r="R920" s="215"/>
      <c r="S920" s="215"/>
      <c r="T920" s="215"/>
      <c r="U920" s="215"/>
      <c r="V920" s="215"/>
      <c r="W920" s="215"/>
      <c r="X920" s="215"/>
      <c r="Y920" s="215"/>
      <c r="Z920" s="215"/>
      <c r="AA920" s="215"/>
      <c r="AB920" s="215"/>
      <c r="AC920" s="215"/>
      <c r="AD920" s="215"/>
      <c r="AE920" s="215"/>
      <c r="AF920" s="215"/>
      <c r="AG920" s="216"/>
      <c r="AJ920" s="214"/>
      <c r="AO920" s="214"/>
      <c r="AQ920" s="214"/>
      <c r="AU920" s="217"/>
      <c r="AV920" s="217"/>
      <c r="AW920" s="217"/>
    </row>
    <row r="921">
      <c r="C921" s="214"/>
      <c r="E921" s="215"/>
      <c r="F921" s="215"/>
      <c r="G921" s="215"/>
      <c r="H921" s="215"/>
      <c r="I921" s="215"/>
      <c r="J921" s="215"/>
      <c r="K921" s="215"/>
      <c r="L921" s="215"/>
      <c r="M921" s="215"/>
      <c r="N921" s="215"/>
      <c r="O921" s="215"/>
      <c r="P921" s="215"/>
      <c r="Q921" s="215"/>
      <c r="R921" s="215"/>
      <c r="S921" s="215"/>
      <c r="T921" s="215"/>
      <c r="U921" s="215"/>
      <c r="V921" s="215"/>
      <c r="W921" s="215"/>
      <c r="X921" s="215"/>
      <c r="Y921" s="215"/>
      <c r="Z921" s="215"/>
      <c r="AA921" s="215"/>
      <c r="AB921" s="215"/>
      <c r="AC921" s="215"/>
      <c r="AD921" s="215"/>
      <c r="AE921" s="215"/>
      <c r="AF921" s="215"/>
      <c r="AG921" s="216"/>
      <c r="AJ921" s="214"/>
      <c r="AO921" s="214"/>
      <c r="AQ921" s="214"/>
      <c r="AU921" s="217"/>
      <c r="AV921" s="217"/>
      <c r="AW921" s="217"/>
    </row>
    <row r="922">
      <c r="C922" s="214"/>
      <c r="E922" s="215"/>
      <c r="F922" s="215"/>
      <c r="G922" s="215"/>
      <c r="H922" s="215"/>
      <c r="I922" s="215"/>
      <c r="J922" s="215"/>
      <c r="K922" s="215"/>
      <c r="L922" s="215"/>
      <c r="M922" s="215"/>
      <c r="N922" s="215"/>
      <c r="O922" s="215"/>
      <c r="P922" s="215"/>
      <c r="Q922" s="215"/>
      <c r="R922" s="215"/>
      <c r="S922" s="215"/>
      <c r="T922" s="215"/>
      <c r="U922" s="215"/>
      <c r="V922" s="215"/>
      <c r="W922" s="215"/>
      <c r="X922" s="215"/>
      <c r="Y922" s="215"/>
      <c r="Z922" s="215"/>
      <c r="AA922" s="215"/>
      <c r="AB922" s="215"/>
      <c r="AC922" s="215"/>
      <c r="AD922" s="215"/>
      <c r="AE922" s="215"/>
      <c r="AF922" s="215"/>
      <c r="AG922" s="216"/>
      <c r="AJ922" s="214"/>
      <c r="AO922" s="214"/>
      <c r="AQ922" s="214"/>
      <c r="AU922" s="217"/>
      <c r="AV922" s="217"/>
      <c r="AW922" s="217"/>
    </row>
    <row r="923">
      <c r="C923" s="214"/>
      <c r="E923" s="215"/>
      <c r="F923" s="215"/>
      <c r="G923" s="215"/>
      <c r="H923" s="215"/>
      <c r="I923" s="215"/>
      <c r="J923" s="215"/>
      <c r="K923" s="215"/>
      <c r="L923" s="215"/>
      <c r="M923" s="215"/>
      <c r="N923" s="215"/>
      <c r="O923" s="215"/>
      <c r="P923" s="215"/>
      <c r="Q923" s="215"/>
      <c r="R923" s="215"/>
      <c r="S923" s="215"/>
      <c r="T923" s="215"/>
      <c r="U923" s="215"/>
      <c r="V923" s="215"/>
      <c r="W923" s="215"/>
      <c r="X923" s="215"/>
      <c r="Y923" s="215"/>
      <c r="Z923" s="215"/>
      <c r="AA923" s="215"/>
      <c r="AB923" s="215"/>
      <c r="AC923" s="215"/>
      <c r="AD923" s="215"/>
      <c r="AE923" s="215"/>
      <c r="AF923" s="215"/>
      <c r="AG923" s="216"/>
      <c r="AJ923" s="214"/>
      <c r="AO923" s="214"/>
      <c r="AQ923" s="214"/>
      <c r="AU923" s="217"/>
      <c r="AV923" s="217"/>
      <c r="AW923" s="217"/>
    </row>
    <row r="924">
      <c r="C924" s="214"/>
      <c r="E924" s="215"/>
      <c r="F924" s="215"/>
      <c r="G924" s="215"/>
      <c r="H924" s="215"/>
      <c r="I924" s="215"/>
      <c r="J924" s="215"/>
      <c r="K924" s="215"/>
      <c r="L924" s="215"/>
      <c r="M924" s="215"/>
      <c r="N924" s="215"/>
      <c r="O924" s="215"/>
      <c r="P924" s="215"/>
      <c r="Q924" s="215"/>
      <c r="R924" s="215"/>
      <c r="S924" s="215"/>
      <c r="T924" s="215"/>
      <c r="U924" s="215"/>
      <c r="V924" s="215"/>
      <c r="W924" s="215"/>
      <c r="X924" s="215"/>
      <c r="Y924" s="215"/>
      <c r="Z924" s="215"/>
      <c r="AA924" s="215"/>
      <c r="AB924" s="215"/>
      <c r="AC924" s="215"/>
      <c r="AD924" s="215"/>
      <c r="AE924" s="215"/>
      <c r="AF924" s="215"/>
      <c r="AG924" s="216"/>
      <c r="AJ924" s="214"/>
      <c r="AO924" s="214"/>
      <c r="AQ924" s="214"/>
      <c r="AU924" s="217"/>
      <c r="AV924" s="217"/>
      <c r="AW924" s="217"/>
    </row>
    <row r="925">
      <c r="C925" s="214"/>
      <c r="E925" s="215"/>
      <c r="F925" s="215"/>
      <c r="G925" s="215"/>
      <c r="H925" s="215"/>
      <c r="I925" s="215"/>
      <c r="J925" s="215"/>
      <c r="K925" s="215"/>
      <c r="L925" s="215"/>
      <c r="M925" s="215"/>
      <c r="N925" s="215"/>
      <c r="O925" s="215"/>
      <c r="P925" s="215"/>
      <c r="Q925" s="215"/>
      <c r="R925" s="215"/>
      <c r="S925" s="215"/>
      <c r="T925" s="215"/>
      <c r="U925" s="215"/>
      <c r="V925" s="215"/>
      <c r="W925" s="215"/>
      <c r="X925" s="215"/>
      <c r="Y925" s="215"/>
      <c r="Z925" s="215"/>
      <c r="AA925" s="215"/>
      <c r="AB925" s="215"/>
      <c r="AC925" s="215"/>
      <c r="AD925" s="215"/>
      <c r="AE925" s="215"/>
      <c r="AF925" s="215"/>
      <c r="AG925" s="216"/>
      <c r="AJ925" s="214"/>
      <c r="AO925" s="214"/>
      <c r="AQ925" s="214"/>
      <c r="AU925" s="217"/>
      <c r="AV925" s="217"/>
      <c r="AW925" s="217"/>
    </row>
    <row r="926">
      <c r="C926" s="214"/>
      <c r="E926" s="215"/>
      <c r="F926" s="215"/>
      <c r="G926" s="215"/>
      <c r="H926" s="215"/>
      <c r="I926" s="215"/>
      <c r="J926" s="215"/>
      <c r="K926" s="215"/>
      <c r="L926" s="215"/>
      <c r="M926" s="215"/>
      <c r="N926" s="215"/>
      <c r="O926" s="215"/>
      <c r="P926" s="215"/>
      <c r="Q926" s="215"/>
      <c r="R926" s="215"/>
      <c r="S926" s="215"/>
      <c r="T926" s="215"/>
      <c r="U926" s="215"/>
      <c r="V926" s="215"/>
      <c r="W926" s="215"/>
      <c r="X926" s="215"/>
      <c r="Y926" s="215"/>
      <c r="Z926" s="215"/>
      <c r="AA926" s="215"/>
      <c r="AB926" s="215"/>
      <c r="AC926" s="215"/>
      <c r="AD926" s="215"/>
      <c r="AE926" s="215"/>
      <c r="AF926" s="215"/>
      <c r="AG926" s="216"/>
      <c r="AJ926" s="214"/>
      <c r="AO926" s="214"/>
      <c r="AQ926" s="214"/>
      <c r="AU926" s="217"/>
      <c r="AV926" s="217"/>
      <c r="AW926" s="217"/>
    </row>
    <row r="927">
      <c r="C927" s="214"/>
      <c r="E927" s="215"/>
      <c r="F927" s="215"/>
      <c r="G927" s="215"/>
      <c r="H927" s="215"/>
      <c r="I927" s="215"/>
      <c r="J927" s="215"/>
      <c r="K927" s="215"/>
      <c r="L927" s="215"/>
      <c r="M927" s="215"/>
      <c r="N927" s="215"/>
      <c r="O927" s="215"/>
      <c r="P927" s="215"/>
      <c r="Q927" s="215"/>
      <c r="R927" s="215"/>
      <c r="S927" s="215"/>
      <c r="T927" s="215"/>
      <c r="U927" s="215"/>
      <c r="V927" s="215"/>
      <c r="W927" s="215"/>
      <c r="X927" s="215"/>
      <c r="Y927" s="215"/>
      <c r="Z927" s="215"/>
      <c r="AA927" s="215"/>
      <c r="AB927" s="215"/>
      <c r="AC927" s="215"/>
      <c r="AD927" s="215"/>
      <c r="AE927" s="215"/>
      <c r="AF927" s="215"/>
      <c r="AG927" s="216"/>
      <c r="AJ927" s="214"/>
      <c r="AO927" s="214"/>
      <c r="AQ927" s="214"/>
      <c r="AU927" s="217"/>
      <c r="AV927" s="217"/>
      <c r="AW927" s="217"/>
    </row>
    <row r="928">
      <c r="C928" s="214"/>
      <c r="E928" s="215"/>
      <c r="F928" s="215"/>
      <c r="G928" s="215"/>
      <c r="H928" s="215"/>
      <c r="I928" s="215"/>
      <c r="J928" s="215"/>
      <c r="K928" s="215"/>
      <c r="L928" s="215"/>
      <c r="M928" s="215"/>
      <c r="N928" s="215"/>
      <c r="O928" s="215"/>
      <c r="P928" s="215"/>
      <c r="Q928" s="215"/>
      <c r="R928" s="215"/>
      <c r="S928" s="215"/>
      <c r="T928" s="215"/>
      <c r="U928" s="215"/>
      <c r="V928" s="215"/>
      <c r="W928" s="215"/>
      <c r="X928" s="215"/>
      <c r="Y928" s="215"/>
      <c r="Z928" s="215"/>
      <c r="AA928" s="215"/>
      <c r="AB928" s="215"/>
      <c r="AC928" s="215"/>
      <c r="AD928" s="215"/>
      <c r="AE928" s="215"/>
      <c r="AF928" s="215"/>
      <c r="AG928" s="216"/>
      <c r="AJ928" s="214"/>
      <c r="AO928" s="214"/>
      <c r="AQ928" s="214"/>
      <c r="AU928" s="217"/>
      <c r="AV928" s="217"/>
      <c r="AW928" s="217"/>
    </row>
    <row r="929">
      <c r="C929" s="214"/>
      <c r="E929" s="215"/>
      <c r="F929" s="215"/>
      <c r="G929" s="215"/>
      <c r="H929" s="215"/>
      <c r="I929" s="215"/>
      <c r="J929" s="215"/>
      <c r="K929" s="215"/>
      <c r="L929" s="215"/>
      <c r="M929" s="215"/>
      <c r="N929" s="215"/>
      <c r="O929" s="215"/>
      <c r="P929" s="215"/>
      <c r="Q929" s="215"/>
      <c r="R929" s="215"/>
      <c r="S929" s="215"/>
      <c r="T929" s="215"/>
      <c r="U929" s="215"/>
      <c r="V929" s="215"/>
      <c r="W929" s="215"/>
      <c r="X929" s="215"/>
      <c r="Y929" s="215"/>
      <c r="Z929" s="215"/>
      <c r="AA929" s="215"/>
      <c r="AB929" s="215"/>
      <c r="AC929" s="215"/>
      <c r="AD929" s="215"/>
      <c r="AE929" s="215"/>
      <c r="AF929" s="215"/>
      <c r="AG929" s="216"/>
      <c r="AJ929" s="214"/>
      <c r="AO929" s="214"/>
      <c r="AQ929" s="214"/>
      <c r="AU929" s="217"/>
      <c r="AV929" s="217"/>
      <c r="AW929" s="217"/>
    </row>
    <row r="930">
      <c r="C930" s="214"/>
      <c r="E930" s="215"/>
      <c r="F930" s="215"/>
      <c r="G930" s="215"/>
      <c r="H930" s="215"/>
      <c r="I930" s="215"/>
      <c r="J930" s="215"/>
      <c r="K930" s="215"/>
      <c r="L930" s="215"/>
      <c r="M930" s="215"/>
      <c r="N930" s="215"/>
      <c r="O930" s="215"/>
      <c r="P930" s="215"/>
      <c r="Q930" s="215"/>
      <c r="R930" s="215"/>
      <c r="S930" s="215"/>
      <c r="T930" s="215"/>
      <c r="U930" s="215"/>
      <c r="V930" s="215"/>
      <c r="W930" s="215"/>
      <c r="X930" s="215"/>
      <c r="Y930" s="215"/>
      <c r="Z930" s="215"/>
      <c r="AA930" s="215"/>
      <c r="AB930" s="215"/>
      <c r="AC930" s="215"/>
      <c r="AD930" s="215"/>
      <c r="AE930" s="215"/>
      <c r="AF930" s="215"/>
      <c r="AG930" s="216"/>
      <c r="AJ930" s="214"/>
      <c r="AO930" s="214"/>
      <c r="AQ930" s="214"/>
      <c r="AU930" s="217"/>
      <c r="AV930" s="217"/>
      <c r="AW930" s="217"/>
    </row>
    <row r="931">
      <c r="C931" s="214"/>
      <c r="E931" s="215"/>
      <c r="F931" s="215"/>
      <c r="G931" s="215"/>
      <c r="H931" s="215"/>
      <c r="I931" s="215"/>
      <c r="J931" s="215"/>
      <c r="K931" s="215"/>
      <c r="L931" s="215"/>
      <c r="M931" s="215"/>
      <c r="N931" s="215"/>
      <c r="O931" s="215"/>
      <c r="P931" s="215"/>
      <c r="Q931" s="215"/>
      <c r="R931" s="215"/>
      <c r="S931" s="215"/>
      <c r="T931" s="215"/>
      <c r="U931" s="215"/>
      <c r="V931" s="215"/>
      <c r="W931" s="215"/>
      <c r="X931" s="215"/>
      <c r="Y931" s="215"/>
      <c r="Z931" s="215"/>
      <c r="AA931" s="215"/>
      <c r="AB931" s="215"/>
      <c r="AC931" s="215"/>
      <c r="AD931" s="215"/>
      <c r="AE931" s="215"/>
      <c r="AF931" s="215"/>
      <c r="AG931" s="216"/>
      <c r="AJ931" s="214"/>
      <c r="AO931" s="214"/>
      <c r="AQ931" s="214"/>
      <c r="AU931" s="217"/>
      <c r="AV931" s="217"/>
      <c r="AW931" s="217"/>
    </row>
    <row r="932">
      <c r="C932" s="214"/>
      <c r="E932" s="215"/>
      <c r="F932" s="215"/>
      <c r="G932" s="215"/>
      <c r="H932" s="215"/>
      <c r="I932" s="215"/>
      <c r="J932" s="215"/>
      <c r="K932" s="215"/>
      <c r="L932" s="215"/>
      <c r="M932" s="215"/>
      <c r="N932" s="215"/>
      <c r="O932" s="215"/>
      <c r="P932" s="215"/>
      <c r="Q932" s="215"/>
      <c r="R932" s="215"/>
      <c r="S932" s="215"/>
      <c r="T932" s="215"/>
      <c r="U932" s="215"/>
      <c r="V932" s="215"/>
      <c r="W932" s="215"/>
      <c r="X932" s="215"/>
      <c r="Y932" s="215"/>
      <c r="Z932" s="215"/>
      <c r="AA932" s="215"/>
      <c r="AB932" s="215"/>
      <c r="AC932" s="215"/>
      <c r="AD932" s="215"/>
      <c r="AE932" s="215"/>
      <c r="AF932" s="215"/>
      <c r="AG932" s="216"/>
      <c r="AJ932" s="214"/>
      <c r="AO932" s="214"/>
      <c r="AQ932" s="214"/>
      <c r="AU932" s="217"/>
      <c r="AV932" s="217"/>
      <c r="AW932" s="217"/>
    </row>
    <row r="933">
      <c r="C933" s="214"/>
      <c r="E933" s="215"/>
      <c r="F933" s="215"/>
      <c r="G933" s="215"/>
      <c r="H933" s="215"/>
      <c r="I933" s="215"/>
      <c r="J933" s="215"/>
      <c r="K933" s="215"/>
      <c r="L933" s="215"/>
      <c r="M933" s="215"/>
      <c r="N933" s="215"/>
      <c r="O933" s="215"/>
      <c r="P933" s="215"/>
      <c r="Q933" s="215"/>
      <c r="R933" s="215"/>
      <c r="S933" s="215"/>
      <c r="T933" s="215"/>
      <c r="U933" s="215"/>
      <c r="V933" s="215"/>
      <c r="W933" s="215"/>
      <c r="X933" s="215"/>
      <c r="Y933" s="215"/>
      <c r="Z933" s="215"/>
      <c r="AA933" s="215"/>
      <c r="AB933" s="215"/>
      <c r="AC933" s="215"/>
      <c r="AD933" s="215"/>
      <c r="AE933" s="215"/>
      <c r="AF933" s="215"/>
      <c r="AG933" s="216"/>
      <c r="AJ933" s="214"/>
      <c r="AO933" s="214"/>
      <c r="AQ933" s="214"/>
      <c r="AU933" s="217"/>
      <c r="AV933" s="217"/>
      <c r="AW933" s="217"/>
    </row>
    <row r="934">
      <c r="C934" s="214"/>
      <c r="E934" s="215"/>
      <c r="F934" s="215"/>
      <c r="G934" s="215"/>
      <c r="H934" s="215"/>
      <c r="I934" s="215"/>
      <c r="J934" s="215"/>
      <c r="K934" s="215"/>
      <c r="L934" s="215"/>
      <c r="M934" s="215"/>
      <c r="N934" s="215"/>
      <c r="O934" s="215"/>
      <c r="P934" s="215"/>
      <c r="Q934" s="215"/>
      <c r="R934" s="215"/>
      <c r="S934" s="215"/>
      <c r="T934" s="215"/>
      <c r="U934" s="215"/>
      <c r="V934" s="215"/>
      <c r="W934" s="215"/>
      <c r="X934" s="215"/>
      <c r="Y934" s="215"/>
      <c r="Z934" s="215"/>
      <c r="AA934" s="215"/>
      <c r="AB934" s="215"/>
      <c r="AC934" s="215"/>
      <c r="AD934" s="215"/>
      <c r="AE934" s="215"/>
      <c r="AF934" s="215"/>
      <c r="AG934" s="216"/>
      <c r="AJ934" s="214"/>
      <c r="AO934" s="214"/>
      <c r="AQ934" s="214"/>
      <c r="AU934" s="217"/>
      <c r="AV934" s="217"/>
      <c r="AW934" s="217"/>
    </row>
    <row r="935">
      <c r="C935" s="214"/>
      <c r="E935" s="215"/>
      <c r="F935" s="215"/>
      <c r="G935" s="215"/>
      <c r="H935" s="215"/>
      <c r="I935" s="215"/>
      <c r="J935" s="215"/>
      <c r="K935" s="215"/>
      <c r="L935" s="215"/>
      <c r="M935" s="215"/>
      <c r="N935" s="215"/>
      <c r="O935" s="215"/>
      <c r="P935" s="215"/>
      <c r="Q935" s="215"/>
      <c r="R935" s="215"/>
      <c r="S935" s="215"/>
      <c r="T935" s="215"/>
      <c r="U935" s="215"/>
      <c r="V935" s="215"/>
      <c r="W935" s="215"/>
      <c r="X935" s="215"/>
      <c r="Y935" s="215"/>
      <c r="Z935" s="215"/>
      <c r="AA935" s="215"/>
      <c r="AB935" s="215"/>
      <c r="AC935" s="215"/>
      <c r="AD935" s="215"/>
      <c r="AE935" s="215"/>
      <c r="AF935" s="215"/>
      <c r="AG935" s="216"/>
      <c r="AJ935" s="214"/>
      <c r="AO935" s="214"/>
      <c r="AQ935" s="214"/>
      <c r="AU935" s="217"/>
      <c r="AV935" s="217"/>
      <c r="AW935" s="217"/>
    </row>
    <row r="936">
      <c r="C936" s="214"/>
      <c r="E936" s="215"/>
      <c r="F936" s="215"/>
      <c r="G936" s="215"/>
      <c r="H936" s="215"/>
      <c r="I936" s="215"/>
      <c r="J936" s="215"/>
      <c r="K936" s="215"/>
      <c r="L936" s="215"/>
      <c r="M936" s="215"/>
      <c r="N936" s="215"/>
      <c r="O936" s="215"/>
      <c r="P936" s="215"/>
      <c r="Q936" s="215"/>
      <c r="R936" s="215"/>
      <c r="S936" s="215"/>
      <c r="T936" s="215"/>
      <c r="U936" s="215"/>
      <c r="V936" s="215"/>
      <c r="W936" s="215"/>
      <c r="X936" s="215"/>
      <c r="Y936" s="215"/>
      <c r="Z936" s="215"/>
      <c r="AA936" s="215"/>
      <c r="AB936" s="215"/>
      <c r="AC936" s="215"/>
      <c r="AD936" s="215"/>
      <c r="AE936" s="215"/>
      <c r="AF936" s="215"/>
      <c r="AG936" s="216"/>
      <c r="AJ936" s="214"/>
      <c r="AO936" s="214"/>
      <c r="AQ936" s="214"/>
      <c r="AU936" s="217"/>
      <c r="AV936" s="217"/>
      <c r="AW936" s="217"/>
    </row>
    <row r="937">
      <c r="C937" s="214"/>
      <c r="E937" s="215"/>
      <c r="F937" s="215"/>
      <c r="G937" s="215"/>
      <c r="H937" s="215"/>
      <c r="I937" s="215"/>
      <c r="J937" s="215"/>
      <c r="K937" s="215"/>
      <c r="L937" s="215"/>
      <c r="M937" s="215"/>
      <c r="N937" s="215"/>
      <c r="O937" s="215"/>
      <c r="P937" s="215"/>
      <c r="Q937" s="215"/>
      <c r="R937" s="215"/>
      <c r="S937" s="215"/>
      <c r="T937" s="215"/>
      <c r="U937" s="215"/>
      <c r="V937" s="215"/>
      <c r="W937" s="215"/>
      <c r="X937" s="215"/>
      <c r="Y937" s="215"/>
      <c r="Z937" s="215"/>
      <c r="AA937" s="215"/>
      <c r="AB937" s="215"/>
      <c r="AC937" s="215"/>
      <c r="AD937" s="215"/>
      <c r="AE937" s="215"/>
      <c r="AF937" s="215"/>
      <c r="AG937" s="216"/>
      <c r="AJ937" s="214"/>
      <c r="AO937" s="214"/>
      <c r="AQ937" s="214"/>
      <c r="AU937" s="217"/>
      <c r="AV937" s="217"/>
      <c r="AW937" s="217"/>
    </row>
    <row r="938">
      <c r="C938" s="214"/>
      <c r="E938" s="215"/>
      <c r="F938" s="215"/>
      <c r="G938" s="215"/>
      <c r="H938" s="215"/>
      <c r="I938" s="215"/>
      <c r="J938" s="215"/>
      <c r="K938" s="215"/>
      <c r="L938" s="215"/>
      <c r="M938" s="215"/>
      <c r="N938" s="215"/>
      <c r="O938" s="215"/>
      <c r="P938" s="215"/>
      <c r="Q938" s="215"/>
      <c r="R938" s="215"/>
      <c r="S938" s="215"/>
      <c r="T938" s="215"/>
      <c r="U938" s="215"/>
      <c r="V938" s="215"/>
      <c r="W938" s="215"/>
      <c r="X938" s="215"/>
      <c r="Y938" s="215"/>
      <c r="Z938" s="215"/>
      <c r="AA938" s="215"/>
      <c r="AB938" s="215"/>
      <c r="AC938" s="215"/>
      <c r="AD938" s="215"/>
      <c r="AE938" s="215"/>
      <c r="AF938" s="215"/>
      <c r="AG938" s="216"/>
      <c r="AJ938" s="214"/>
      <c r="AO938" s="214"/>
      <c r="AQ938" s="214"/>
      <c r="AU938" s="217"/>
      <c r="AV938" s="217"/>
      <c r="AW938" s="217"/>
    </row>
    <row r="939">
      <c r="C939" s="214"/>
      <c r="E939" s="215"/>
      <c r="F939" s="215"/>
      <c r="G939" s="215"/>
      <c r="H939" s="215"/>
      <c r="I939" s="215"/>
      <c r="J939" s="215"/>
      <c r="K939" s="215"/>
      <c r="L939" s="215"/>
      <c r="M939" s="215"/>
      <c r="N939" s="215"/>
      <c r="O939" s="215"/>
      <c r="P939" s="215"/>
      <c r="Q939" s="215"/>
      <c r="R939" s="215"/>
      <c r="S939" s="215"/>
      <c r="T939" s="215"/>
      <c r="U939" s="215"/>
      <c r="V939" s="215"/>
      <c r="W939" s="215"/>
      <c r="X939" s="215"/>
      <c r="Y939" s="215"/>
      <c r="Z939" s="215"/>
      <c r="AA939" s="215"/>
      <c r="AB939" s="215"/>
      <c r="AC939" s="215"/>
      <c r="AD939" s="215"/>
      <c r="AE939" s="215"/>
      <c r="AF939" s="215"/>
      <c r="AG939" s="216"/>
      <c r="AJ939" s="214"/>
      <c r="AO939" s="214"/>
      <c r="AQ939" s="214"/>
      <c r="AU939" s="217"/>
      <c r="AV939" s="217"/>
      <c r="AW939" s="217"/>
    </row>
    <row r="940">
      <c r="C940" s="214"/>
      <c r="E940" s="215"/>
      <c r="F940" s="215"/>
      <c r="G940" s="215"/>
      <c r="H940" s="215"/>
      <c r="I940" s="215"/>
      <c r="J940" s="215"/>
      <c r="K940" s="215"/>
      <c r="L940" s="215"/>
      <c r="M940" s="215"/>
      <c r="N940" s="215"/>
      <c r="O940" s="215"/>
      <c r="P940" s="215"/>
      <c r="Q940" s="215"/>
      <c r="R940" s="215"/>
      <c r="S940" s="215"/>
      <c r="T940" s="215"/>
      <c r="U940" s="215"/>
      <c r="V940" s="215"/>
      <c r="W940" s="215"/>
      <c r="X940" s="215"/>
      <c r="Y940" s="215"/>
      <c r="Z940" s="215"/>
      <c r="AA940" s="215"/>
      <c r="AB940" s="215"/>
      <c r="AC940" s="215"/>
      <c r="AD940" s="215"/>
      <c r="AE940" s="215"/>
      <c r="AF940" s="215"/>
      <c r="AG940" s="216"/>
      <c r="AJ940" s="214"/>
      <c r="AO940" s="214"/>
      <c r="AQ940" s="214"/>
      <c r="AU940" s="217"/>
      <c r="AV940" s="217"/>
      <c r="AW940" s="217"/>
    </row>
    <row r="941">
      <c r="C941" s="214"/>
      <c r="E941" s="215"/>
      <c r="F941" s="215"/>
      <c r="G941" s="215"/>
      <c r="H941" s="215"/>
      <c r="I941" s="215"/>
      <c r="J941" s="215"/>
      <c r="K941" s="215"/>
      <c r="L941" s="215"/>
      <c r="M941" s="215"/>
      <c r="N941" s="215"/>
      <c r="O941" s="215"/>
      <c r="P941" s="215"/>
      <c r="Q941" s="215"/>
      <c r="R941" s="215"/>
      <c r="S941" s="215"/>
      <c r="T941" s="215"/>
      <c r="U941" s="215"/>
      <c r="V941" s="215"/>
      <c r="W941" s="215"/>
      <c r="X941" s="215"/>
      <c r="Y941" s="215"/>
      <c r="Z941" s="215"/>
      <c r="AA941" s="215"/>
      <c r="AB941" s="215"/>
      <c r="AC941" s="215"/>
      <c r="AD941" s="215"/>
      <c r="AE941" s="215"/>
      <c r="AF941" s="215"/>
      <c r="AG941" s="216"/>
      <c r="AJ941" s="214"/>
      <c r="AO941" s="214"/>
      <c r="AQ941" s="214"/>
      <c r="AU941" s="217"/>
      <c r="AV941" s="217"/>
      <c r="AW941" s="217"/>
    </row>
    <row r="942">
      <c r="C942" s="214"/>
      <c r="E942" s="215"/>
      <c r="F942" s="215"/>
      <c r="G942" s="215"/>
      <c r="H942" s="215"/>
      <c r="I942" s="215"/>
      <c r="J942" s="215"/>
      <c r="K942" s="215"/>
      <c r="L942" s="215"/>
      <c r="M942" s="215"/>
      <c r="N942" s="215"/>
      <c r="O942" s="215"/>
      <c r="P942" s="215"/>
      <c r="Q942" s="215"/>
      <c r="R942" s="215"/>
      <c r="S942" s="215"/>
      <c r="T942" s="215"/>
      <c r="U942" s="215"/>
      <c r="V942" s="215"/>
      <c r="W942" s="215"/>
      <c r="X942" s="215"/>
      <c r="Y942" s="215"/>
      <c r="Z942" s="215"/>
      <c r="AA942" s="215"/>
      <c r="AB942" s="215"/>
      <c r="AC942" s="215"/>
      <c r="AD942" s="215"/>
      <c r="AE942" s="215"/>
      <c r="AF942" s="215"/>
      <c r="AG942" s="216"/>
      <c r="AJ942" s="214"/>
      <c r="AO942" s="214"/>
      <c r="AQ942" s="214"/>
      <c r="AU942" s="217"/>
      <c r="AV942" s="217"/>
      <c r="AW942" s="217"/>
    </row>
    <row r="943">
      <c r="C943" s="214"/>
      <c r="E943" s="215"/>
      <c r="F943" s="215"/>
      <c r="G943" s="215"/>
      <c r="H943" s="215"/>
      <c r="I943" s="215"/>
      <c r="J943" s="215"/>
      <c r="K943" s="215"/>
      <c r="L943" s="215"/>
      <c r="M943" s="215"/>
      <c r="N943" s="215"/>
      <c r="O943" s="215"/>
      <c r="P943" s="215"/>
      <c r="Q943" s="215"/>
      <c r="R943" s="215"/>
      <c r="S943" s="215"/>
      <c r="T943" s="215"/>
      <c r="U943" s="215"/>
      <c r="V943" s="215"/>
      <c r="W943" s="215"/>
      <c r="X943" s="215"/>
      <c r="Y943" s="215"/>
      <c r="Z943" s="215"/>
      <c r="AA943" s="215"/>
      <c r="AB943" s="215"/>
      <c r="AC943" s="215"/>
      <c r="AD943" s="215"/>
      <c r="AE943" s="215"/>
      <c r="AF943" s="215"/>
      <c r="AG943" s="216"/>
      <c r="AJ943" s="214"/>
      <c r="AO943" s="214"/>
      <c r="AQ943" s="214"/>
      <c r="AU943" s="217"/>
      <c r="AV943" s="217"/>
      <c r="AW943" s="217"/>
    </row>
    <row r="944">
      <c r="C944" s="214"/>
      <c r="E944" s="215"/>
      <c r="F944" s="215"/>
      <c r="G944" s="215"/>
      <c r="H944" s="215"/>
      <c r="I944" s="215"/>
      <c r="J944" s="215"/>
      <c r="K944" s="215"/>
      <c r="L944" s="215"/>
      <c r="M944" s="215"/>
      <c r="N944" s="215"/>
      <c r="O944" s="215"/>
      <c r="P944" s="215"/>
      <c r="Q944" s="215"/>
      <c r="R944" s="215"/>
      <c r="S944" s="215"/>
      <c r="T944" s="215"/>
      <c r="U944" s="215"/>
      <c r="V944" s="215"/>
      <c r="W944" s="215"/>
      <c r="X944" s="215"/>
      <c r="Y944" s="215"/>
      <c r="Z944" s="215"/>
      <c r="AA944" s="215"/>
      <c r="AB944" s="215"/>
      <c r="AC944" s="215"/>
      <c r="AD944" s="215"/>
      <c r="AE944" s="215"/>
      <c r="AF944" s="215"/>
      <c r="AG944" s="216"/>
      <c r="AJ944" s="214"/>
      <c r="AO944" s="214"/>
      <c r="AQ944" s="214"/>
      <c r="AU944" s="217"/>
      <c r="AV944" s="217"/>
      <c r="AW944" s="217"/>
    </row>
    <row r="945">
      <c r="C945" s="214"/>
      <c r="E945" s="215"/>
      <c r="F945" s="215"/>
      <c r="G945" s="215"/>
      <c r="H945" s="215"/>
      <c r="I945" s="215"/>
      <c r="J945" s="215"/>
      <c r="K945" s="215"/>
      <c r="L945" s="215"/>
      <c r="M945" s="215"/>
      <c r="N945" s="215"/>
      <c r="O945" s="215"/>
      <c r="P945" s="215"/>
      <c r="Q945" s="215"/>
      <c r="R945" s="215"/>
      <c r="S945" s="215"/>
      <c r="T945" s="215"/>
      <c r="U945" s="215"/>
      <c r="V945" s="215"/>
      <c r="W945" s="215"/>
      <c r="X945" s="215"/>
      <c r="Y945" s="215"/>
      <c r="Z945" s="215"/>
      <c r="AA945" s="215"/>
      <c r="AB945" s="215"/>
      <c r="AC945" s="215"/>
      <c r="AD945" s="215"/>
      <c r="AE945" s="215"/>
      <c r="AF945" s="215"/>
      <c r="AG945" s="216"/>
      <c r="AJ945" s="214"/>
      <c r="AO945" s="214"/>
      <c r="AQ945" s="214"/>
      <c r="AU945" s="217"/>
      <c r="AV945" s="217"/>
      <c r="AW945" s="217"/>
    </row>
    <row r="946">
      <c r="C946" s="214"/>
      <c r="E946" s="215"/>
      <c r="F946" s="215"/>
      <c r="G946" s="215"/>
      <c r="H946" s="215"/>
      <c r="I946" s="215"/>
      <c r="J946" s="215"/>
      <c r="K946" s="215"/>
      <c r="L946" s="215"/>
      <c r="M946" s="215"/>
      <c r="N946" s="215"/>
      <c r="O946" s="215"/>
      <c r="P946" s="215"/>
      <c r="Q946" s="215"/>
      <c r="R946" s="215"/>
      <c r="S946" s="215"/>
      <c r="T946" s="215"/>
      <c r="U946" s="215"/>
      <c r="V946" s="215"/>
      <c r="W946" s="215"/>
      <c r="X946" s="215"/>
      <c r="Y946" s="215"/>
      <c r="Z946" s="215"/>
      <c r="AA946" s="215"/>
      <c r="AB946" s="215"/>
      <c r="AC946" s="215"/>
      <c r="AD946" s="215"/>
      <c r="AE946" s="215"/>
      <c r="AF946" s="215"/>
      <c r="AG946" s="216"/>
      <c r="AJ946" s="214"/>
      <c r="AO946" s="214"/>
      <c r="AQ946" s="214"/>
      <c r="AU946" s="217"/>
      <c r="AV946" s="217"/>
      <c r="AW946" s="217"/>
    </row>
    <row r="947">
      <c r="C947" s="214"/>
      <c r="E947" s="215"/>
      <c r="F947" s="215"/>
      <c r="G947" s="215"/>
      <c r="H947" s="215"/>
      <c r="I947" s="215"/>
      <c r="J947" s="215"/>
      <c r="K947" s="215"/>
      <c r="L947" s="215"/>
      <c r="M947" s="215"/>
      <c r="N947" s="215"/>
      <c r="O947" s="215"/>
      <c r="P947" s="215"/>
      <c r="Q947" s="215"/>
      <c r="R947" s="215"/>
      <c r="S947" s="215"/>
      <c r="T947" s="215"/>
      <c r="U947" s="215"/>
      <c r="V947" s="215"/>
      <c r="W947" s="215"/>
      <c r="X947" s="215"/>
      <c r="Y947" s="215"/>
      <c r="Z947" s="215"/>
      <c r="AA947" s="215"/>
      <c r="AB947" s="215"/>
      <c r="AC947" s="215"/>
      <c r="AD947" s="215"/>
      <c r="AE947" s="215"/>
      <c r="AF947" s="215"/>
      <c r="AG947" s="216"/>
      <c r="AJ947" s="214"/>
      <c r="AO947" s="214"/>
      <c r="AQ947" s="214"/>
      <c r="AU947" s="217"/>
      <c r="AV947" s="217"/>
      <c r="AW947" s="217"/>
    </row>
    <row r="948">
      <c r="C948" s="214"/>
      <c r="E948" s="215"/>
      <c r="F948" s="215"/>
      <c r="G948" s="215"/>
      <c r="H948" s="215"/>
      <c r="I948" s="215"/>
      <c r="J948" s="215"/>
      <c r="K948" s="215"/>
      <c r="L948" s="215"/>
      <c r="M948" s="215"/>
      <c r="N948" s="215"/>
      <c r="O948" s="215"/>
      <c r="P948" s="215"/>
      <c r="Q948" s="215"/>
      <c r="R948" s="215"/>
      <c r="S948" s="215"/>
      <c r="T948" s="215"/>
      <c r="U948" s="215"/>
      <c r="V948" s="215"/>
      <c r="W948" s="215"/>
      <c r="X948" s="215"/>
      <c r="Y948" s="215"/>
      <c r="Z948" s="215"/>
      <c r="AA948" s="215"/>
      <c r="AB948" s="215"/>
      <c r="AC948" s="215"/>
      <c r="AD948" s="215"/>
      <c r="AE948" s="215"/>
      <c r="AF948" s="215"/>
      <c r="AG948" s="216"/>
      <c r="AJ948" s="214"/>
      <c r="AO948" s="214"/>
      <c r="AQ948" s="214"/>
      <c r="AU948" s="217"/>
      <c r="AV948" s="217"/>
      <c r="AW948" s="217"/>
    </row>
    <row r="949">
      <c r="C949" s="214"/>
      <c r="E949" s="215"/>
      <c r="F949" s="215"/>
      <c r="G949" s="215"/>
      <c r="H949" s="215"/>
      <c r="I949" s="215"/>
      <c r="J949" s="215"/>
      <c r="K949" s="215"/>
      <c r="L949" s="215"/>
      <c r="M949" s="215"/>
      <c r="N949" s="215"/>
      <c r="O949" s="215"/>
      <c r="P949" s="215"/>
      <c r="Q949" s="215"/>
      <c r="R949" s="215"/>
      <c r="S949" s="215"/>
      <c r="T949" s="215"/>
      <c r="U949" s="215"/>
      <c r="V949" s="215"/>
      <c r="W949" s="215"/>
      <c r="X949" s="215"/>
      <c r="Y949" s="215"/>
      <c r="Z949" s="215"/>
      <c r="AA949" s="215"/>
      <c r="AB949" s="215"/>
      <c r="AC949" s="215"/>
      <c r="AD949" s="215"/>
      <c r="AE949" s="215"/>
      <c r="AF949" s="215"/>
      <c r="AG949" s="216"/>
      <c r="AJ949" s="214"/>
      <c r="AO949" s="214"/>
      <c r="AQ949" s="214"/>
      <c r="AU949" s="217"/>
      <c r="AV949" s="217"/>
      <c r="AW949" s="217"/>
    </row>
    <row r="950">
      <c r="C950" s="214"/>
      <c r="E950" s="215"/>
      <c r="F950" s="215"/>
      <c r="G950" s="215"/>
      <c r="H950" s="215"/>
      <c r="I950" s="215"/>
      <c r="J950" s="215"/>
      <c r="K950" s="215"/>
      <c r="L950" s="215"/>
      <c r="M950" s="215"/>
      <c r="N950" s="215"/>
      <c r="O950" s="215"/>
      <c r="P950" s="215"/>
      <c r="Q950" s="215"/>
      <c r="R950" s="215"/>
      <c r="S950" s="215"/>
      <c r="T950" s="215"/>
      <c r="U950" s="215"/>
      <c r="V950" s="215"/>
      <c r="W950" s="215"/>
      <c r="X950" s="215"/>
      <c r="Y950" s="215"/>
      <c r="Z950" s="215"/>
      <c r="AA950" s="215"/>
      <c r="AB950" s="215"/>
      <c r="AC950" s="215"/>
      <c r="AD950" s="215"/>
      <c r="AE950" s="215"/>
      <c r="AF950" s="215"/>
      <c r="AG950" s="216"/>
      <c r="AJ950" s="214"/>
      <c r="AO950" s="214"/>
      <c r="AQ950" s="214"/>
      <c r="AU950" s="217"/>
      <c r="AV950" s="217"/>
      <c r="AW950" s="217"/>
    </row>
    <row r="951">
      <c r="C951" s="214"/>
      <c r="E951" s="215"/>
      <c r="F951" s="215"/>
      <c r="G951" s="215"/>
      <c r="H951" s="215"/>
      <c r="I951" s="215"/>
      <c r="J951" s="215"/>
      <c r="K951" s="215"/>
      <c r="L951" s="215"/>
      <c r="M951" s="215"/>
      <c r="N951" s="215"/>
      <c r="O951" s="215"/>
      <c r="P951" s="215"/>
      <c r="Q951" s="215"/>
      <c r="R951" s="215"/>
      <c r="S951" s="215"/>
      <c r="T951" s="215"/>
      <c r="U951" s="215"/>
      <c r="V951" s="215"/>
      <c r="W951" s="215"/>
      <c r="X951" s="215"/>
      <c r="Y951" s="215"/>
      <c r="Z951" s="215"/>
      <c r="AA951" s="215"/>
      <c r="AB951" s="215"/>
      <c r="AC951" s="215"/>
      <c r="AD951" s="215"/>
      <c r="AE951" s="215"/>
      <c r="AF951" s="215"/>
      <c r="AG951" s="216"/>
      <c r="AJ951" s="214"/>
      <c r="AO951" s="214"/>
      <c r="AQ951" s="214"/>
      <c r="AU951" s="217"/>
      <c r="AV951" s="217"/>
      <c r="AW951" s="217"/>
    </row>
    <row r="952">
      <c r="C952" s="214"/>
      <c r="E952" s="215"/>
      <c r="F952" s="215"/>
      <c r="G952" s="215"/>
      <c r="H952" s="215"/>
      <c r="I952" s="215"/>
      <c r="J952" s="215"/>
      <c r="K952" s="215"/>
      <c r="L952" s="215"/>
      <c r="M952" s="215"/>
      <c r="N952" s="215"/>
      <c r="O952" s="215"/>
      <c r="P952" s="215"/>
      <c r="Q952" s="215"/>
      <c r="R952" s="215"/>
      <c r="S952" s="215"/>
      <c r="T952" s="215"/>
      <c r="U952" s="215"/>
      <c r="V952" s="215"/>
      <c r="W952" s="215"/>
      <c r="X952" s="215"/>
      <c r="Y952" s="215"/>
      <c r="Z952" s="215"/>
      <c r="AA952" s="215"/>
      <c r="AB952" s="215"/>
      <c r="AC952" s="215"/>
      <c r="AD952" s="215"/>
      <c r="AE952" s="215"/>
      <c r="AF952" s="215"/>
      <c r="AG952" s="216"/>
      <c r="AJ952" s="214"/>
      <c r="AO952" s="214"/>
      <c r="AQ952" s="214"/>
      <c r="AU952" s="217"/>
      <c r="AV952" s="217"/>
      <c r="AW952" s="217"/>
    </row>
    <row r="953">
      <c r="C953" s="214"/>
      <c r="E953" s="215"/>
      <c r="F953" s="215"/>
      <c r="G953" s="215"/>
      <c r="H953" s="215"/>
      <c r="I953" s="215"/>
      <c r="J953" s="215"/>
      <c r="K953" s="215"/>
      <c r="L953" s="215"/>
      <c r="M953" s="215"/>
      <c r="N953" s="215"/>
      <c r="O953" s="215"/>
      <c r="P953" s="215"/>
      <c r="Q953" s="215"/>
      <c r="R953" s="215"/>
      <c r="S953" s="215"/>
      <c r="T953" s="215"/>
      <c r="U953" s="215"/>
      <c r="V953" s="215"/>
      <c r="W953" s="215"/>
      <c r="X953" s="215"/>
      <c r="Y953" s="215"/>
      <c r="Z953" s="215"/>
      <c r="AA953" s="215"/>
      <c r="AB953" s="215"/>
      <c r="AC953" s="215"/>
      <c r="AD953" s="215"/>
      <c r="AE953" s="215"/>
      <c r="AF953" s="215"/>
      <c r="AG953" s="216"/>
      <c r="AJ953" s="214"/>
      <c r="AO953" s="214"/>
      <c r="AQ953" s="214"/>
      <c r="AU953" s="217"/>
      <c r="AV953" s="217"/>
      <c r="AW953" s="217"/>
    </row>
    <row r="954">
      <c r="C954" s="214"/>
      <c r="E954" s="215"/>
      <c r="F954" s="215"/>
      <c r="G954" s="215"/>
      <c r="H954" s="215"/>
      <c r="I954" s="215"/>
      <c r="J954" s="215"/>
      <c r="K954" s="215"/>
      <c r="L954" s="215"/>
      <c r="M954" s="215"/>
      <c r="N954" s="215"/>
      <c r="O954" s="215"/>
      <c r="P954" s="215"/>
      <c r="Q954" s="215"/>
      <c r="R954" s="215"/>
      <c r="S954" s="215"/>
      <c r="T954" s="215"/>
      <c r="U954" s="215"/>
      <c r="V954" s="215"/>
      <c r="W954" s="215"/>
      <c r="X954" s="215"/>
      <c r="Y954" s="215"/>
      <c r="Z954" s="215"/>
      <c r="AA954" s="215"/>
      <c r="AB954" s="215"/>
      <c r="AC954" s="215"/>
      <c r="AD954" s="215"/>
      <c r="AE954" s="215"/>
      <c r="AF954" s="215"/>
      <c r="AG954" s="216"/>
      <c r="AJ954" s="214"/>
      <c r="AO954" s="214"/>
      <c r="AQ954" s="214"/>
      <c r="AU954" s="217"/>
      <c r="AV954" s="217"/>
      <c r="AW954" s="217"/>
    </row>
    <row r="955">
      <c r="C955" s="214"/>
      <c r="E955" s="215"/>
      <c r="F955" s="215"/>
      <c r="G955" s="215"/>
      <c r="H955" s="215"/>
      <c r="I955" s="215"/>
      <c r="J955" s="215"/>
      <c r="K955" s="215"/>
      <c r="L955" s="215"/>
      <c r="M955" s="215"/>
      <c r="N955" s="215"/>
      <c r="O955" s="215"/>
      <c r="P955" s="215"/>
      <c r="Q955" s="215"/>
      <c r="R955" s="215"/>
      <c r="S955" s="215"/>
      <c r="T955" s="215"/>
      <c r="U955" s="215"/>
      <c r="V955" s="215"/>
      <c r="W955" s="215"/>
      <c r="X955" s="215"/>
      <c r="Y955" s="215"/>
      <c r="Z955" s="215"/>
      <c r="AA955" s="215"/>
      <c r="AB955" s="215"/>
      <c r="AC955" s="215"/>
      <c r="AD955" s="215"/>
      <c r="AE955" s="215"/>
      <c r="AF955" s="215"/>
      <c r="AG955" s="216"/>
      <c r="AJ955" s="214"/>
      <c r="AO955" s="214"/>
      <c r="AQ955" s="214"/>
      <c r="AU955" s="217"/>
      <c r="AV955" s="217"/>
      <c r="AW955" s="217"/>
    </row>
    <row r="956">
      <c r="C956" s="214"/>
      <c r="E956" s="215"/>
      <c r="F956" s="215"/>
      <c r="G956" s="215"/>
      <c r="H956" s="215"/>
      <c r="I956" s="215"/>
      <c r="J956" s="215"/>
      <c r="K956" s="215"/>
      <c r="L956" s="215"/>
      <c r="M956" s="215"/>
      <c r="N956" s="215"/>
      <c r="O956" s="215"/>
      <c r="P956" s="215"/>
      <c r="Q956" s="215"/>
      <c r="R956" s="215"/>
      <c r="S956" s="215"/>
      <c r="T956" s="215"/>
      <c r="U956" s="215"/>
      <c r="V956" s="215"/>
      <c r="W956" s="215"/>
      <c r="X956" s="215"/>
      <c r="Y956" s="215"/>
      <c r="Z956" s="215"/>
      <c r="AA956" s="215"/>
      <c r="AB956" s="215"/>
      <c r="AC956" s="215"/>
      <c r="AD956" s="215"/>
      <c r="AE956" s="215"/>
      <c r="AF956" s="215"/>
      <c r="AG956" s="216"/>
      <c r="AJ956" s="214"/>
      <c r="AO956" s="214"/>
      <c r="AQ956" s="214"/>
      <c r="AU956" s="217"/>
      <c r="AV956" s="217"/>
      <c r="AW956" s="217"/>
    </row>
    <row r="957">
      <c r="C957" s="214"/>
      <c r="E957" s="215"/>
      <c r="F957" s="215"/>
      <c r="G957" s="215"/>
      <c r="H957" s="215"/>
      <c r="I957" s="215"/>
      <c r="J957" s="215"/>
      <c r="K957" s="215"/>
      <c r="L957" s="215"/>
      <c r="M957" s="215"/>
      <c r="N957" s="215"/>
      <c r="O957" s="215"/>
      <c r="P957" s="215"/>
      <c r="Q957" s="215"/>
      <c r="R957" s="215"/>
      <c r="S957" s="215"/>
      <c r="T957" s="215"/>
      <c r="U957" s="215"/>
      <c r="V957" s="215"/>
      <c r="W957" s="215"/>
      <c r="X957" s="215"/>
      <c r="Y957" s="215"/>
      <c r="Z957" s="215"/>
      <c r="AA957" s="215"/>
      <c r="AB957" s="215"/>
      <c r="AC957" s="215"/>
      <c r="AD957" s="215"/>
      <c r="AE957" s="215"/>
      <c r="AF957" s="215"/>
      <c r="AG957" s="216"/>
      <c r="AJ957" s="214"/>
      <c r="AO957" s="214"/>
      <c r="AQ957" s="214"/>
      <c r="AU957" s="217"/>
      <c r="AV957" s="217"/>
      <c r="AW957" s="217"/>
    </row>
    <row r="958">
      <c r="C958" s="214"/>
      <c r="E958" s="215"/>
      <c r="F958" s="215"/>
      <c r="G958" s="215"/>
      <c r="H958" s="215"/>
      <c r="I958" s="215"/>
      <c r="J958" s="215"/>
      <c r="K958" s="215"/>
      <c r="L958" s="215"/>
      <c r="M958" s="215"/>
      <c r="N958" s="215"/>
      <c r="O958" s="215"/>
      <c r="P958" s="215"/>
      <c r="Q958" s="215"/>
      <c r="R958" s="215"/>
      <c r="S958" s="215"/>
      <c r="T958" s="215"/>
      <c r="U958" s="215"/>
      <c r="V958" s="215"/>
      <c r="W958" s="215"/>
      <c r="X958" s="215"/>
      <c r="Y958" s="215"/>
      <c r="Z958" s="215"/>
      <c r="AA958" s="215"/>
      <c r="AB958" s="215"/>
      <c r="AC958" s="215"/>
      <c r="AD958" s="215"/>
      <c r="AE958" s="215"/>
      <c r="AF958" s="215"/>
      <c r="AG958" s="216"/>
      <c r="AJ958" s="214"/>
      <c r="AO958" s="214"/>
      <c r="AQ958" s="214"/>
      <c r="AU958" s="217"/>
      <c r="AV958" s="217"/>
      <c r="AW958" s="217"/>
    </row>
    <row r="959">
      <c r="C959" s="214"/>
      <c r="E959" s="215"/>
      <c r="F959" s="215"/>
      <c r="G959" s="215"/>
      <c r="H959" s="215"/>
      <c r="I959" s="215"/>
      <c r="J959" s="215"/>
      <c r="K959" s="215"/>
      <c r="L959" s="215"/>
      <c r="M959" s="215"/>
      <c r="N959" s="215"/>
      <c r="O959" s="215"/>
      <c r="P959" s="215"/>
      <c r="Q959" s="215"/>
      <c r="R959" s="215"/>
      <c r="S959" s="215"/>
      <c r="T959" s="215"/>
      <c r="U959" s="215"/>
      <c r="V959" s="215"/>
      <c r="W959" s="215"/>
      <c r="X959" s="215"/>
      <c r="Y959" s="215"/>
      <c r="Z959" s="215"/>
      <c r="AA959" s="215"/>
      <c r="AB959" s="215"/>
      <c r="AC959" s="215"/>
      <c r="AD959" s="215"/>
      <c r="AE959" s="215"/>
      <c r="AF959" s="215"/>
      <c r="AG959" s="216"/>
      <c r="AJ959" s="214"/>
      <c r="AO959" s="214"/>
      <c r="AQ959" s="214"/>
      <c r="AU959" s="217"/>
      <c r="AV959" s="217"/>
      <c r="AW959" s="217"/>
    </row>
    <row r="960">
      <c r="C960" s="214"/>
      <c r="E960" s="215"/>
      <c r="F960" s="215"/>
      <c r="G960" s="215"/>
      <c r="H960" s="215"/>
      <c r="I960" s="215"/>
      <c r="J960" s="215"/>
      <c r="K960" s="215"/>
      <c r="L960" s="215"/>
      <c r="M960" s="215"/>
      <c r="N960" s="215"/>
      <c r="O960" s="215"/>
      <c r="P960" s="215"/>
      <c r="Q960" s="215"/>
      <c r="R960" s="215"/>
      <c r="S960" s="215"/>
      <c r="T960" s="215"/>
      <c r="U960" s="215"/>
      <c r="V960" s="215"/>
      <c r="W960" s="215"/>
      <c r="X960" s="215"/>
      <c r="Y960" s="215"/>
      <c r="Z960" s="215"/>
      <c r="AA960" s="215"/>
      <c r="AB960" s="215"/>
      <c r="AC960" s="215"/>
      <c r="AD960" s="215"/>
      <c r="AE960" s="215"/>
      <c r="AF960" s="215"/>
      <c r="AG960" s="216"/>
      <c r="AJ960" s="214"/>
      <c r="AO960" s="214"/>
      <c r="AQ960" s="214"/>
      <c r="AU960" s="217"/>
      <c r="AV960" s="217"/>
      <c r="AW960" s="217"/>
    </row>
    <row r="961">
      <c r="C961" s="214"/>
      <c r="E961" s="215"/>
      <c r="F961" s="215"/>
      <c r="G961" s="215"/>
      <c r="H961" s="215"/>
      <c r="I961" s="215"/>
      <c r="J961" s="215"/>
      <c r="K961" s="215"/>
      <c r="L961" s="215"/>
      <c r="M961" s="215"/>
      <c r="N961" s="215"/>
      <c r="O961" s="215"/>
      <c r="P961" s="215"/>
      <c r="Q961" s="215"/>
      <c r="R961" s="215"/>
      <c r="S961" s="215"/>
      <c r="T961" s="215"/>
      <c r="U961" s="215"/>
      <c r="V961" s="215"/>
      <c r="W961" s="215"/>
      <c r="X961" s="215"/>
      <c r="Y961" s="215"/>
      <c r="Z961" s="215"/>
      <c r="AA961" s="215"/>
      <c r="AB961" s="215"/>
      <c r="AC961" s="215"/>
      <c r="AD961" s="215"/>
      <c r="AE961" s="215"/>
      <c r="AF961" s="215"/>
      <c r="AG961" s="216"/>
      <c r="AJ961" s="214"/>
      <c r="AO961" s="214"/>
      <c r="AQ961" s="214"/>
      <c r="AU961" s="217"/>
      <c r="AV961" s="217"/>
      <c r="AW961" s="217"/>
    </row>
    <row r="962">
      <c r="C962" s="214"/>
      <c r="E962" s="215"/>
      <c r="F962" s="215"/>
      <c r="G962" s="215"/>
      <c r="H962" s="215"/>
      <c r="I962" s="215"/>
      <c r="J962" s="215"/>
      <c r="K962" s="215"/>
      <c r="L962" s="215"/>
      <c r="M962" s="215"/>
      <c r="N962" s="215"/>
      <c r="O962" s="215"/>
      <c r="P962" s="215"/>
      <c r="Q962" s="215"/>
      <c r="R962" s="215"/>
      <c r="S962" s="215"/>
      <c r="T962" s="215"/>
      <c r="U962" s="215"/>
      <c r="V962" s="215"/>
      <c r="W962" s="215"/>
      <c r="X962" s="215"/>
      <c r="Y962" s="215"/>
      <c r="Z962" s="215"/>
      <c r="AA962" s="215"/>
      <c r="AB962" s="215"/>
      <c r="AC962" s="215"/>
      <c r="AD962" s="215"/>
      <c r="AE962" s="215"/>
      <c r="AF962" s="215"/>
      <c r="AG962" s="216"/>
      <c r="AJ962" s="214"/>
      <c r="AO962" s="214"/>
      <c r="AQ962" s="214"/>
      <c r="AU962" s="217"/>
      <c r="AV962" s="217"/>
      <c r="AW962" s="217"/>
    </row>
    <row r="963">
      <c r="C963" s="214"/>
      <c r="E963" s="215"/>
      <c r="F963" s="215"/>
      <c r="G963" s="215"/>
      <c r="H963" s="215"/>
      <c r="I963" s="215"/>
      <c r="J963" s="215"/>
      <c r="K963" s="215"/>
      <c r="L963" s="215"/>
      <c r="M963" s="215"/>
      <c r="N963" s="215"/>
      <c r="O963" s="215"/>
      <c r="P963" s="215"/>
      <c r="Q963" s="215"/>
      <c r="R963" s="215"/>
      <c r="S963" s="215"/>
      <c r="T963" s="215"/>
      <c r="U963" s="215"/>
      <c r="V963" s="215"/>
      <c r="W963" s="215"/>
      <c r="X963" s="215"/>
      <c r="Y963" s="215"/>
      <c r="Z963" s="215"/>
      <c r="AA963" s="215"/>
      <c r="AB963" s="215"/>
      <c r="AC963" s="215"/>
      <c r="AD963" s="215"/>
      <c r="AE963" s="215"/>
      <c r="AF963" s="215"/>
      <c r="AG963" s="216"/>
      <c r="AJ963" s="214"/>
      <c r="AO963" s="214"/>
      <c r="AQ963" s="214"/>
      <c r="AU963" s="217"/>
      <c r="AV963" s="217"/>
      <c r="AW963" s="217"/>
    </row>
    <row r="964">
      <c r="C964" s="214"/>
      <c r="E964" s="215"/>
      <c r="F964" s="215"/>
      <c r="G964" s="215"/>
      <c r="H964" s="215"/>
      <c r="I964" s="215"/>
      <c r="J964" s="215"/>
      <c r="K964" s="215"/>
      <c r="L964" s="215"/>
      <c r="M964" s="215"/>
      <c r="N964" s="215"/>
      <c r="O964" s="215"/>
      <c r="P964" s="215"/>
      <c r="Q964" s="215"/>
      <c r="R964" s="215"/>
      <c r="S964" s="215"/>
      <c r="T964" s="215"/>
      <c r="U964" s="215"/>
      <c r="V964" s="215"/>
      <c r="W964" s="215"/>
      <c r="X964" s="215"/>
      <c r="Y964" s="215"/>
      <c r="Z964" s="215"/>
      <c r="AA964" s="215"/>
      <c r="AB964" s="215"/>
      <c r="AC964" s="215"/>
      <c r="AD964" s="215"/>
      <c r="AE964" s="215"/>
      <c r="AF964" s="215"/>
      <c r="AG964" s="216"/>
      <c r="AJ964" s="214"/>
      <c r="AO964" s="214"/>
      <c r="AQ964" s="214"/>
      <c r="AU964" s="217"/>
      <c r="AV964" s="217"/>
      <c r="AW964" s="217"/>
    </row>
    <row r="965">
      <c r="C965" s="214"/>
      <c r="E965" s="215"/>
      <c r="F965" s="215"/>
      <c r="G965" s="215"/>
      <c r="H965" s="215"/>
      <c r="I965" s="215"/>
      <c r="J965" s="215"/>
      <c r="K965" s="215"/>
      <c r="L965" s="215"/>
      <c r="M965" s="215"/>
      <c r="N965" s="215"/>
      <c r="O965" s="215"/>
      <c r="P965" s="215"/>
      <c r="Q965" s="215"/>
      <c r="R965" s="215"/>
      <c r="S965" s="215"/>
      <c r="T965" s="215"/>
      <c r="U965" s="215"/>
      <c r="V965" s="215"/>
      <c r="W965" s="215"/>
      <c r="X965" s="215"/>
      <c r="Y965" s="215"/>
      <c r="Z965" s="215"/>
      <c r="AA965" s="215"/>
      <c r="AB965" s="215"/>
      <c r="AC965" s="215"/>
      <c r="AD965" s="215"/>
      <c r="AE965" s="215"/>
      <c r="AF965" s="215"/>
      <c r="AG965" s="216"/>
      <c r="AJ965" s="214"/>
      <c r="AO965" s="214"/>
      <c r="AQ965" s="214"/>
      <c r="AU965" s="217"/>
      <c r="AV965" s="217"/>
      <c r="AW965" s="217"/>
    </row>
    <row r="966">
      <c r="C966" s="214"/>
      <c r="E966" s="215"/>
      <c r="F966" s="215"/>
      <c r="G966" s="215"/>
      <c r="H966" s="215"/>
      <c r="I966" s="215"/>
      <c r="J966" s="215"/>
      <c r="K966" s="215"/>
      <c r="L966" s="215"/>
      <c r="M966" s="215"/>
      <c r="N966" s="215"/>
      <c r="O966" s="215"/>
      <c r="P966" s="215"/>
      <c r="Q966" s="215"/>
      <c r="R966" s="215"/>
      <c r="S966" s="215"/>
      <c r="T966" s="215"/>
      <c r="U966" s="215"/>
      <c r="V966" s="215"/>
      <c r="W966" s="215"/>
      <c r="X966" s="215"/>
      <c r="Y966" s="215"/>
      <c r="Z966" s="215"/>
      <c r="AA966" s="215"/>
      <c r="AB966" s="215"/>
      <c r="AC966" s="215"/>
      <c r="AD966" s="215"/>
      <c r="AE966" s="215"/>
      <c r="AF966" s="215"/>
      <c r="AG966" s="216"/>
      <c r="AJ966" s="214"/>
      <c r="AO966" s="214"/>
      <c r="AQ966" s="214"/>
      <c r="AU966" s="217"/>
      <c r="AV966" s="217"/>
      <c r="AW966" s="217"/>
    </row>
    <row r="967">
      <c r="C967" s="214"/>
      <c r="E967" s="215"/>
      <c r="F967" s="215"/>
      <c r="G967" s="215"/>
      <c r="H967" s="215"/>
      <c r="I967" s="215"/>
      <c r="J967" s="215"/>
      <c r="K967" s="215"/>
      <c r="L967" s="215"/>
      <c r="M967" s="215"/>
      <c r="N967" s="215"/>
      <c r="O967" s="215"/>
      <c r="P967" s="215"/>
      <c r="Q967" s="215"/>
      <c r="R967" s="215"/>
      <c r="S967" s="215"/>
      <c r="T967" s="215"/>
      <c r="U967" s="215"/>
      <c r="V967" s="215"/>
      <c r="W967" s="215"/>
      <c r="X967" s="215"/>
      <c r="Y967" s="215"/>
      <c r="Z967" s="215"/>
      <c r="AA967" s="215"/>
      <c r="AB967" s="215"/>
      <c r="AC967" s="215"/>
      <c r="AD967" s="215"/>
      <c r="AE967" s="215"/>
      <c r="AF967" s="215"/>
      <c r="AG967" s="216"/>
      <c r="AJ967" s="214"/>
      <c r="AO967" s="214"/>
      <c r="AQ967" s="214"/>
      <c r="AU967" s="217"/>
      <c r="AV967" s="217"/>
      <c r="AW967" s="217"/>
    </row>
    <row r="968">
      <c r="C968" s="214"/>
      <c r="E968" s="215"/>
      <c r="F968" s="215"/>
      <c r="G968" s="215"/>
      <c r="H968" s="215"/>
      <c r="I968" s="215"/>
      <c r="J968" s="215"/>
      <c r="K968" s="215"/>
      <c r="L968" s="215"/>
      <c r="M968" s="215"/>
      <c r="N968" s="215"/>
      <c r="O968" s="215"/>
      <c r="P968" s="215"/>
      <c r="Q968" s="215"/>
      <c r="R968" s="215"/>
      <c r="S968" s="215"/>
      <c r="T968" s="215"/>
      <c r="U968" s="215"/>
      <c r="V968" s="215"/>
      <c r="W968" s="215"/>
      <c r="X968" s="215"/>
      <c r="Y968" s="215"/>
      <c r="Z968" s="215"/>
      <c r="AA968" s="215"/>
      <c r="AB968" s="215"/>
      <c r="AC968" s="215"/>
      <c r="AD968" s="215"/>
      <c r="AE968" s="215"/>
      <c r="AF968" s="215"/>
      <c r="AG968" s="216"/>
      <c r="AJ968" s="214"/>
      <c r="AO968" s="214"/>
      <c r="AQ968" s="214"/>
      <c r="AU968" s="217"/>
      <c r="AV968" s="217"/>
      <c r="AW968" s="217"/>
    </row>
    <row r="969">
      <c r="C969" s="214"/>
      <c r="E969" s="215"/>
      <c r="F969" s="215"/>
      <c r="G969" s="215"/>
      <c r="H969" s="215"/>
      <c r="I969" s="215"/>
      <c r="J969" s="215"/>
      <c r="K969" s="215"/>
      <c r="L969" s="215"/>
      <c r="M969" s="215"/>
      <c r="N969" s="215"/>
      <c r="O969" s="215"/>
      <c r="P969" s="215"/>
      <c r="Q969" s="215"/>
      <c r="R969" s="215"/>
      <c r="S969" s="215"/>
      <c r="T969" s="215"/>
      <c r="U969" s="215"/>
      <c r="V969" s="215"/>
      <c r="W969" s="215"/>
      <c r="X969" s="215"/>
      <c r="Y969" s="215"/>
      <c r="Z969" s="215"/>
      <c r="AA969" s="215"/>
      <c r="AB969" s="215"/>
      <c r="AC969" s="215"/>
      <c r="AD969" s="215"/>
      <c r="AE969" s="215"/>
      <c r="AF969" s="215"/>
      <c r="AG969" s="216"/>
      <c r="AJ969" s="214"/>
      <c r="AO969" s="214"/>
      <c r="AQ969" s="214"/>
      <c r="AU969" s="217"/>
      <c r="AV969" s="217"/>
      <c r="AW969" s="217"/>
    </row>
    <row r="970">
      <c r="C970" s="214"/>
      <c r="E970" s="215"/>
      <c r="F970" s="215"/>
      <c r="G970" s="215"/>
      <c r="H970" s="215"/>
      <c r="I970" s="215"/>
      <c r="J970" s="215"/>
      <c r="K970" s="215"/>
      <c r="L970" s="215"/>
      <c r="M970" s="215"/>
      <c r="N970" s="215"/>
      <c r="O970" s="215"/>
      <c r="P970" s="215"/>
      <c r="Q970" s="215"/>
      <c r="R970" s="215"/>
      <c r="S970" s="215"/>
      <c r="T970" s="215"/>
      <c r="U970" s="215"/>
      <c r="V970" s="215"/>
      <c r="W970" s="215"/>
      <c r="X970" s="215"/>
      <c r="Y970" s="215"/>
      <c r="Z970" s="215"/>
      <c r="AA970" s="215"/>
      <c r="AB970" s="215"/>
      <c r="AC970" s="215"/>
      <c r="AD970" s="215"/>
      <c r="AE970" s="215"/>
      <c r="AF970" s="215"/>
      <c r="AG970" s="216"/>
      <c r="AJ970" s="214"/>
      <c r="AO970" s="214"/>
      <c r="AQ970" s="214"/>
      <c r="AU970" s="217"/>
      <c r="AV970" s="217"/>
      <c r="AW970" s="217"/>
    </row>
    <row r="971">
      <c r="C971" s="214"/>
      <c r="E971" s="215"/>
      <c r="F971" s="215"/>
      <c r="G971" s="215"/>
      <c r="H971" s="215"/>
      <c r="I971" s="215"/>
      <c r="J971" s="215"/>
      <c r="K971" s="215"/>
      <c r="L971" s="215"/>
      <c r="M971" s="215"/>
      <c r="N971" s="215"/>
      <c r="O971" s="215"/>
      <c r="P971" s="215"/>
      <c r="Q971" s="215"/>
      <c r="R971" s="215"/>
      <c r="S971" s="215"/>
      <c r="T971" s="215"/>
      <c r="U971" s="215"/>
      <c r="V971" s="215"/>
      <c r="W971" s="215"/>
      <c r="X971" s="215"/>
      <c r="Y971" s="215"/>
      <c r="Z971" s="215"/>
      <c r="AA971" s="215"/>
      <c r="AB971" s="215"/>
      <c r="AC971" s="215"/>
      <c r="AD971" s="215"/>
      <c r="AE971" s="215"/>
      <c r="AF971" s="215"/>
      <c r="AG971" s="216"/>
      <c r="AJ971" s="214"/>
      <c r="AO971" s="214"/>
      <c r="AQ971" s="214"/>
      <c r="AU971" s="217"/>
      <c r="AV971" s="217"/>
      <c r="AW971" s="217"/>
    </row>
    <row r="972">
      <c r="C972" s="214"/>
      <c r="E972" s="215"/>
      <c r="F972" s="215"/>
      <c r="G972" s="215"/>
      <c r="H972" s="215"/>
      <c r="I972" s="215"/>
      <c r="J972" s="215"/>
      <c r="K972" s="215"/>
      <c r="L972" s="215"/>
      <c r="M972" s="215"/>
      <c r="N972" s="215"/>
      <c r="O972" s="215"/>
      <c r="P972" s="215"/>
      <c r="Q972" s="215"/>
      <c r="R972" s="215"/>
      <c r="S972" s="215"/>
      <c r="T972" s="215"/>
      <c r="U972" s="215"/>
      <c r="V972" s="215"/>
      <c r="W972" s="215"/>
      <c r="X972" s="215"/>
      <c r="Y972" s="215"/>
      <c r="Z972" s="215"/>
      <c r="AA972" s="215"/>
      <c r="AB972" s="215"/>
      <c r="AC972" s="215"/>
      <c r="AD972" s="215"/>
      <c r="AE972" s="215"/>
      <c r="AF972" s="215"/>
      <c r="AG972" s="216"/>
      <c r="AJ972" s="214"/>
      <c r="AO972" s="214"/>
      <c r="AQ972" s="214"/>
      <c r="AU972" s="217"/>
      <c r="AV972" s="217"/>
      <c r="AW972" s="217"/>
    </row>
    <row r="973">
      <c r="C973" s="214"/>
      <c r="E973" s="215"/>
      <c r="F973" s="215"/>
      <c r="G973" s="215"/>
      <c r="H973" s="215"/>
      <c r="I973" s="215"/>
      <c r="J973" s="215"/>
      <c r="K973" s="215"/>
      <c r="L973" s="215"/>
      <c r="M973" s="215"/>
      <c r="N973" s="215"/>
      <c r="O973" s="215"/>
      <c r="P973" s="215"/>
      <c r="Q973" s="215"/>
      <c r="R973" s="215"/>
      <c r="S973" s="215"/>
      <c r="T973" s="215"/>
      <c r="U973" s="215"/>
      <c r="V973" s="215"/>
      <c r="W973" s="215"/>
      <c r="X973" s="215"/>
      <c r="Y973" s="215"/>
      <c r="Z973" s="215"/>
      <c r="AA973" s="215"/>
      <c r="AB973" s="215"/>
      <c r="AC973" s="215"/>
      <c r="AD973" s="215"/>
      <c r="AE973" s="215"/>
      <c r="AF973" s="215"/>
      <c r="AG973" s="216"/>
      <c r="AJ973" s="214"/>
      <c r="AO973" s="214"/>
      <c r="AQ973" s="214"/>
      <c r="AU973" s="217"/>
      <c r="AV973" s="217"/>
      <c r="AW973" s="217"/>
    </row>
    <row r="974">
      <c r="C974" s="214"/>
      <c r="E974" s="215"/>
      <c r="F974" s="215"/>
      <c r="G974" s="215"/>
      <c r="H974" s="215"/>
      <c r="I974" s="215"/>
      <c r="J974" s="215"/>
      <c r="K974" s="215"/>
      <c r="L974" s="215"/>
      <c r="M974" s="215"/>
      <c r="N974" s="215"/>
      <c r="O974" s="215"/>
      <c r="P974" s="215"/>
      <c r="Q974" s="215"/>
      <c r="R974" s="215"/>
      <c r="S974" s="215"/>
      <c r="T974" s="215"/>
      <c r="U974" s="215"/>
      <c r="V974" s="215"/>
      <c r="W974" s="215"/>
      <c r="X974" s="215"/>
      <c r="Y974" s="215"/>
      <c r="Z974" s="215"/>
      <c r="AA974" s="215"/>
      <c r="AB974" s="215"/>
      <c r="AC974" s="215"/>
      <c r="AD974" s="215"/>
      <c r="AE974" s="215"/>
      <c r="AF974" s="215"/>
      <c r="AG974" s="216"/>
      <c r="AJ974" s="214"/>
      <c r="AO974" s="214"/>
      <c r="AQ974" s="214"/>
      <c r="AU974" s="217"/>
      <c r="AV974" s="217"/>
      <c r="AW974" s="217"/>
    </row>
    <row r="975">
      <c r="C975" s="214"/>
      <c r="E975" s="215"/>
      <c r="F975" s="215"/>
      <c r="G975" s="215"/>
      <c r="H975" s="215"/>
      <c r="I975" s="215"/>
      <c r="J975" s="215"/>
      <c r="K975" s="215"/>
      <c r="L975" s="215"/>
      <c r="M975" s="215"/>
      <c r="N975" s="215"/>
      <c r="O975" s="215"/>
      <c r="P975" s="215"/>
      <c r="Q975" s="215"/>
      <c r="R975" s="215"/>
      <c r="S975" s="215"/>
      <c r="T975" s="215"/>
      <c r="U975" s="215"/>
      <c r="V975" s="215"/>
      <c r="W975" s="215"/>
      <c r="X975" s="215"/>
      <c r="Y975" s="215"/>
      <c r="Z975" s="215"/>
      <c r="AA975" s="215"/>
      <c r="AB975" s="215"/>
      <c r="AC975" s="215"/>
      <c r="AD975" s="215"/>
      <c r="AE975" s="215"/>
      <c r="AF975" s="215"/>
      <c r="AG975" s="216"/>
      <c r="AJ975" s="214"/>
      <c r="AO975" s="214"/>
      <c r="AQ975" s="214"/>
      <c r="AU975" s="217"/>
      <c r="AV975" s="217"/>
      <c r="AW975" s="217"/>
    </row>
    <row r="976">
      <c r="C976" s="214"/>
      <c r="E976" s="215"/>
      <c r="F976" s="215"/>
      <c r="G976" s="215"/>
      <c r="H976" s="215"/>
      <c r="I976" s="215"/>
      <c r="J976" s="215"/>
      <c r="K976" s="215"/>
      <c r="L976" s="215"/>
      <c r="M976" s="215"/>
      <c r="N976" s="215"/>
      <c r="O976" s="215"/>
      <c r="P976" s="215"/>
      <c r="Q976" s="215"/>
      <c r="R976" s="215"/>
      <c r="S976" s="215"/>
      <c r="T976" s="215"/>
      <c r="U976" s="215"/>
      <c r="V976" s="215"/>
      <c r="W976" s="215"/>
      <c r="X976" s="215"/>
      <c r="Y976" s="215"/>
      <c r="Z976" s="215"/>
      <c r="AA976" s="215"/>
      <c r="AB976" s="215"/>
      <c r="AC976" s="215"/>
      <c r="AD976" s="215"/>
      <c r="AE976" s="215"/>
      <c r="AF976" s="215"/>
      <c r="AG976" s="216"/>
      <c r="AJ976" s="214"/>
      <c r="AO976" s="214"/>
      <c r="AQ976" s="214"/>
      <c r="AU976" s="217"/>
      <c r="AV976" s="217"/>
      <c r="AW976" s="217"/>
    </row>
    <row r="977">
      <c r="C977" s="214"/>
      <c r="E977" s="215"/>
      <c r="F977" s="215"/>
      <c r="G977" s="215"/>
      <c r="H977" s="215"/>
      <c r="I977" s="215"/>
      <c r="J977" s="215"/>
      <c r="K977" s="215"/>
      <c r="L977" s="215"/>
      <c r="M977" s="215"/>
      <c r="N977" s="215"/>
      <c r="O977" s="215"/>
      <c r="P977" s="215"/>
      <c r="Q977" s="215"/>
      <c r="R977" s="215"/>
      <c r="S977" s="215"/>
      <c r="T977" s="215"/>
      <c r="U977" s="215"/>
      <c r="V977" s="215"/>
      <c r="W977" s="215"/>
      <c r="X977" s="215"/>
      <c r="Y977" s="215"/>
      <c r="Z977" s="215"/>
      <c r="AA977" s="215"/>
      <c r="AB977" s="215"/>
      <c r="AC977" s="215"/>
      <c r="AD977" s="215"/>
      <c r="AE977" s="215"/>
      <c r="AF977" s="215"/>
      <c r="AG977" s="216"/>
      <c r="AJ977" s="214"/>
      <c r="AO977" s="214"/>
      <c r="AQ977" s="214"/>
      <c r="AU977" s="217"/>
      <c r="AV977" s="217"/>
      <c r="AW977" s="217"/>
    </row>
    <row r="978">
      <c r="C978" s="214"/>
      <c r="E978" s="215"/>
      <c r="F978" s="215"/>
      <c r="G978" s="215"/>
      <c r="H978" s="215"/>
      <c r="I978" s="215"/>
      <c r="J978" s="215"/>
      <c r="K978" s="215"/>
      <c r="L978" s="215"/>
      <c r="M978" s="215"/>
      <c r="N978" s="215"/>
      <c r="O978" s="215"/>
      <c r="P978" s="215"/>
      <c r="Q978" s="215"/>
      <c r="R978" s="215"/>
      <c r="S978" s="215"/>
      <c r="T978" s="215"/>
      <c r="U978" s="215"/>
      <c r="V978" s="215"/>
      <c r="W978" s="215"/>
      <c r="X978" s="215"/>
      <c r="Y978" s="215"/>
      <c r="Z978" s="215"/>
      <c r="AA978" s="215"/>
      <c r="AB978" s="215"/>
      <c r="AC978" s="215"/>
      <c r="AD978" s="215"/>
      <c r="AE978" s="215"/>
      <c r="AF978" s="215"/>
      <c r="AG978" s="216"/>
      <c r="AJ978" s="214"/>
      <c r="AO978" s="214"/>
      <c r="AQ978" s="214"/>
      <c r="AU978" s="217"/>
      <c r="AV978" s="217"/>
      <c r="AW978" s="217"/>
    </row>
    <row r="979">
      <c r="C979" s="214"/>
      <c r="E979" s="215"/>
      <c r="F979" s="215"/>
      <c r="G979" s="215"/>
      <c r="H979" s="215"/>
      <c r="I979" s="215"/>
      <c r="J979" s="215"/>
      <c r="K979" s="215"/>
      <c r="L979" s="215"/>
      <c r="M979" s="215"/>
      <c r="N979" s="215"/>
      <c r="O979" s="215"/>
      <c r="P979" s="215"/>
      <c r="Q979" s="215"/>
      <c r="R979" s="215"/>
      <c r="S979" s="215"/>
      <c r="T979" s="215"/>
      <c r="U979" s="215"/>
      <c r="V979" s="215"/>
      <c r="W979" s="215"/>
      <c r="X979" s="215"/>
      <c r="Y979" s="215"/>
      <c r="Z979" s="215"/>
      <c r="AA979" s="215"/>
      <c r="AB979" s="215"/>
      <c r="AC979" s="215"/>
      <c r="AD979" s="215"/>
      <c r="AE979" s="215"/>
      <c r="AF979" s="215"/>
      <c r="AG979" s="216"/>
      <c r="AJ979" s="214"/>
      <c r="AO979" s="214"/>
      <c r="AQ979" s="214"/>
      <c r="AU979" s="217"/>
      <c r="AV979" s="217"/>
      <c r="AW979" s="217"/>
    </row>
    <row r="980">
      <c r="C980" s="214"/>
      <c r="E980" s="215"/>
      <c r="F980" s="215"/>
      <c r="G980" s="215"/>
      <c r="H980" s="215"/>
      <c r="I980" s="215"/>
      <c r="J980" s="215"/>
      <c r="K980" s="215"/>
      <c r="L980" s="215"/>
      <c r="M980" s="215"/>
      <c r="N980" s="215"/>
      <c r="O980" s="215"/>
      <c r="P980" s="215"/>
      <c r="Q980" s="215"/>
      <c r="R980" s="215"/>
      <c r="S980" s="215"/>
      <c r="T980" s="215"/>
      <c r="U980" s="215"/>
      <c r="V980" s="215"/>
      <c r="W980" s="215"/>
      <c r="X980" s="215"/>
      <c r="Y980" s="215"/>
      <c r="Z980" s="215"/>
      <c r="AA980" s="215"/>
      <c r="AB980" s="215"/>
      <c r="AC980" s="215"/>
      <c r="AD980" s="215"/>
      <c r="AE980" s="215"/>
      <c r="AF980" s="215"/>
      <c r="AG980" s="216"/>
      <c r="AJ980" s="214"/>
      <c r="AO980" s="214"/>
      <c r="AQ980" s="214"/>
      <c r="AU980" s="217"/>
      <c r="AV980" s="217"/>
      <c r="AW980" s="217"/>
    </row>
    <row r="981">
      <c r="C981" s="214"/>
      <c r="E981" s="215"/>
      <c r="F981" s="215"/>
      <c r="G981" s="215"/>
      <c r="H981" s="215"/>
      <c r="I981" s="215"/>
      <c r="J981" s="215"/>
      <c r="K981" s="215"/>
      <c r="L981" s="215"/>
      <c r="M981" s="215"/>
      <c r="N981" s="215"/>
      <c r="O981" s="215"/>
      <c r="P981" s="215"/>
      <c r="Q981" s="215"/>
      <c r="R981" s="215"/>
      <c r="S981" s="215"/>
      <c r="T981" s="215"/>
      <c r="U981" s="215"/>
      <c r="V981" s="215"/>
      <c r="W981" s="215"/>
      <c r="X981" s="215"/>
      <c r="Y981" s="215"/>
      <c r="Z981" s="215"/>
      <c r="AA981" s="215"/>
      <c r="AB981" s="215"/>
      <c r="AC981" s="215"/>
      <c r="AD981" s="215"/>
      <c r="AE981" s="215"/>
      <c r="AF981" s="215"/>
      <c r="AG981" s="216"/>
      <c r="AJ981" s="214"/>
      <c r="AO981" s="214"/>
      <c r="AQ981" s="214"/>
      <c r="AU981" s="217"/>
      <c r="AV981" s="217"/>
      <c r="AW981" s="217"/>
    </row>
    <row r="982">
      <c r="C982" s="214"/>
      <c r="E982" s="215"/>
      <c r="F982" s="215"/>
      <c r="G982" s="215"/>
      <c r="H982" s="215"/>
      <c r="I982" s="215"/>
      <c r="J982" s="215"/>
      <c r="K982" s="215"/>
      <c r="L982" s="215"/>
      <c r="M982" s="215"/>
      <c r="N982" s="215"/>
      <c r="O982" s="215"/>
      <c r="P982" s="215"/>
      <c r="Q982" s="215"/>
      <c r="R982" s="215"/>
      <c r="S982" s="215"/>
      <c r="T982" s="215"/>
      <c r="U982" s="215"/>
      <c r="V982" s="215"/>
      <c r="W982" s="215"/>
      <c r="X982" s="215"/>
      <c r="Y982" s="215"/>
      <c r="Z982" s="215"/>
      <c r="AA982" s="215"/>
      <c r="AB982" s="215"/>
      <c r="AC982" s="215"/>
      <c r="AD982" s="215"/>
      <c r="AE982" s="215"/>
      <c r="AF982" s="215"/>
      <c r="AG982" s="216"/>
      <c r="AJ982" s="214"/>
      <c r="AO982" s="214"/>
      <c r="AQ982" s="214"/>
      <c r="AU982" s="217"/>
      <c r="AV982" s="217"/>
      <c r="AW982" s="217"/>
    </row>
    <row r="983">
      <c r="C983" s="214"/>
      <c r="E983" s="215"/>
      <c r="F983" s="215"/>
      <c r="G983" s="215"/>
      <c r="H983" s="215"/>
      <c r="I983" s="215"/>
      <c r="J983" s="215"/>
      <c r="K983" s="215"/>
      <c r="L983" s="215"/>
      <c r="M983" s="215"/>
      <c r="N983" s="215"/>
      <c r="O983" s="215"/>
      <c r="P983" s="215"/>
      <c r="Q983" s="215"/>
      <c r="R983" s="215"/>
      <c r="S983" s="215"/>
      <c r="T983" s="215"/>
      <c r="U983" s="215"/>
      <c r="V983" s="215"/>
      <c r="W983" s="215"/>
      <c r="X983" s="215"/>
      <c r="Y983" s="215"/>
      <c r="Z983" s="215"/>
      <c r="AA983" s="215"/>
      <c r="AB983" s="215"/>
      <c r="AC983" s="215"/>
      <c r="AD983" s="215"/>
      <c r="AE983" s="215"/>
      <c r="AF983" s="215"/>
      <c r="AG983" s="216"/>
      <c r="AJ983" s="214"/>
      <c r="AO983" s="214"/>
      <c r="AQ983" s="214"/>
      <c r="AU983" s="217"/>
      <c r="AV983" s="217"/>
      <c r="AW983" s="217"/>
    </row>
    <row r="984">
      <c r="C984" s="214"/>
      <c r="E984" s="215"/>
      <c r="F984" s="215"/>
      <c r="G984" s="215"/>
      <c r="H984" s="215"/>
      <c r="I984" s="215"/>
      <c r="J984" s="215"/>
      <c r="K984" s="215"/>
      <c r="L984" s="215"/>
      <c r="M984" s="215"/>
      <c r="N984" s="215"/>
      <c r="O984" s="215"/>
      <c r="P984" s="215"/>
      <c r="Q984" s="215"/>
      <c r="R984" s="215"/>
      <c r="S984" s="215"/>
      <c r="T984" s="215"/>
      <c r="U984" s="215"/>
      <c r="V984" s="215"/>
      <c r="W984" s="215"/>
      <c r="X984" s="215"/>
      <c r="Y984" s="215"/>
      <c r="Z984" s="215"/>
      <c r="AA984" s="215"/>
      <c r="AB984" s="215"/>
      <c r="AC984" s="215"/>
      <c r="AD984" s="215"/>
      <c r="AE984" s="215"/>
      <c r="AF984" s="215"/>
      <c r="AG984" s="216"/>
      <c r="AJ984" s="214"/>
      <c r="AO984" s="214"/>
      <c r="AQ984" s="214"/>
      <c r="AU984" s="217"/>
      <c r="AV984" s="217"/>
      <c r="AW984" s="217"/>
    </row>
    <row r="985">
      <c r="C985" s="214"/>
      <c r="E985" s="215"/>
      <c r="F985" s="215"/>
      <c r="G985" s="215"/>
      <c r="H985" s="215"/>
      <c r="I985" s="215"/>
      <c r="J985" s="215"/>
      <c r="K985" s="215"/>
      <c r="L985" s="215"/>
      <c r="M985" s="215"/>
      <c r="N985" s="215"/>
      <c r="O985" s="215"/>
      <c r="P985" s="215"/>
      <c r="Q985" s="215"/>
      <c r="R985" s="215"/>
      <c r="S985" s="215"/>
      <c r="T985" s="215"/>
      <c r="U985" s="215"/>
      <c r="V985" s="215"/>
      <c r="W985" s="215"/>
      <c r="X985" s="215"/>
      <c r="Y985" s="215"/>
      <c r="Z985" s="215"/>
      <c r="AA985" s="215"/>
      <c r="AB985" s="215"/>
      <c r="AC985" s="215"/>
      <c r="AD985" s="215"/>
      <c r="AE985" s="215"/>
      <c r="AF985" s="215"/>
      <c r="AG985" s="216"/>
      <c r="AJ985" s="214"/>
      <c r="AO985" s="214"/>
      <c r="AQ985" s="214"/>
      <c r="AU985" s="217"/>
      <c r="AV985" s="217"/>
      <c r="AW985" s="217"/>
    </row>
    <row r="986">
      <c r="C986" s="214"/>
      <c r="E986" s="215"/>
      <c r="F986" s="215"/>
      <c r="G986" s="215"/>
      <c r="H986" s="215"/>
      <c r="I986" s="215"/>
      <c r="J986" s="215"/>
      <c r="K986" s="215"/>
      <c r="L986" s="215"/>
      <c r="M986" s="215"/>
      <c r="N986" s="215"/>
      <c r="O986" s="215"/>
      <c r="P986" s="215"/>
      <c r="Q986" s="215"/>
      <c r="R986" s="215"/>
      <c r="S986" s="215"/>
      <c r="T986" s="215"/>
      <c r="U986" s="215"/>
      <c r="V986" s="215"/>
      <c r="W986" s="215"/>
      <c r="X986" s="215"/>
      <c r="Y986" s="215"/>
      <c r="Z986" s="215"/>
      <c r="AA986" s="215"/>
      <c r="AB986" s="215"/>
      <c r="AC986" s="215"/>
      <c r="AD986" s="215"/>
      <c r="AE986" s="215"/>
      <c r="AF986" s="215"/>
      <c r="AG986" s="216"/>
      <c r="AJ986" s="214"/>
      <c r="AO986" s="214"/>
      <c r="AQ986" s="214"/>
      <c r="AU986" s="217"/>
      <c r="AV986" s="217"/>
      <c r="AW986" s="217"/>
    </row>
    <row r="987">
      <c r="C987" s="214"/>
      <c r="E987" s="215"/>
      <c r="F987" s="215"/>
      <c r="G987" s="215"/>
      <c r="H987" s="215"/>
      <c r="I987" s="215"/>
      <c r="J987" s="215"/>
      <c r="K987" s="215"/>
      <c r="L987" s="215"/>
      <c r="M987" s="215"/>
      <c r="N987" s="215"/>
      <c r="O987" s="215"/>
      <c r="P987" s="215"/>
      <c r="Q987" s="215"/>
      <c r="R987" s="215"/>
      <c r="S987" s="215"/>
      <c r="T987" s="215"/>
      <c r="U987" s="215"/>
      <c r="V987" s="215"/>
      <c r="W987" s="215"/>
      <c r="X987" s="215"/>
      <c r="Y987" s="215"/>
      <c r="Z987" s="215"/>
      <c r="AA987" s="215"/>
      <c r="AB987" s="215"/>
      <c r="AC987" s="215"/>
      <c r="AD987" s="215"/>
      <c r="AE987" s="215"/>
      <c r="AF987" s="215"/>
      <c r="AG987" s="216"/>
      <c r="AJ987" s="214"/>
      <c r="AO987" s="214"/>
      <c r="AQ987" s="214"/>
      <c r="AU987" s="217"/>
      <c r="AV987" s="217"/>
      <c r="AW987" s="217"/>
    </row>
    <row r="988">
      <c r="C988" s="214"/>
      <c r="E988" s="215"/>
      <c r="F988" s="215"/>
      <c r="G988" s="215"/>
      <c r="H988" s="215"/>
      <c r="I988" s="215"/>
      <c r="J988" s="215"/>
      <c r="K988" s="215"/>
      <c r="L988" s="215"/>
      <c r="M988" s="215"/>
      <c r="N988" s="215"/>
      <c r="O988" s="215"/>
      <c r="P988" s="215"/>
      <c r="Q988" s="215"/>
      <c r="R988" s="215"/>
      <c r="S988" s="215"/>
      <c r="T988" s="215"/>
      <c r="U988" s="215"/>
      <c r="V988" s="215"/>
      <c r="W988" s="215"/>
      <c r="X988" s="215"/>
      <c r="Y988" s="215"/>
      <c r="Z988" s="215"/>
      <c r="AA988" s="215"/>
      <c r="AB988" s="215"/>
      <c r="AC988" s="215"/>
      <c r="AD988" s="215"/>
      <c r="AE988" s="215"/>
      <c r="AF988" s="215"/>
      <c r="AG988" s="216"/>
      <c r="AJ988" s="214"/>
      <c r="AO988" s="214"/>
      <c r="AQ988" s="214"/>
      <c r="AU988" s="217"/>
      <c r="AV988" s="217"/>
      <c r="AW988" s="217"/>
    </row>
    <row r="989">
      <c r="C989" s="214"/>
      <c r="E989" s="215"/>
      <c r="F989" s="215"/>
      <c r="G989" s="215"/>
      <c r="H989" s="215"/>
      <c r="I989" s="215"/>
      <c r="J989" s="215"/>
      <c r="K989" s="215"/>
      <c r="L989" s="215"/>
      <c r="M989" s="215"/>
      <c r="N989" s="215"/>
      <c r="O989" s="215"/>
      <c r="P989" s="215"/>
      <c r="Q989" s="215"/>
      <c r="R989" s="215"/>
      <c r="S989" s="215"/>
      <c r="T989" s="215"/>
      <c r="U989" s="215"/>
      <c r="V989" s="215"/>
      <c r="W989" s="215"/>
      <c r="X989" s="215"/>
      <c r="Y989" s="215"/>
      <c r="Z989" s="215"/>
      <c r="AA989" s="215"/>
      <c r="AB989" s="215"/>
      <c r="AC989" s="215"/>
      <c r="AD989" s="215"/>
      <c r="AE989" s="215"/>
      <c r="AF989" s="215"/>
      <c r="AG989" s="216"/>
      <c r="AJ989" s="214"/>
      <c r="AO989" s="214"/>
      <c r="AQ989" s="214"/>
      <c r="AU989" s="217"/>
      <c r="AV989" s="217"/>
      <c r="AW989" s="217"/>
    </row>
    <row r="990">
      <c r="C990" s="214"/>
      <c r="E990" s="215"/>
      <c r="F990" s="215"/>
      <c r="G990" s="215"/>
      <c r="H990" s="215"/>
      <c r="I990" s="215"/>
      <c r="J990" s="215"/>
      <c r="K990" s="215"/>
      <c r="L990" s="215"/>
      <c r="M990" s="215"/>
      <c r="N990" s="215"/>
      <c r="O990" s="215"/>
      <c r="P990" s="215"/>
      <c r="Q990" s="215"/>
      <c r="R990" s="215"/>
      <c r="S990" s="215"/>
      <c r="T990" s="215"/>
      <c r="U990" s="215"/>
      <c r="V990" s="215"/>
      <c r="W990" s="215"/>
      <c r="X990" s="215"/>
      <c r="Y990" s="215"/>
      <c r="Z990" s="215"/>
      <c r="AA990" s="215"/>
      <c r="AB990" s="215"/>
      <c r="AC990" s="215"/>
      <c r="AD990" s="215"/>
      <c r="AE990" s="215"/>
      <c r="AF990" s="215"/>
      <c r="AG990" s="216"/>
      <c r="AJ990" s="214"/>
      <c r="AO990" s="214"/>
      <c r="AQ990" s="214"/>
      <c r="AU990" s="217"/>
      <c r="AV990" s="217"/>
      <c r="AW990" s="217"/>
    </row>
    <row r="991">
      <c r="C991" s="214"/>
      <c r="E991" s="215"/>
      <c r="F991" s="215"/>
      <c r="G991" s="215"/>
      <c r="H991" s="215"/>
      <c r="I991" s="215"/>
      <c r="J991" s="215"/>
      <c r="K991" s="215"/>
      <c r="L991" s="215"/>
      <c r="M991" s="215"/>
      <c r="N991" s="215"/>
      <c r="O991" s="215"/>
      <c r="P991" s="215"/>
      <c r="Q991" s="215"/>
      <c r="R991" s="215"/>
      <c r="S991" s="215"/>
      <c r="T991" s="215"/>
      <c r="U991" s="215"/>
      <c r="V991" s="215"/>
      <c r="W991" s="215"/>
      <c r="X991" s="215"/>
      <c r="Y991" s="215"/>
      <c r="Z991" s="215"/>
      <c r="AA991" s="215"/>
      <c r="AB991" s="215"/>
      <c r="AC991" s="215"/>
      <c r="AD991" s="215"/>
      <c r="AE991" s="215"/>
      <c r="AF991" s="215"/>
      <c r="AG991" s="216"/>
      <c r="AJ991" s="214"/>
      <c r="AO991" s="214"/>
      <c r="AQ991" s="214"/>
      <c r="AU991" s="217"/>
      <c r="AV991" s="217"/>
      <c r="AW991" s="217"/>
    </row>
  </sheetData>
  <customSheetViews>
    <customSheetView guid="{2D78EB01-C1D7-4ECB-A2A9-D8B009A24581}" filter="1" showAutoFilter="1">
      <autoFilter ref="$A$4:$AX$68">
        <filterColumn colId="3">
          <filters>
            <filter val="1"/>
            <filter val="5"/>
            <filter val="6"/>
            <filter val="9"/>
            <filter val="20"/>
          </filters>
        </filterColumn>
        <sortState ref="A4:AX68">
          <sortCondition ref="B4:B68"/>
          <sortCondition ref="A4:A68"/>
        </sortState>
      </autoFilter>
    </customSheetView>
  </customSheetViews>
  <mergeCells count="6">
    <mergeCell ref="A1:C1"/>
    <mergeCell ref="E1:AC1"/>
    <mergeCell ref="AH1:AJ1"/>
    <mergeCell ref="AK1:AO1"/>
    <mergeCell ref="AP1:AQ1"/>
    <mergeCell ref="AR1:AU1"/>
  </mergeCells>
  <conditionalFormatting sqref="D1:BA991">
    <cfRule type="cellIs" dxfId="14" priority="1" operator="equal">
      <formula>0</formula>
    </cfRule>
  </conditionalFormatting>
  <dataValidations>
    <dataValidation type="custom" allowBlank="1" showDropDown="1" sqref="AR5:AR68 AU5:AU68 AW5:AW68">
      <formula1>AND(ISNUMBER(AR5),(NOT(OR(NOT(ISERROR(DATEVALUE(AR5))), AND(ISNUMBER(AR5), LEFT(CELL("format", AR5))="D")))))</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row r="2"/>
    <row r="3"/>
    <row r="4"/>
    <row r="5"/>
    <row r="6"/>
    <row r="7"/>
    <row r="8"/>
    <row r="9"/>
    <row r="10"/>
    <row r="20"/>
    <row r="21"/>
    <row r="22"/>
    <row r="23"/>
    <row r="24"/>
    <row r="25"/>
    <row r="26"/>
    <row r="27"/>
    <row r="28"/>
    <row r="29"/>
  </sheetData>
  <conditionalFormatting sqref="B2:D7">
    <cfRule type="colorScale" priority="1">
      <colorScale>
        <cfvo type="formula" val="0.1"/>
        <cfvo type="formula" val="0.17"/>
        <cfvo type="formula" val="0.2333333333"/>
        <color rgb="FFE67C73"/>
        <color rgb="FFFFFFFF"/>
        <color rgb="FF57BB8A"/>
      </colorScale>
    </cfRule>
  </conditionalFormatting>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
  </cols>
  <sheetData>
    <row r="1">
      <c r="A1" s="1" t="s">
        <v>222</v>
      </c>
      <c r="B1" s="1" t="s">
        <v>83</v>
      </c>
      <c r="E1" s="98"/>
      <c r="F1" s="99"/>
    </row>
    <row r="2">
      <c r="A2" s="2" t="s">
        <v>110</v>
      </c>
      <c r="B2" s="2">
        <v>1.0</v>
      </c>
      <c r="E2" s="100"/>
      <c r="F2" s="99"/>
    </row>
    <row r="3">
      <c r="A3" s="2" t="s">
        <v>20</v>
      </c>
      <c r="B3" s="2">
        <v>2.0</v>
      </c>
      <c r="E3" s="98"/>
      <c r="F3" s="99"/>
    </row>
    <row r="4">
      <c r="A4" s="2" t="s">
        <v>4</v>
      </c>
      <c r="B4" s="2">
        <v>3.0</v>
      </c>
      <c r="E4" s="101"/>
      <c r="F4" s="99"/>
    </row>
    <row r="5">
      <c r="A5" s="2" t="s">
        <v>16</v>
      </c>
      <c r="B5" s="2">
        <v>4.0</v>
      </c>
      <c r="E5" s="101"/>
      <c r="F5" s="99"/>
    </row>
    <row r="6">
      <c r="A6" s="2" t="s">
        <v>108</v>
      </c>
      <c r="B6" s="2">
        <v>5.0</v>
      </c>
      <c r="E6" s="98"/>
      <c r="F6" s="99"/>
    </row>
    <row r="7">
      <c r="A7" s="2" t="s">
        <v>30</v>
      </c>
      <c r="B7" s="2">
        <v>6.0</v>
      </c>
      <c r="E7" s="98"/>
      <c r="F7" s="99"/>
    </row>
    <row r="8">
      <c r="A8" s="2" t="s">
        <v>224</v>
      </c>
      <c r="B8" s="2">
        <v>7.0</v>
      </c>
      <c r="E8" s="98"/>
      <c r="F8" s="99"/>
    </row>
    <row r="9">
      <c r="A9" s="2" t="s">
        <v>225</v>
      </c>
      <c r="B9" s="2">
        <v>8.0</v>
      </c>
      <c r="E9" s="98"/>
      <c r="F9" s="99"/>
    </row>
    <row r="10">
      <c r="E10" s="101"/>
      <c r="F10" s="99"/>
    </row>
    <row r="11">
      <c r="E11" s="98"/>
      <c r="F11" s="99"/>
    </row>
    <row r="12">
      <c r="E12" s="101"/>
      <c r="F12" s="99"/>
    </row>
    <row r="13">
      <c r="E13" s="100"/>
      <c r="F13" s="99"/>
    </row>
    <row r="14">
      <c r="E14" s="98"/>
      <c r="F14" s="99"/>
    </row>
    <row r="15">
      <c r="E15" s="98"/>
      <c r="F15" s="99"/>
    </row>
    <row r="16">
      <c r="E16" s="101"/>
      <c r="F16" s="99"/>
    </row>
    <row r="17">
      <c r="E17" s="98"/>
      <c r="F17" s="99"/>
    </row>
    <row r="18">
      <c r="E18" s="98"/>
      <c r="F18" s="99"/>
    </row>
    <row r="19">
      <c r="E19" s="98"/>
      <c r="F19" s="99"/>
    </row>
    <row r="20">
      <c r="E20" s="100"/>
      <c r="F20" s="99"/>
    </row>
    <row r="21">
      <c r="E21" s="100"/>
      <c r="F21" s="99"/>
    </row>
    <row r="22">
      <c r="E22" s="101"/>
      <c r="F22" s="99"/>
    </row>
    <row r="23">
      <c r="E23" s="98"/>
      <c r="F23" s="99"/>
    </row>
    <row r="24">
      <c r="E24" s="98"/>
      <c r="F24" s="99"/>
    </row>
    <row r="25">
      <c r="E25" s="98"/>
      <c r="F25" s="99"/>
    </row>
    <row r="26">
      <c r="E26" s="98"/>
      <c r="F26" s="99"/>
    </row>
    <row r="27">
      <c r="E27" s="98"/>
      <c r="F27" s="99"/>
    </row>
    <row r="28">
      <c r="E28" s="98"/>
      <c r="F28" s="99"/>
    </row>
    <row r="29">
      <c r="E29" s="98"/>
      <c r="F29" s="99"/>
    </row>
    <row r="30">
      <c r="E30" s="98"/>
      <c r="F30" s="99"/>
    </row>
    <row r="31">
      <c r="E31" s="98"/>
      <c r="F31" s="99"/>
    </row>
    <row r="32">
      <c r="E32" s="98"/>
      <c r="F32" s="99"/>
    </row>
    <row r="33">
      <c r="E33" s="98"/>
      <c r="F33" s="99"/>
    </row>
    <row r="34">
      <c r="E34" s="98"/>
      <c r="F34" s="99"/>
    </row>
    <row r="35">
      <c r="E35" s="98"/>
      <c r="F35" s="99"/>
    </row>
    <row r="36">
      <c r="E36" s="98"/>
      <c r="F36" s="99"/>
    </row>
    <row r="37">
      <c r="E37" s="98"/>
      <c r="F37" s="99"/>
    </row>
    <row r="38">
      <c r="E38" s="100"/>
      <c r="F38" s="99"/>
    </row>
    <row r="39">
      <c r="E39" s="100"/>
      <c r="F39" s="99"/>
    </row>
    <row r="40">
      <c r="E40" s="100"/>
      <c r="F40" s="99"/>
    </row>
    <row r="41">
      <c r="E41" s="100"/>
      <c r="F41" s="99"/>
    </row>
    <row r="42">
      <c r="E42" s="98"/>
      <c r="F42" s="99"/>
    </row>
    <row r="43">
      <c r="E43" s="98"/>
      <c r="F43" s="99"/>
    </row>
    <row r="44">
      <c r="E44" s="98"/>
      <c r="F44" s="99"/>
    </row>
    <row r="45">
      <c r="E45" s="98"/>
      <c r="F45" s="99"/>
    </row>
    <row r="46">
      <c r="E46" s="98"/>
      <c r="F46" s="99"/>
    </row>
    <row r="47">
      <c r="E47" s="98"/>
      <c r="F47" s="99"/>
    </row>
    <row r="48">
      <c r="E48" s="98"/>
      <c r="F48" s="99"/>
    </row>
    <row r="49">
      <c r="E49" s="98"/>
      <c r="F49" s="99"/>
    </row>
    <row r="50">
      <c r="E50" s="98"/>
      <c r="F50" s="99"/>
    </row>
    <row r="51">
      <c r="E51" s="98"/>
      <c r="F51" s="99"/>
    </row>
    <row r="52">
      <c r="E52" s="101"/>
      <c r="F52" s="99"/>
    </row>
    <row r="53">
      <c r="E53" s="101"/>
      <c r="F53" s="99"/>
    </row>
    <row r="54">
      <c r="E54" s="100"/>
      <c r="F54" s="99"/>
    </row>
    <row r="55">
      <c r="E55" s="101"/>
      <c r="F55" s="99"/>
    </row>
    <row r="56">
      <c r="E56" s="101"/>
      <c r="F56" s="99"/>
    </row>
    <row r="57">
      <c r="E57" s="101"/>
      <c r="F57" s="99"/>
    </row>
    <row r="58">
      <c r="E58" s="101"/>
      <c r="F58" s="99"/>
    </row>
    <row r="59">
      <c r="E59" s="101"/>
      <c r="F59" s="99"/>
    </row>
    <row r="60">
      <c r="E60" s="101"/>
      <c r="F60" s="99"/>
    </row>
    <row r="61">
      <c r="E61" s="101"/>
      <c r="F61" s="99"/>
    </row>
    <row r="62">
      <c r="E62" s="101"/>
      <c r="F62" s="99"/>
    </row>
    <row r="63">
      <c r="E63" s="101"/>
      <c r="F63" s="99"/>
    </row>
    <row r="64">
      <c r="E64" s="101"/>
      <c r="F64" s="99"/>
    </row>
    <row r="65">
      <c r="E65" s="101"/>
      <c r="F65" s="99"/>
    </row>
    <row r="66">
      <c r="E66" s="101"/>
      <c r="F66" s="99"/>
    </row>
    <row r="67">
      <c r="E67" s="101"/>
      <c r="F67" s="99"/>
    </row>
    <row r="68">
      <c r="E68" s="101"/>
      <c r="F68" s="99"/>
    </row>
    <row r="69">
      <c r="E69" s="101"/>
      <c r="F69" s="99"/>
    </row>
    <row r="70">
      <c r="E70" s="101"/>
      <c r="F70" s="99"/>
    </row>
    <row r="71">
      <c r="E71" s="101"/>
      <c r="F71" s="99"/>
    </row>
    <row r="72">
      <c r="E72" s="101"/>
      <c r="F72" s="99"/>
    </row>
    <row r="73">
      <c r="E73" s="101"/>
      <c r="F73" s="99"/>
    </row>
    <row r="74">
      <c r="E74" s="101"/>
      <c r="F74" s="99"/>
    </row>
    <row r="75">
      <c r="E75" s="101"/>
      <c r="F75" s="99"/>
    </row>
    <row r="76">
      <c r="E76" s="101"/>
      <c r="F76" s="99"/>
    </row>
    <row r="77">
      <c r="E77" s="101"/>
      <c r="F77" s="99"/>
    </row>
    <row r="78">
      <c r="E78" s="101"/>
      <c r="F78" s="99"/>
    </row>
    <row r="79">
      <c r="E79" s="101"/>
      <c r="F79" s="99"/>
    </row>
    <row r="80">
      <c r="E80" s="101"/>
      <c r="F80" s="99"/>
    </row>
    <row r="81">
      <c r="E81" s="98"/>
      <c r="F81" s="99"/>
    </row>
    <row r="82">
      <c r="E82" s="98"/>
      <c r="F82" s="99"/>
    </row>
    <row r="83">
      <c r="E83" s="98"/>
      <c r="F83" s="99"/>
    </row>
    <row r="84">
      <c r="E84" s="98"/>
      <c r="F84" s="99"/>
    </row>
    <row r="85">
      <c r="E85" s="98"/>
      <c r="F85" s="99"/>
    </row>
    <row r="86">
      <c r="E86" s="98"/>
      <c r="F86" s="99"/>
    </row>
    <row r="87">
      <c r="E87" s="98"/>
      <c r="F87" s="99"/>
    </row>
    <row r="88">
      <c r="E88" s="98"/>
      <c r="F88" s="99"/>
    </row>
    <row r="89">
      <c r="E89" s="98"/>
      <c r="F89" s="99"/>
    </row>
    <row r="90">
      <c r="E90" s="98"/>
      <c r="F90" s="99"/>
    </row>
    <row r="91">
      <c r="E91" s="98"/>
      <c r="F91" s="99"/>
    </row>
    <row r="92">
      <c r="E92" s="98"/>
      <c r="F92" s="99"/>
    </row>
    <row r="93">
      <c r="E93" s="98"/>
      <c r="F93" s="99"/>
    </row>
    <row r="94">
      <c r="E94" s="98"/>
      <c r="F94" s="99"/>
    </row>
    <row r="95">
      <c r="E95" s="98"/>
      <c r="F95" s="99"/>
    </row>
    <row r="96">
      <c r="E96" s="98"/>
      <c r="F96" s="99"/>
    </row>
    <row r="97">
      <c r="E97" s="98"/>
      <c r="F97" s="99"/>
    </row>
    <row r="98">
      <c r="E98" s="101"/>
      <c r="F98" s="99"/>
    </row>
    <row r="99">
      <c r="E99" s="101"/>
      <c r="F99" s="99"/>
    </row>
    <row r="100">
      <c r="E100" s="101"/>
      <c r="F100" s="99"/>
    </row>
    <row r="101">
      <c r="E101" s="101"/>
      <c r="F101" s="99"/>
    </row>
    <row r="102">
      <c r="E102" s="101"/>
      <c r="F102" s="99"/>
    </row>
    <row r="103">
      <c r="E103" s="101"/>
      <c r="F103" s="99"/>
    </row>
    <row r="104">
      <c r="E104" s="101"/>
      <c r="F104" s="99"/>
    </row>
    <row r="105">
      <c r="E105" s="101"/>
      <c r="F105" s="99"/>
    </row>
    <row r="106">
      <c r="E106" s="101"/>
      <c r="F106" s="99"/>
    </row>
    <row r="107">
      <c r="E107" s="101"/>
      <c r="F107" s="99"/>
    </row>
  </sheetData>
  <conditionalFormatting sqref="E83:E107">
    <cfRule type="containsText" dxfId="7" priority="1" operator="containsText" text="4">
      <formula>NOT(ISERROR(SEARCH(("4"),(E83))))</formula>
    </cfRule>
  </conditionalFormatting>
  <conditionalFormatting sqref="E83:E107">
    <cfRule type="cellIs" dxfId="8" priority="2" operator="equal">
      <formula>3</formula>
    </cfRule>
  </conditionalFormatting>
  <conditionalFormatting sqref="E83:E107">
    <cfRule type="cellIs" dxfId="9" priority="3" operator="equal">
      <formula>5</formula>
    </cfRule>
  </conditionalFormatting>
  <conditionalFormatting sqref="E83:E107">
    <cfRule type="cellIs" dxfId="10" priority="4" operator="equal">
      <formula>3</formula>
    </cfRule>
  </conditionalFormatting>
  <conditionalFormatting sqref="E83:E107">
    <cfRule type="cellIs" dxfId="11" priority="5" operator="equal">
      <formula>2</formula>
    </cfRule>
  </conditionalFormatting>
  <conditionalFormatting sqref="E83:E107">
    <cfRule type="cellIs" dxfId="12" priority="6" operator="equal">
      <formula>6</formula>
    </cfRule>
  </conditionalFormatting>
  <conditionalFormatting sqref="E81:E82">
    <cfRule type="containsText" dxfId="7" priority="7" operator="containsText" text="4">
      <formula>NOT(ISERROR(SEARCH(("4"),(E81))))</formula>
    </cfRule>
  </conditionalFormatting>
  <conditionalFormatting sqref="E81:E82">
    <cfRule type="cellIs" dxfId="8" priority="8" operator="equal">
      <formula>3</formula>
    </cfRule>
  </conditionalFormatting>
  <conditionalFormatting sqref="E81:E82">
    <cfRule type="cellIs" dxfId="9" priority="9" operator="equal">
      <formula>5</formula>
    </cfRule>
  </conditionalFormatting>
  <conditionalFormatting sqref="E81:E82">
    <cfRule type="cellIs" dxfId="10" priority="10" operator="equal">
      <formula>3</formula>
    </cfRule>
  </conditionalFormatting>
  <conditionalFormatting sqref="E81:E82">
    <cfRule type="cellIs" dxfId="11" priority="11" operator="equal">
      <formula>2</formula>
    </cfRule>
  </conditionalFormatting>
  <conditionalFormatting sqref="E81:E82">
    <cfRule type="cellIs" dxfId="12" priority="12" operator="equal">
      <formula>6</formula>
    </cfRule>
  </conditionalFormatting>
  <conditionalFormatting sqref="E70:E80">
    <cfRule type="containsText" dxfId="7" priority="13" operator="containsText" text="4">
      <formula>NOT(ISERROR(SEARCH(("4"),(E70))))</formula>
    </cfRule>
  </conditionalFormatting>
  <conditionalFormatting sqref="E70:E80">
    <cfRule type="cellIs" dxfId="8" priority="14" operator="equal">
      <formula>3</formula>
    </cfRule>
  </conditionalFormatting>
  <conditionalFormatting sqref="E70:E80">
    <cfRule type="cellIs" dxfId="9" priority="15" operator="equal">
      <formula>5</formula>
    </cfRule>
  </conditionalFormatting>
  <conditionalFormatting sqref="E70:E80">
    <cfRule type="cellIs" dxfId="10" priority="16" operator="equal">
      <formula>3</formula>
    </cfRule>
  </conditionalFormatting>
  <conditionalFormatting sqref="E70:E80">
    <cfRule type="cellIs" dxfId="11" priority="17" operator="equal">
      <formula>2</formula>
    </cfRule>
  </conditionalFormatting>
  <conditionalFormatting sqref="E70:E80">
    <cfRule type="cellIs" dxfId="12" priority="18" operator="equal">
      <formula>6</formula>
    </cfRule>
  </conditionalFormatting>
  <conditionalFormatting sqref="E47:E69">
    <cfRule type="containsText" dxfId="7" priority="19" operator="containsText" text="4">
      <formula>NOT(ISERROR(SEARCH(("4"),(E47))))</formula>
    </cfRule>
  </conditionalFormatting>
  <conditionalFormatting sqref="E47:E69">
    <cfRule type="cellIs" dxfId="8" priority="20" operator="equal">
      <formula>3</formula>
    </cfRule>
  </conditionalFormatting>
  <conditionalFormatting sqref="E47:E69">
    <cfRule type="cellIs" dxfId="9" priority="21" operator="equal">
      <formula>5</formula>
    </cfRule>
  </conditionalFormatting>
  <conditionalFormatting sqref="E47:E69">
    <cfRule type="cellIs" dxfId="10" priority="22" operator="equal">
      <formula>3</formula>
    </cfRule>
  </conditionalFormatting>
  <conditionalFormatting sqref="E47:E69">
    <cfRule type="cellIs" dxfId="11" priority="23" operator="equal">
      <formula>2</formula>
    </cfRule>
  </conditionalFormatting>
  <conditionalFormatting sqref="E47:E69">
    <cfRule type="cellIs" dxfId="12" priority="24" operator="equal">
      <formula>6</formula>
    </cfRule>
  </conditionalFormatting>
  <conditionalFormatting sqref="E15:E46">
    <cfRule type="containsText" dxfId="7" priority="25" operator="containsText" text="4">
      <formula>NOT(ISERROR(SEARCH(("4"),(E15))))</formula>
    </cfRule>
  </conditionalFormatting>
  <conditionalFormatting sqref="E15:E46">
    <cfRule type="cellIs" dxfId="8" priority="26" operator="equal">
      <formula>3</formula>
    </cfRule>
  </conditionalFormatting>
  <conditionalFormatting sqref="E15:E46">
    <cfRule type="cellIs" dxfId="9" priority="27" operator="equal">
      <formula>5</formula>
    </cfRule>
  </conditionalFormatting>
  <conditionalFormatting sqref="E15:E46">
    <cfRule type="cellIs" dxfId="10" priority="28" operator="equal">
      <formula>3</formula>
    </cfRule>
  </conditionalFormatting>
  <conditionalFormatting sqref="E15:E46">
    <cfRule type="cellIs" dxfId="11" priority="29" operator="equal">
      <formula>2</formula>
    </cfRule>
  </conditionalFormatting>
  <conditionalFormatting sqref="E15:E46">
    <cfRule type="cellIs" dxfId="12" priority="30" operator="equal">
      <formula>6</formula>
    </cfRule>
  </conditionalFormatting>
  <conditionalFormatting sqref="E11:E14">
    <cfRule type="containsText" dxfId="7" priority="31" operator="containsText" text="4">
      <formula>NOT(ISERROR(SEARCH(("4"),(E11))))</formula>
    </cfRule>
  </conditionalFormatting>
  <conditionalFormatting sqref="E11:E14">
    <cfRule type="cellIs" dxfId="8" priority="32" operator="equal">
      <formula>3</formula>
    </cfRule>
  </conditionalFormatting>
  <conditionalFormatting sqref="E11:E14">
    <cfRule type="cellIs" dxfId="9" priority="33" operator="equal">
      <formula>5</formula>
    </cfRule>
  </conditionalFormatting>
  <conditionalFormatting sqref="E11:E14">
    <cfRule type="cellIs" dxfId="10" priority="34" operator="equal">
      <formula>3</formula>
    </cfRule>
  </conditionalFormatting>
  <conditionalFormatting sqref="E11:E14">
    <cfRule type="cellIs" dxfId="11" priority="35" operator="equal">
      <formula>2</formula>
    </cfRule>
  </conditionalFormatting>
  <conditionalFormatting sqref="E11:E14">
    <cfRule type="cellIs" dxfId="12" priority="36" operator="equal">
      <formula>6</formula>
    </cfRule>
  </conditionalFormatting>
  <conditionalFormatting sqref="E7:E10">
    <cfRule type="containsText" dxfId="7" priority="37" operator="containsText" text="4">
      <formula>NOT(ISERROR(SEARCH(("4"),(E7))))</formula>
    </cfRule>
  </conditionalFormatting>
  <conditionalFormatting sqref="E7:E10">
    <cfRule type="cellIs" dxfId="8" priority="38" operator="equal">
      <formula>3</formula>
    </cfRule>
  </conditionalFormatting>
  <conditionalFormatting sqref="E7:E10">
    <cfRule type="cellIs" dxfId="9" priority="39" operator="equal">
      <formula>5</formula>
    </cfRule>
  </conditionalFormatting>
  <conditionalFormatting sqref="E7:E10">
    <cfRule type="cellIs" dxfId="10" priority="40" operator="equal">
      <formula>3</formula>
    </cfRule>
  </conditionalFormatting>
  <conditionalFormatting sqref="E7:E10">
    <cfRule type="cellIs" dxfId="11" priority="41" operator="equal">
      <formula>2</formula>
    </cfRule>
  </conditionalFormatting>
  <conditionalFormatting sqref="E7:E10">
    <cfRule type="cellIs" dxfId="12" priority="42" operator="equal">
      <formula>6</formula>
    </cfRule>
  </conditionalFormatting>
  <conditionalFormatting sqref="E2:E6">
    <cfRule type="containsText" dxfId="7" priority="43" operator="containsText" text="4">
      <formula>NOT(ISERROR(SEARCH(("4"),(E2))))</formula>
    </cfRule>
  </conditionalFormatting>
  <conditionalFormatting sqref="E2:E6">
    <cfRule type="cellIs" dxfId="8" priority="44" operator="equal">
      <formula>3</formula>
    </cfRule>
  </conditionalFormatting>
  <conditionalFormatting sqref="E2:E6">
    <cfRule type="cellIs" dxfId="9" priority="45" operator="equal">
      <formula>5</formula>
    </cfRule>
  </conditionalFormatting>
  <conditionalFormatting sqref="E2:E6">
    <cfRule type="cellIs" dxfId="10" priority="46" operator="equal">
      <formula>3</formula>
    </cfRule>
  </conditionalFormatting>
  <conditionalFormatting sqref="E2:E6">
    <cfRule type="cellIs" dxfId="11" priority="47" operator="equal">
      <formula>2</formula>
    </cfRule>
  </conditionalFormatting>
  <conditionalFormatting sqref="E2:E6">
    <cfRule type="cellIs" dxfId="12" priority="48" operator="equal">
      <formula>6</formula>
    </cfRule>
  </conditionalFormatting>
  <conditionalFormatting sqref="E1">
    <cfRule type="containsText" dxfId="7" priority="49" operator="containsText" text="4">
      <formula>NOT(ISERROR(SEARCH(("4"),(E1))))</formula>
    </cfRule>
  </conditionalFormatting>
  <conditionalFormatting sqref="E1">
    <cfRule type="cellIs" dxfId="8" priority="50" operator="equal">
      <formula>3</formula>
    </cfRule>
  </conditionalFormatting>
  <conditionalFormatting sqref="E1">
    <cfRule type="cellIs" dxfId="9" priority="51" operator="equal">
      <formula>5</formula>
    </cfRule>
  </conditionalFormatting>
  <conditionalFormatting sqref="E1">
    <cfRule type="cellIs" dxfId="10" priority="52" operator="equal">
      <formula>3</formula>
    </cfRule>
  </conditionalFormatting>
  <conditionalFormatting sqref="E1">
    <cfRule type="cellIs" dxfId="11" priority="53" operator="equal">
      <formula>2</formula>
    </cfRule>
  </conditionalFormatting>
  <conditionalFormatting sqref="E1">
    <cfRule type="cellIs" dxfId="12" priority="54" operator="equal">
      <formula>6</formula>
    </cfRule>
  </conditionalFormatting>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6" width="16.38"/>
    <col customWidth="1" min="8" max="8" width="20.88"/>
    <col customWidth="1" min="9" max="9" width="20.38"/>
    <col customWidth="1" min="10" max="10" width="18.38"/>
    <col customWidth="1" min="11" max="11" width="22.88"/>
    <col customWidth="1" min="12" max="12" width="28.63"/>
    <col customWidth="1" min="13" max="13" width="29.88"/>
    <col customWidth="1" min="14" max="15" width="38.38"/>
    <col customWidth="1" min="16" max="16" width="74.63"/>
  </cols>
  <sheetData>
    <row r="1" ht="22.5" customHeight="1">
      <c r="A1" s="103" t="s">
        <v>83</v>
      </c>
      <c r="B1" s="103" t="s">
        <v>84</v>
      </c>
      <c r="C1" s="103" t="s">
        <v>118</v>
      </c>
      <c r="D1" s="104" t="s">
        <v>120</v>
      </c>
      <c r="E1" s="104" t="s">
        <v>121</v>
      </c>
      <c r="F1" s="104" t="s">
        <v>122</v>
      </c>
      <c r="G1" s="103" t="s">
        <v>239</v>
      </c>
      <c r="H1" s="104" t="s">
        <v>240</v>
      </c>
      <c r="I1" s="104" t="s">
        <v>241</v>
      </c>
      <c r="J1" s="103" t="s">
        <v>242</v>
      </c>
      <c r="K1" s="103" t="s">
        <v>243</v>
      </c>
      <c r="L1" s="104" t="s">
        <v>244</v>
      </c>
      <c r="M1" s="103" t="s">
        <v>245</v>
      </c>
      <c r="N1" s="104" t="s">
        <v>3</v>
      </c>
      <c r="O1" s="103" t="s">
        <v>246</v>
      </c>
      <c r="P1" s="10" t="s">
        <v>247</v>
      </c>
      <c r="Q1" s="105"/>
      <c r="R1" s="105"/>
      <c r="S1" s="105"/>
      <c r="T1" s="105"/>
      <c r="U1" s="105"/>
      <c r="V1" s="105"/>
      <c r="W1" s="105"/>
      <c r="X1" s="105"/>
      <c r="Y1" s="105"/>
      <c r="Z1" s="105"/>
      <c r="AA1" s="105"/>
      <c r="AB1" s="105"/>
      <c r="AC1" s="105"/>
      <c r="AD1" s="105"/>
      <c r="AE1" s="105"/>
      <c r="AF1" s="105"/>
      <c r="AG1" s="105"/>
      <c r="AH1" s="105"/>
      <c r="AI1" s="105"/>
      <c r="AJ1" s="105"/>
      <c r="AK1" s="105"/>
      <c r="AL1" s="105"/>
      <c r="AM1" s="105"/>
    </row>
    <row r="2" ht="22.5" customHeight="1">
      <c r="A2" s="106" t="s">
        <v>248</v>
      </c>
      <c r="B2" s="44" t="s">
        <v>7</v>
      </c>
      <c r="C2" s="107" t="s">
        <v>250</v>
      </c>
      <c r="D2" s="108" t="s">
        <v>251</v>
      </c>
      <c r="E2" s="44" t="s">
        <v>167</v>
      </c>
      <c r="F2" s="44" t="s">
        <v>252</v>
      </c>
      <c r="G2" s="44" t="s">
        <v>253</v>
      </c>
      <c r="H2" s="44" t="s">
        <v>254</v>
      </c>
      <c r="I2" s="44" t="s">
        <v>255</v>
      </c>
      <c r="J2" s="44" t="s">
        <v>190</v>
      </c>
      <c r="K2" s="44" t="s">
        <v>190</v>
      </c>
      <c r="L2" s="44" t="s">
        <v>256</v>
      </c>
      <c r="M2" s="109" t="s">
        <v>257</v>
      </c>
      <c r="N2" s="44" t="s">
        <v>258</v>
      </c>
      <c r="O2" s="44" t="s">
        <v>259</v>
      </c>
      <c r="P2" s="67"/>
    </row>
    <row r="3" ht="22.5" customHeight="1">
      <c r="A3" s="106" t="s">
        <v>260</v>
      </c>
      <c r="B3" s="44" t="s">
        <v>203</v>
      </c>
      <c r="C3" s="110" t="s">
        <v>261</v>
      </c>
      <c r="D3" s="111" t="s">
        <v>262</v>
      </c>
      <c r="E3" s="44" t="s">
        <v>167</v>
      </c>
      <c r="F3" s="44" t="s">
        <v>252</v>
      </c>
      <c r="G3" s="44" t="s">
        <v>263</v>
      </c>
      <c r="H3" s="44" t="s">
        <v>264</v>
      </c>
      <c r="I3" s="44" t="s">
        <v>265</v>
      </c>
      <c r="J3" s="44" t="s">
        <v>190</v>
      </c>
      <c r="K3" s="109" t="s">
        <v>266</v>
      </c>
      <c r="L3" s="44" t="s">
        <v>267</v>
      </c>
      <c r="M3" s="44" t="s">
        <v>147</v>
      </c>
      <c r="N3" s="44" t="s">
        <v>269</v>
      </c>
      <c r="O3" s="44" t="s">
        <v>270</v>
      </c>
      <c r="P3" s="67"/>
    </row>
    <row r="4" ht="22.5" customHeight="1">
      <c r="A4" s="106" t="s">
        <v>272</v>
      </c>
      <c r="B4" s="44" t="s">
        <v>138</v>
      </c>
      <c r="C4" s="112" t="s">
        <v>273</v>
      </c>
      <c r="D4" s="113" t="s">
        <v>274</v>
      </c>
      <c r="E4" s="44" t="s">
        <v>167</v>
      </c>
      <c r="F4" s="44" t="s">
        <v>252</v>
      </c>
      <c r="G4" s="44" t="s">
        <v>275</v>
      </c>
      <c r="H4" s="44" t="s">
        <v>276</v>
      </c>
      <c r="I4" s="44" t="s">
        <v>277</v>
      </c>
      <c r="J4" s="109" t="s">
        <v>278</v>
      </c>
      <c r="K4" s="44" t="s">
        <v>190</v>
      </c>
      <c r="L4" s="44" t="s">
        <v>279</v>
      </c>
      <c r="M4" s="44" t="s">
        <v>280</v>
      </c>
      <c r="N4" s="44" t="s">
        <v>281</v>
      </c>
      <c r="O4" s="44" t="s">
        <v>282</v>
      </c>
      <c r="P4" s="67"/>
    </row>
    <row r="5" ht="22.5" customHeight="1">
      <c r="A5" s="106" t="s">
        <v>284</v>
      </c>
      <c r="B5" s="44" t="s">
        <v>205</v>
      </c>
      <c r="C5" s="114" t="s">
        <v>286</v>
      </c>
      <c r="D5" s="115" t="s">
        <v>287</v>
      </c>
      <c r="E5" s="44" t="s">
        <v>167</v>
      </c>
      <c r="F5" s="44" t="s">
        <v>252</v>
      </c>
      <c r="G5" s="44" t="s">
        <v>288</v>
      </c>
      <c r="H5" s="44" t="s">
        <v>289</v>
      </c>
      <c r="I5" s="44" t="s">
        <v>290</v>
      </c>
      <c r="J5" s="109" t="s">
        <v>66</v>
      </c>
      <c r="K5" s="44" t="s">
        <v>291</v>
      </c>
      <c r="L5" s="44" t="s">
        <v>292</v>
      </c>
      <c r="M5" s="44" t="s">
        <v>293</v>
      </c>
      <c r="N5" s="44" t="s">
        <v>294</v>
      </c>
      <c r="O5" s="44" t="s">
        <v>295</v>
      </c>
      <c r="P5" s="67"/>
    </row>
    <row r="6" ht="22.5" customHeight="1">
      <c r="A6" s="106" t="s">
        <v>296</v>
      </c>
      <c r="B6" s="44" t="s">
        <v>204</v>
      </c>
      <c r="C6" s="116" t="s">
        <v>297</v>
      </c>
      <c r="D6" s="117" t="s">
        <v>298</v>
      </c>
      <c r="E6" s="44" t="s">
        <v>167</v>
      </c>
      <c r="F6" s="44" t="s">
        <v>252</v>
      </c>
      <c r="G6" s="44" t="s">
        <v>299</v>
      </c>
      <c r="H6" s="44" t="s">
        <v>300</v>
      </c>
      <c r="I6" s="44" t="s">
        <v>301</v>
      </c>
      <c r="J6" s="109" t="s">
        <v>302</v>
      </c>
      <c r="K6" s="44" t="s">
        <v>190</v>
      </c>
      <c r="L6" s="44" t="s">
        <v>303</v>
      </c>
      <c r="M6" s="44" t="s">
        <v>304</v>
      </c>
      <c r="N6" s="44" t="s">
        <v>305</v>
      </c>
      <c r="O6" s="44" t="s">
        <v>306</v>
      </c>
      <c r="P6" s="118"/>
    </row>
    <row r="7" ht="22.5" customHeight="1">
      <c r="A7" s="106" t="s">
        <v>307</v>
      </c>
      <c r="B7" s="44" t="s">
        <v>201</v>
      </c>
      <c r="C7" s="119" t="s">
        <v>308</v>
      </c>
      <c r="D7" s="120" t="s">
        <v>309</v>
      </c>
      <c r="E7" s="44" t="s">
        <v>167</v>
      </c>
      <c r="F7" s="44" t="s">
        <v>252</v>
      </c>
      <c r="G7" s="44" t="s">
        <v>310</v>
      </c>
      <c r="H7" s="44" t="s">
        <v>311</v>
      </c>
      <c r="I7" s="44" t="s">
        <v>312</v>
      </c>
      <c r="J7" s="109" t="s">
        <v>313</v>
      </c>
      <c r="K7" s="44" t="s">
        <v>291</v>
      </c>
      <c r="L7" s="44" t="s">
        <v>314</v>
      </c>
      <c r="M7" s="44" t="s">
        <v>315</v>
      </c>
      <c r="N7" s="44" t="s">
        <v>316</v>
      </c>
      <c r="O7" s="44" t="s">
        <v>317</v>
      </c>
      <c r="P7" s="67"/>
    </row>
    <row r="8" ht="22.5" customHeight="1">
      <c r="A8" s="106" t="s">
        <v>318</v>
      </c>
      <c r="B8" s="44" t="s">
        <v>10</v>
      </c>
      <c r="C8" s="121" t="s">
        <v>319</v>
      </c>
      <c r="D8" s="122" t="s">
        <v>320</v>
      </c>
      <c r="E8" s="44" t="s">
        <v>167</v>
      </c>
      <c r="F8" s="44" t="s">
        <v>252</v>
      </c>
      <c r="G8" s="44" t="s">
        <v>322</v>
      </c>
      <c r="H8" s="44" t="s">
        <v>323</v>
      </c>
      <c r="I8" s="44" t="s">
        <v>324</v>
      </c>
      <c r="J8" s="44" t="s">
        <v>190</v>
      </c>
      <c r="K8" s="44" t="s">
        <v>190</v>
      </c>
      <c r="L8" s="44" t="s">
        <v>325</v>
      </c>
      <c r="M8" s="44" t="s">
        <v>326</v>
      </c>
      <c r="N8" s="44" t="s">
        <v>327</v>
      </c>
      <c r="O8" s="44" t="s">
        <v>329</v>
      </c>
      <c r="P8" s="67" t="s">
        <v>330</v>
      </c>
    </row>
    <row r="9" ht="22.5" customHeight="1">
      <c r="A9" s="106" t="s">
        <v>331</v>
      </c>
      <c r="B9" s="44" t="s">
        <v>202</v>
      </c>
      <c r="C9" s="123" t="s">
        <v>332</v>
      </c>
      <c r="D9" s="124" t="s">
        <v>333</v>
      </c>
      <c r="E9" s="44" t="s">
        <v>167</v>
      </c>
      <c r="F9" s="44" t="s">
        <v>252</v>
      </c>
      <c r="G9" s="44" t="s">
        <v>336</v>
      </c>
      <c r="H9" s="44" t="s">
        <v>337</v>
      </c>
      <c r="I9" s="44" t="s">
        <v>338</v>
      </c>
      <c r="J9" s="44" t="s">
        <v>190</v>
      </c>
      <c r="K9" s="109" t="s">
        <v>339</v>
      </c>
      <c r="L9" s="44" t="s">
        <v>340</v>
      </c>
      <c r="N9" s="44"/>
      <c r="O9" s="44" t="s">
        <v>341</v>
      </c>
      <c r="P9" s="67" t="s">
        <v>342</v>
      </c>
    </row>
    <row r="10" ht="22.5" customHeight="1">
      <c r="A10" s="106" t="s">
        <v>343</v>
      </c>
      <c r="B10" s="125" t="s">
        <v>344</v>
      </c>
      <c r="C10" s="126" t="s">
        <v>345</v>
      </c>
      <c r="D10" s="127" t="s">
        <v>346</v>
      </c>
      <c r="E10" s="44" t="s">
        <v>167</v>
      </c>
      <c r="F10" s="44" t="s">
        <v>252</v>
      </c>
      <c r="G10" s="44" t="s">
        <v>347</v>
      </c>
      <c r="H10" s="44"/>
      <c r="I10" s="44" t="s">
        <v>348</v>
      </c>
      <c r="J10" s="109" t="s">
        <v>350</v>
      </c>
      <c r="K10" s="44" t="s">
        <v>291</v>
      </c>
      <c r="L10" s="44"/>
      <c r="M10" s="44"/>
      <c r="N10" s="44"/>
      <c r="O10" s="44"/>
      <c r="P10" s="67"/>
    </row>
    <row r="11" ht="22.5" customHeight="1">
      <c r="A11" s="106" t="s">
        <v>352</v>
      </c>
      <c r="B11" s="44" t="s">
        <v>353</v>
      </c>
      <c r="D11" s="128"/>
      <c r="E11" s="44" t="s">
        <v>167</v>
      </c>
      <c r="F11" s="44" t="s">
        <v>252</v>
      </c>
      <c r="I11" s="44" t="s">
        <v>355</v>
      </c>
      <c r="J11" s="44" t="s">
        <v>356</v>
      </c>
      <c r="K11" s="44" t="s">
        <v>356</v>
      </c>
      <c r="P11" s="67" t="s">
        <v>357</v>
      </c>
    </row>
    <row r="12" ht="22.5" customHeight="1">
      <c r="A12" s="106" t="s">
        <v>358</v>
      </c>
      <c r="B12" s="125" t="s">
        <v>359</v>
      </c>
      <c r="D12" s="128"/>
      <c r="E12" s="44"/>
      <c r="F12" s="44"/>
      <c r="H12" s="44" t="s">
        <v>360</v>
      </c>
      <c r="I12" s="44"/>
      <c r="J12" s="44"/>
      <c r="K12" s="44"/>
      <c r="P12" s="67"/>
    </row>
    <row r="13" ht="22.5" customHeight="1">
      <c r="A13" s="130" t="s">
        <v>361</v>
      </c>
      <c r="B13" s="125" t="s">
        <v>362</v>
      </c>
      <c r="C13" s="131" t="s">
        <v>363</v>
      </c>
      <c r="D13" s="132" t="s">
        <v>363</v>
      </c>
      <c r="E13" s="44" t="s">
        <v>167</v>
      </c>
      <c r="F13" s="44" t="s">
        <v>252</v>
      </c>
      <c r="G13" s="44" t="s">
        <v>365</v>
      </c>
      <c r="H13" s="44"/>
      <c r="I13" s="44"/>
      <c r="J13" s="44" t="s">
        <v>356</v>
      </c>
      <c r="K13" s="44" t="s">
        <v>356</v>
      </c>
      <c r="L13" s="44"/>
      <c r="M13" s="44"/>
      <c r="N13" s="44"/>
      <c r="O13" s="44"/>
      <c r="P13" s="67"/>
    </row>
    <row r="14">
      <c r="P14" s="133"/>
    </row>
    <row r="15">
      <c r="P15" s="133"/>
    </row>
    <row r="16">
      <c r="P16" s="133"/>
    </row>
    <row r="17">
      <c r="P17" s="133"/>
    </row>
    <row r="18">
      <c r="P18" s="133"/>
    </row>
    <row r="19">
      <c r="P19" s="133"/>
    </row>
    <row r="20">
      <c r="P20" s="133"/>
    </row>
    <row r="21">
      <c r="P21" s="133"/>
    </row>
    <row r="22">
      <c r="P22" s="133"/>
    </row>
    <row r="23">
      <c r="P23" s="133"/>
    </row>
    <row r="24">
      <c r="P24" s="133"/>
    </row>
    <row r="25">
      <c r="P25" s="133"/>
    </row>
    <row r="26">
      <c r="P26" s="133"/>
    </row>
    <row r="27">
      <c r="P27" s="133"/>
    </row>
    <row r="28">
      <c r="P28" s="133"/>
    </row>
    <row r="29">
      <c r="P29" s="133"/>
    </row>
    <row r="30">
      <c r="P30" s="133"/>
    </row>
    <row r="31">
      <c r="P31" s="133"/>
    </row>
    <row r="32">
      <c r="P32" s="133"/>
    </row>
    <row r="33">
      <c r="P33" s="133"/>
    </row>
    <row r="34">
      <c r="P34" s="133"/>
    </row>
    <row r="35">
      <c r="P35" s="133"/>
    </row>
    <row r="36">
      <c r="P36" s="133"/>
    </row>
    <row r="37">
      <c r="P37" s="133"/>
    </row>
    <row r="38">
      <c r="P38" s="133"/>
    </row>
    <row r="39">
      <c r="P39" s="133"/>
    </row>
    <row r="40">
      <c r="P40" s="133"/>
    </row>
    <row r="41">
      <c r="P41" s="133"/>
    </row>
    <row r="42">
      <c r="P42" s="133"/>
    </row>
    <row r="43">
      <c r="P43" s="133"/>
    </row>
    <row r="44">
      <c r="P44" s="133"/>
    </row>
    <row r="45">
      <c r="P45" s="133"/>
    </row>
    <row r="46">
      <c r="P46" s="133"/>
    </row>
    <row r="47">
      <c r="P47" s="133"/>
    </row>
    <row r="48">
      <c r="P48" s="133"/>
    </row>
    <row r="49">
      <c r="P49" s="133"/>
    </row>
    <row r="50">
      <c r="P50" s="133"/>
    </row>
    <row r="51">
      <c r="P51" s="133"/>
    </row>
    <row r="52">
      <c r="P52" s="133"/>
    </row>
    <row r="53">
      <c r="P53" s="133"/>
    </row>
    <row r="54">
      <c r="P54" s="133"/>
    </row>
    <row r="55">
      <c r="P55" s="133"/>
    </row>
    <row r="56">
      <c r="P56" s="133"/>
    </row>
    <row r="57">
      <c r="P57" s="133"/>
    </row>
    <row r="58">
      <c r="P58" s="133"/>
    </row>
    <row r="59">
      <c r="P59" s="133"/>
    </row>
    <row r="60">
      <c r="P60" s="133"/>
    </row>
    <row r="61">
      <c r="P61" s="133"/>
    </row>
    <row r="62">
      <c r="P62" s="133"/>
    </row>
    <row r="63">
      <c r="P63" s="133"/>
    </row>
    <row r="64">
      <c r="P64" s="133"/>
    </row>
    <row r="65">
      <c r="P65" s="133"/>
    </row>
    <row r="66">
      <c r="P66" s="133"/>
    </row>
    <row r="67">
      <c r="P67" s="133"/>
    </row>
    <row r="68">
      <c r="P68" s="133"/>
    </row>
    <row r="69">
      <c r="P69" s="133"/>
    </row>
    <row r="70">
      <c r="P70" s="133"/>
    </row>
    <row r="71">
      <c r="P71" s="133"/>
    </row>
    <row r="72">
      <c r="P72" s="133"/>
    </row>
    <row r="73">
      <c r="P73" s="133"/>
    </row>
    <row r="74">
      <c r="P74" s="133"/>
    </row>
    <row r="75">
      <c r="P75" s="133"/>
    </row>
    <row r="76">
      <c r="P76" s="133"/>
    </row>
    <row r="77">
      <c r="P77" s="133"/>
    </row>
    <row r="78">
      <c r="P78" s="133"/>
    </row>
    <row r="79">
      <c r="P79" s="133"/>
    </row>
    <row r="80">
      <c r="P80" s="133"/>
    </row>
    <row r="81">
      <c r="P81" s="133"/>
    </row>
    <row r="82">
      <c r="P82" s="133"/>
    </row>
    <row r="83">
      <c r="P83" s="133"/>
    </row>
    <row r="84">
      <c r="P84" s="133"/>
    </row>
    <row r="85">
      <c r="P85" s="133"/>
    </row>
    <row r="86">
      <c r="P86" s="133"/>
    </row>
    <row r="87">
      <c r="P87" s="133"/>
    </row>
    <row r="88">
      <c r="P88" s="133"/>
    </row>
    <row r="89">
      <c r="P89" s="133"/>
    </row>
    <row r="90">
      <c r="P90" s="133"/>
    </row>
    <row r="91">
      <c r="P91" s="133"/>
    </row>
    <row r="92">
      <c r="P92" s="133"/>
    </row>
    <row r="93">
      <c r="P93" s="133"/>
    </row>
    <row r="94">
      <c r="P94" s="133"/>
    </row>
    <row r="95">
      <c r="P95" s="133"/>
    </row>
    <row r="96">
      <c r="P96" s="133"/>
    </row>
    <row r="97">
      <c r="P97" s="133"/>
    </row>
    <row r="98">
      <c r="P98" s="133"/>
    </row>
    <row r="99">
      <c r="P99" s="133"/>
    </row>
    <row r="100">
      <c r="P100" s="133"/>
    </row>
    <row r="101">
      <c r="P101" s="133"/>
    </row>
    <row r="102">
      <c r="P102" s="133"/>
    </row>
    <row r="103">
      <c r="P103" s="133"/>
    </row>
    <row r="104">
      <c r="P104" s="133"/>
    </row>
    <row r="105">
      <c r="P105" s="133"/>
    </row>
    <row r="106">
      <c r="P106" s="133"/>
    </row>
    <row r="107">
      <c r="P107" s="133"/>
    </row>
    <row r="108">
      <c r="P108" s="133"/>
    </row>
    <row r="109">
      <c r="P109" s="133"/>
    </row>
    <row r="110">
      <c r="P110" s="133"/>
    </row>
    <row r="111">
      <c r="P111" s="133"/>
    </row>
    <row r="112">
      <c r="P112" s="133"/>
    </row>
    <row r="113">
      <c r="P113" s="133"/>
    </row>
    <row r="114">
      <c r="P114" s="133"/>
    </row>
    <row r="115">
      <c r="P115" s="133"/>
    </row>
    <row r="116">
      <c r="P116" s="133"/>
    </row>
    <row r="117">
      <c r="P117" s="133"/>
    </row>
    <row r="118">
      <c r="P118" s="133"/>
    </row>
    <row r="119">
      <c r="P119" s="133"/>
    </row>
    <row r="120">
      <c r="P120" s="133"/>
    </row>
    <row r="121">
      <c r="P121" s="133"/>
    </row>
    <row r="122">
      <c r="P122" s="133"/>
    </row>
    <row r="123">
      <c r="P123" s="133"/>
    </row>
    <row r="124">
      <c r="P124" s="133"/>
    </row>
    <row r="125">
      <c r="P125" s="133"/>
    </row>
    <row r="126">
      <c r="P126" s="133"/>
    </row>
    <row r="127">
      <c r="P127" s="133"/>
    </row>
    <row r="128">
      <c r="P128" s="133"/>
    </row>
    <row r="129">
      <c r="P129" s="133"/>
    </row>
    <row r="130">
      <c r="P130" s="133"/>
    </row>
    <row r="131">
      <c r="P131" s="133"/>
    </row>
    <row r="132">
      <c r="P132" s="133"/>
    </row>
    <row r="133">
      <c r="P133" s="133"/>
    </row>
    <row r="134">
      <c r="P134" s="133"/>
    </row>
    <row r="135">
      <c r="P135" s="133"/>
    </row>
    <row r="136">
      <c r="P136" s="133"/>
    </row>
    <row r="137">
      <c r="P137" s="133"/>
    </row>
    <row r="138">
      <c r="P138" s="133"/>
    </row>
    <row r="139">
      <c r="P139" s="133"/>
    </row>
    <row r="140">
      <c r="P140" s="133"/>
    </row>
    <row r="141">
      <c r="P141" s="133"/>
    </row>
    <row r="142">
      <c r="P142" s="133"/>
    </row>
    <row r="143">
      <c r="P143" s="133"/>
    </row>
    <row r="144">
      <c r="P144" s="133"/>
    </row>
    <row r="145">
      <c r="P145" s="133"/>
    </row>
    <row r="146">
      <c r="P146" s="133"/>
    </row>
    <row r="147">
      <c r="P147" s="133"/>
    </row>
    <row r="148">
      <c r="P148" s="133"/>
    </row>
    <row r="149">
      <c r="P149" s="133"/>
    </row>
    <row r="150">
      <c r="P150" s="133"/>
    </row>
    <row r="151">
      <c r="P151" s="133"/>
    </row>
    <row r="152">
      <c r="P152" s="133"/>
    </row>
    <row r="153">
      <c r="P153" s="133"/>
    </row>
    <row r="154">
      <c r="P154" s="133"/>
    </row>
    <row r="155">
      <c r="P155" s="133"/>
    </row>
    <row r="156">
      <c r="P156" s="133"/>
    </row>
    <row r="157">
      <c r="P157" s="133"/>
    </row>
    <row r="158">
      <c r="P158" s="133"/>
    </row>
    <row r="159">
      <c r="P159" s="133"/>
    </row>
    <row r="160">
      <c r="P160" s="133"/>
    </row>
    <row r="161">
      <c r="P161" s="133"/>
    </row>
    <row r="162">
      <c r="P162" s="133"/>
    </row>
    <row r="163">
      <c r="P163" s="133"/>
    </row>
    <row r="164">
      <c r="P164" s="133"/>
    </row>
    <row r="165">
      <c r="P165" s="133"/>
    </row>
    <row r="166">
      <c r="P166" s="133"/>
    </row>
    <row r="167">
      <c r="P167" s="133"/>
    </row>
    <row r="168">
      <c r="P168" s="133"/>
    </row>
    <row r="169">
      <c r="P169" s="133"/>
    </row>
    <row r="170">
      <c r="P170" s="133"/>
    </row>
    <row r="171">
      <c r="P171" s="133"/>
    </row>
    <row r="172">
      <c r="P172" s="133"/>
    </row>
    <row r="173">
      <c r="P173" s="133"/>
    </row>
    <row r="174">
      <c r="P174" s="133"/>
    </row>
    <row r="175">
      <c r="P175" s="133"/>
    </row>
    <row r="176">
      <c r="P176" s="133"/>
    </row>
    <row r="177">
      <c r="P177" s="133"/>
    </row>
    <row r="178">
      <c r="P178" s="133"/>
    </row>
    <row r="179">
      <c r="P179" s="133"/>
    </row>
    <row r="180">
      <c r="P180" s="133"/>
    </row>
    <row r="181">
      <c r="P181" s="133"/>
    </row>
    <row r="182">
      <c r="P182" s="133"/>
    </row>
    <row r="183">
      <c r="P183" s="133"/>
    </row>
    <row r="184">
      <c r="P184" s="133"/>
    </row>
    <row r="185">
      <c r="P185" s="133"/>
    </row>
    <row r="186">
      <c r="P186" s="133"/>
    </row>
    <row r="187">
      <c r="P187" s="133"/>
    </row>
    <row r="188">
      <c r="P188" s="133"/>
    </row>
    <row r="189">
      <c r="P189" s="133"/>
    </row>
    <row r="190">
      <c r="P190" s="133"/>
    </row>
    <row r="191">
      <c r="P191" s="133"/>
    </row>
    <row r="192">
      <c r="P192" s="133"/>
    </row>
    <row r="193">
      <c r="P193" s="133"/>
    </row>
    <row r="194">
      <c r="P194" s="133"/>
    </row>
    <row r="195">
      <c r="P195" s="133"/>
    </row>
    <row r="196">
      <c r="P196" s="133"/>
    </row>
    <row r="197">
      <c r="P197" s="133"/>
    </row>
    <row r="198">
      <c r="P198" s="133"/>
    </row>
    <row r="199">
      <c r="P199" s="133"/>
    </row>
    <row r="200">
      <c r="P200" s="133"/>
    </row>
    <row r="201">
      <c r="P201" s="133"/>
    </row>
    <row r="202">
      <c r="P202" s="133"/>
    </row>
    <row r="203">
      <c r="P203" s="133"/>
    </row>
    <row r="204">
      <c r="P204" s="133"/>
    </row>
    <row r="205">
      <c r="P205" s="133"/>
    </row>
    <row r="206">
      <c r="P206" s="133"/>
    </row>
    <row r="207">
      <c r="P207" s="133"/>
    </row>
    <row r="208">
      <c r="P208" s="133"/>
    </row>
    <row r="209">
      <c r="P209" s="133"/>
    </row>
    <row r="210">
      <c r="P210" s="133"/>
    </row>
    <row r="211">
      <c r="P211" s="133"/>
    </row>
    <row r="212">
      <c r="P212" s="133"/>
    </row>
    <row r="213">
      <c r="P213" s="133"/>
    </row>
    <row r="214">
      <c r="P214" s="133"/>
    </row>
    <row r="215">
      <c r="P215" s="133"/>
    </row>
    <row r="216">
      <c r="P216" s="133"/>
    </row>
    <row r="217">
      <c r="P217" s="133"/>
    </row>
    <row r="218">
      <c r="P218" s="133"/>
    </row>
    <row r="219">
      <c r="P219" s="133"/>
    </row>
    <row r="220">
      <c r="P220" s="133"/>
    </row>
    <row r="221">
      <c r="P221" s="133"/>
    </row>
    <row r="222">
      <c r="P222" s="133"/>
    </row>
    <row r="223">
      <c r="P223" s="133"/>
    </row>
    <row r="224">
      <c r="P224" s="133"/>
    </row>
    <row r="225">
      <c r="P225" s="133"/>
    </row>
    <row r="226">
      <c r="P226" s="133"/>
    </row>
    <row r="227">
      <c r="P227" s="133"/>
    </row>
    <row r="228">
      <c r="P228" s="133"/>
    </row>
    <row r="229">
      <c r="P229" s="133"/>
    </row>
    <row r="230">
      <c r="P230" s="133"/>
    </row>
    <row r="231">
      <c r="P231" s="133"/>
    </row>
    <row r="232">
      <c r="P232" s="133"/>
    </row>
    <row r="233">
      <c r="P233" s="133"/>
    </row>
    <row r="234">
      <c r="P234" s="133"/>
    </row>
    <row r="235">
      <c r="P235" s="133"/>
    </row>
    <row r="236">
      <c r="P236" s="133"/>
    </row>
    <row r="237">
      <c r="P237" s="133"/>
    </row>
    <row r="238">
      <c r="P238" s="133"/>
    </row>
    <row r="239">
      <c r="P239" s="133"/>
    </row>
    <row r="240">
      <c r="P240" s="133"/>
    </row>
    <row r="241">
      <c r="P241" s="133"/>
    </row>
    <row r="242">
      <c r="P242" s="133"/>
    </row>
    <row r="243">
      <c r="P243" s="133"/>
    </row>
    <row r="244">
      <c r="P244" s="133"/>
    </row>
    <row r="245">
      <c r="P245" s="133"/>
    </row>
    <row r="246">
      <c r="P246" s="133"/>
    </row>
    <row r="247">
      <c r="P247" s="133"/>
    </row>
    <row r="248">
      <c r="P248" s="133"/>
    </row>
    <row r="249">
      <c r="P249" s="133"/>
    </row>
    <row r="250">
      <c r="P250" s="133"/>
    </row>
    <row r="251">
      <c r="P251" s="133"/>
    </row>
    <row r="252">
      <c r="P252" s="133"/>
    </row>
    <row r="253">
      <c r="P253" s="133"/>
    </row>
    <row r="254">
      <c r="P254" s="133"/>
    </row>
    <row r="255">
      <c r="P255" s="133"/>
    </row>
    <row r="256">
      <c r="P256" s="133"/>
    </row>
    <row r="257">
      <c r="P257" s="133"/>
    </row>
    <row r="258">
      <c r="P258" s="133"/>
    </row>
    <row r="259">
      <c r="P259" s="133"/>
    </row>
    <row r="260">
      <c r="P260" s="133"/>
    </row>
    <row r="261">
      <c r="P261" s="133"/>
    </row>
    <row r="262">
      <c r="P262" s="133"/>
    </row>
    <row r="263">
      <c r="P263" s="133"/>
    </row>
    <row r="264">
      <c r="P264" s="133"/>
    </row>
    <row r="265">
      <c r="P265" s="133"/>
    </row>
    <row r="266">
      <c r="P266" s="133"/>
    </row>
    <row r="267">
      <c r="P267" s="133"/>
    </row>
    <row r="268">
      <c r="P268" s="133"/>
    </row>
    <row r="269">
      <c r="P269" s="133"/>
    </row>
    <row r="270">
      <c r="P270" s="133"/>
    </row>
    <row r="271">
      <c r="P271" s="133"/>
    </row>
    <row r="272">
      <c r="P272" s="133"/>
    </row>
    <row r="273">
      <c r="P273" s="133"/>
    </row>
    <row r="274">
      <c r="P274" s="133"/>
    </row>
    <row r="275">
      <c r="P275" s="133"/>
    </row>
    <row r="276">
      <c r="P276" s="133"/>
    </row>
    <row r="277">
      <c r="P277" s="133"/>
    </row>
    <row r="278">
      <c r="P278" s="133"/>
    </row>
    <row r="279">
      <c r="P279" s="133"/>
    </row>
    <row r="280">
      <c r="P280" s="133"/>
    </row>
    <row r="281">
      <c r="P281" s="133"/>
    </row>
    <row r="282">
      <c r="P282" s="133"/>
    </row>
    <row r="283">
      <c r="P283" s="133"/>
    </row>
    <row r="284">
      <c r="P284" s="133"/>
    </row>
    <row r="285">
      <c r="P285" s="133"/>
    </row>
    <row r="286">
      <c r="P286" s="133"/>
    </row>
    <row r="287">
      <c r="P287" s="133"/>
    </row>
    <row r="288">
      <c r="P288" s="133"/>
    </row>
    <row r="289">
      <c r="P289" s="133"/>
    </row>
    <row r="290">
      <c r="P290" s="133"/>
    </row>
    <row r="291">
      <c r="P291" s="133"/>
    </row>
    <row r="292">
      <c r="P292" s="133"/>
    </row>
    <row r="293">
      <c r="P293" s="133"/>
    </row>
    <row r="294">
      <c r="P294" s="133"/>
    </row>
    <row r="295">
      <c r="P295" s="133"/>
    </row>
    <row r="296">
      <c r="P296" s="133"/>
    </row>
    <row r="297">
      <c r="P297" s="133"/>
    </row>
    <row r="298">
      <c r="P298" s="133"/>
    </row>
    <row r="299">
      <c r="P299" s="133"/>
    </row>
    <row r="300">
      <c r="P300" s="133"/>
    </row>
    <row r="301">
      <c r="P301" s="133"/>
    </row>
    <row r="302">
      <c r="P302" s="133"/>
    </row>
    <row r="303">
      <c r="P303" s="133"/>
    </row>
    <row r="304">
      <c r="P304" s="133"/>
    </row>
    <row r="305">
      <c r="P305" s="133"/>
    </row>
    <row r="306">
      <c r="P306" s="133"/>
    </row>
    <row r="307">
      <c r="P307" s="133"/>
    </row>
    <row r="308">
      <c r="P308" s="133"/>
    </row>
    <row r="309">
      <c r="P309" s="133"/>
    </row>
    <row r="310">
      <c r="P310" s="133"/>
    </row>
    <row r="311">
      <c r="P311" s="133"/>
    </row>
    <row r="312">
      <c r="P312" s="133"/>
    </row>
    <row r="313">
      <c r="P313" s="133"/>
    </row>
    <row r="314">
      <c r="P314" s="133"/>
    </row>
    <row r="315">
      <c r="P315" s="133"/>
    </row>
    <row r="316">
      <c r="P316" s="133"/>
    </row>
    <row r="317">
      <c r="P317" s="133"/>
    </row>
    <row r="318">
      <c r="P318" s="133"/>
    </row>
    <row r="319">
      <c r="P319" s="133"/>
    </row>
    <row r="320">
      <c r="P320" s="133"/>
    </row>
    <row r="321">
      <c r="P321" s="133"/>
    </row>
    <row r="322">
      <c r="P322" s="133"/>
    </row>
    <row r="323">
      <c r="P323" s="133"/>
    </row>
    <row r="324">
      <c r="P324" s="133"/>
    </row>
    <row r="325">
      <c r="P325" s="133"/>
    </row>
    <row r="326">
      <c r="P326" s="133"/>
    </row>
    <row r="327">
      <c r="P327" s="133"/>
    </row>
    <row r="328">
      <c r="P328" s="133"/>
    </row>
    <row r="329">
      <c r="P329" s="133"/>
    </row>
    <row r="330">
      <c r="P330" s="133"/>
    </row>
    <row r="331">
      <c r="P331" s="133"/>
    </row>
    <row r="332">
      <c r="P332" s="133"/>
    </row>
    <row r="333">
      <c r="P333" s="133"/>
    </row>
    <row r="334">
      <c r="P334" s="133"/>
    </row>
    <row r="335">
      <c r="P335" s="133"/>
    </row>
    <row r="336">
      <c r="P336" s="133"/>
    </row>
    <row r="337">
      <c r="P337" s="133"/>
    </row>
    <row r="338">
      <c r="P338" s="133"/>
    </row>
    <row r="339">
      <c r="P339" s="133"/>
    </row>
    <row r="340">
      <c r="P340" s="133"/>
    </row>
    <row r="341">
      <c r="P341" s="133"/>
    </row>
    <row r="342">
      <c r="P342" s="133"/>
    </row>
    <row r="343">
      <c r="P343" s="133"/>
    </row>
    <row r="344">
      <c r="P344" s="133"/>
    </row>
    <row r="345">
      <c r="P345" s="133"/>
    </row>
    <row r="346">
      <c r="P346" s="133"/>
    </row>
    <row r="347">
      <c r="P347" s="133"/>
    </row>
    <row r="348">
      <c r="P348" s="133"/>
    </row>
    <row r="349">
      <c r="P349" s="133"/>
    </row>
    <row r="350">
      <c r="P350" s="133"/>
    </row>
    <row r="351">
      <c r="P351" s="133"/>
    </row>
    <row r="352">
      <c r="P352" s="133"/>
    </row>
    <row r="353">
      <c r="P353" s="133"/>
    </row>
    <row r="354">
      <c r="P354" s="133"/>
    </row>
    <row r="355">
      <c r="P355" s="133"/>
    </row>
    <row r="356">
      <c r="P356" s="133"/>
    </row>
    <row r="357">
      <c r="P357" s="133"/>
    </row>
    <row r="358">
      <c r="P358" s="133"/>
    </row>
    <row r="359">
      <c r="P359" s="133"/>
    </row>
    <row r="360">
      <c r="P360" s="133"/>
    </row>
    <row r="361">
      <c r="P361" s="133"/>
    </row>
    <row r="362">
      <c r="P362" s="133"/>
    </row>
    <row r="363">
      <c r="P363" s="133"/>
    </row>
    <row r="364">
      <c r="P364" s="133"/>
    </row>
    <row r="365">
      <c r="P365" s="133"/>
    </row>
    <row r="366">
      <c r="P366" s="133"/>
    </row>
    <row r="367">
      <c r="P367" s="133"/>
    </row>
    <row r="368">
      <c r="P368" s="133"/>
    </row>
    <row r="369">
      <c r="P369" s="133"/>
    </row>
    <row r="370">
      <c r="P370" s="133"/>
    </row>
    <row r="371">
      <c r="P371" s="133"/>
    </row>
    <row r="372">
      <c r="P372" s="133"/>
    </row>
    <row r="373">
      <c r="P373" s="133"/>
    </row>
    <row r="374">
      <c r="P374" s="133"/>
    </row>
    <row r="375">
      <c r="P375" s="133"/>
    </row>
    <row r="376">
      <c r="P376" s="133"/>
    </row>
    <row r="377">
      <c r="P377" s="133"/>
    </row>
    <row r="378">
      <c r="P378" s="133"/>
    </row>
    <row r="379">
      <c r="P379" s="133"/>
    </row>
    <row r="380">
      <c r="P380" s="133"/>
    </row>
    <row r="381">
      <c r="P381" s="133"/>
    </row>
    <row r="382">
      <c r="P382" s="133"/>
    </row>
    <row r="383">
      <c r="P383" s="133"/>
    </row>
    <row r="384">
      <c r="P384" s="133"/>
    </row>
    <row r="385">
      <c r="P385" s="133"/>
    </row>
    <row r="386">
      <c r="P386" s="133"/>
    </row>
    <row r="387">
      <c r="P387" s="133"/>
    </row>
    <row r="388">
      <c r="P388" s="133"/>
    </row>
    <row r="389">
      <c r="P389" s="133"/>
    </row>
    <row r="390">
      <c r="P390" s="133"/>
    </row>
    <row r="391">
      <c r="P391" s="133"/>
    </row>
    <row r="392">
      <c r="P392" s="133"/>
    </row>
    <row r="393">
      <c r="P393" s="133"/>
    </row>
    <row r="394">
      <c r="P394" s="133"/>
    </row>
    <row r="395">
      <c r="P395" s="133"/>
    </row>
    <row r="396">
      <c r="P396" s="133"/>
    </row>
    <row r="397">
      <c r="P397" s="133"/>
    </row>
    <row r="398">
      <c r="P398" s="133"/>
    </row>
    <row r="399">
      <c r="P399" s="133"/>
    </row>
    <row r="400">
      <c r="P400" s="133"/>
    </row>
    <row r="401">
      <c r="P401" s="133"/>
    </row>
    <row r="402">
      <c r="P402" s="133"/>
    </row>
    <row r="403">
      <c r="P403" s="133"/>
    </row>
    <row r="404">
      <c r="P404" s="133"/>
    </row>
    <row r="405">
      <c r="P405" s="133"/>
    </row>
    <row r="406">
      <c r="P406" s="133"/>
    </row>
    <row r="407">
      <c r="P407" s="133"/>
    </row>
    <row r="408">
      <c r="P408" s="133"/>
    </row>
    <row r="409">
      <c r="P409" s="133"/>
    </row>
    <row r="410">
      <c r="P410" s="133"/>
    </row>
    <row r="411">
      <c r="P411" s="133"/>
    </row>
    <row r="412">
      <c r="P412" s="133"/>
    </row>
    <row r="413">
      <c r="P413" s="133"/>
    </row>
    <row r="414">
      <c r="P414" s="133"/>
    </row>
    <row r="415">
      <c r="P415" s="133"/>
    </row>
    <row r="416">
      <c r="P416" s="133"/>
    </row>
    <row r="417">
      <c r="P417" s="133"/>
    </row>
    <row r="418">
      <c r="P418" s="133"/>
    </row>
    <row r="419">
      <c r="P419" s="133"/>
    </row>
    <row r="420">
      <c r="P420" s="133"/>
    </row>
    <row r="421">
      <c r="P421" s="133"/>
    </row>
    <row r="422">
      <c r="P422" s="133"/>
    </row>
    <row r="423">
      <c r="P423" s="133"/>
    </row>
    <row r="424">
      <c r="P424" s="133"/>
    </row>
    <row r="425">
      <c r="P425" s="133"/>
    </row>
    <row r="426">
      <c r="P426" s="133"/>
    </row>
    <row r="427">
      <c r="P427" s="133"/>
    </row>
    <row r="428">
      <c r="P428" s="133"/>
    </row>
    <row r="429">
      <c r="P429" s="133"/>
    </row>
    <row r="430">
      <c r="P430" s="133"/>
    </row>
    <row r="431">
      <c r="P431" s="133"/>
    </row>
    <row r="432">
      <c r="P432" s="133"/>
    </row>
    <row r="433">
      <c r="P433" s="133"/>
    </row>
    <row r="434">
      <c r="P434" s="133"/>
    </row>
    <row r="435">
      <c r="P435" s="133"/>
    </row>
    <row r="436">
      <c r="P436" s="133"/>
    </row>
    <row r="437">
      <c r="P437" s="133"/>
    </row>
    <row r="438">
      <c r="P438" s="133"/>
    </row>
    <row r="439">
      <c r="P439" s="133"/>
    </row>
    <row r="440">
      <c r="P440" s="133"/>
    </row>
    <row r="441">
      <c r="P441" s="133"/>
    </row>
    <row r="442">
      <c r="P442" s="133"/>
    </row>
    <row r="443">
      <c r="P443" s="133"/>
    </row>
    <row r="444">
      <c r="P444" s="133"/>
    </row>
    <row r="445">
      <c r="P445" s="133"/>
    </row>
    <row r="446">
      <c r="P446" s="133"/>
    </row>
    <row r="447">
      <c r="P447" s="133"/>
    </row>
    <row r="448">
      <c r="P448" s="133"/>
    </row>
    <row r="449">
      <c r="P449" s="133"/>
    </row>
    <row r="450">
      <c r="P450" s="133"/>
    </row>
    <row r="451">
      <c r="P451" s="133"/>
    </row>
    <row r="452">
      <c r="P452" s="133"/>
    </row>
    <row r="453">
      <c r="P453" s="133"/>
    </row>
    <row r="454">
      <c r="P454" s="133"/>
    </row>
    <row r="455">
      <c r="P455" s="133"/>
    </row>
    <row r="456">
      <c r="P456" s="133"/>
    </row>
    <row r="457">
      <c r="P457" s="133"/>
    </row>
    <row r="458">
      <c r="P458" s="133"/>
    </row>
    <row r="459">
      <c r="P459" s="133"/>
    </row>
    <row r="460">
      <c r="P460" s="133"/>
    </row>
    <row r="461">
      <c r="P461" s="133"/>
    </row>
    <row r="462">
      <c r="P462" s="133"/>
    </row>
    <row r="463">
      <c r="P463" s="133"/>
    </row>
    <row r="464">
      <c r="P464" s="133"/>
    </row>
    <row r="465">
      <c r="P465" s="133"/>
    </row>
    <row r="466">
      <c r="P466" s="133"/>
    </row>
    <row r="467">
      <c r="P467" s="133"/>
    </row>
    <row r="468">
      <c r="P468" s="133"/>
    </row>
    <row r="469">
      <c r="P469" s="133"/>
    </row>
    <row r="470">
      <c r="P470" s="133"/>
    </row>
    <row r="471">
      <c r="P471" s="133"/>
    </row>
    <row r="472">
      <c r="P472" s="133"/>
    </row>
    <row r="473">
      <c r="P473" s="133"/>
    </row>
    <row r="474">
      <c r="P474" s="133"/>
    </row>
    <row r="475">
      <c r="P475" s="133"/>
    </row>
    <row r="476">
      <c r="P476" s="133"/>
    </row>
    <row r="477">
      <c r="P477" s="133"/>
    </row>
    <row r="478">
      <c r="P478" s="133"/>
    </row>
    <row r="479">
      <c r="P479" s="133"/>
    </row>
    <row r="480">
      <c r="P480" s="133"/>
    </row>
    <row r="481">
      <c r="P481" s="133"/>
    </row>
    <row r="482">
      <c r="P482" s="133"/>
    </row>
    <row r="483">
      <c r="P483" s="133"/>
    </row>
    <row r="484">
      <c r="P484" s="133"/>
    </row>
    <row r="485">
      <c r="P485" s="133"/>
    </row>
    <row r="486">
      <c r="P486" s="133"/>
    </row>
    <row r="487">
      <c r="P487" s="133"/>
    </row>
    <row r="488">
      <c r="P488" s="133"/>
    </row>
    <row r="489">
      <c r="P489" s="133"/>
    </row>
    <row r="490">
      <c r="P490" s="133"/>
    </row>
    <row r="491">
      <c r="P491" s="133"/>
    </row>
    <row r="492">
      <c r="P492" s="133"/>
    </row>
    <row r="493">
      <c r="P493" s="133"/>
    </row>
    <row r="494">
      <c r="P494" s="133"/>
    </row>
    <row r="495">
      <c r="P495" s="133"/>
    </row>
    <row r="496">
      <c r="P496" s="133"/>
    </row>
    <row r="497">
      <c r="P497" s="133"/>
    </row>
    <row r="498">
      <c r="P498" s="133"/>
    </row>
    <row r="499">
      <c r="P499" s="133"/>
    </row>
    <row r="500">
      <c r="P500" s="133"/>
    </row>
    <row r="501">
      <c r="P501" s="133"/>
    </row>
    <row r="502">
      <c r="P502" s="133"/>
    </row>
    <row r="503">
      <c r="P503" s="133"/>
    </row>
    <row r="504">
      <c r="P504" s="133"/>
    </row>
    <row r="505">
      <c r="P505" s="133"/>
    </row>
    <row r="506">
      <c r="P506" s="133"/>
    </row>
    <row r="507">
      <c r="P507" s="133"/>
    </row>
    <row r="508">
      <c r="P508" s="133"/>
    </row>
    <row r="509">
      <c r="P509" s="133"/>
    </row>
    <row r="510">
      <c r="P510" s="133"/>
    </row>
    <row r="511">
      <c r="P511" s="133"/>
    </row>
    <row r="512">
      <c r="P512" s="133"/>
    </row>
    <row r="513">
      <c r="P513" s="133"/>
    </row>
    <row r="514">
      <c r="P514" s="133"/>
    </row>
    <row r="515">
      <c r="P515" s="133"/>
    </row>
    <row r="516">
      <c r="P516" s="133"/>
    </row>
    <row r="517">
      <c r="P517" s="133"/>
    </row>
    <row r="518">
      <c r="P518" s="133"/>
    </row>
    <row r="519">
      <c r="P519" s="133"/>
    </row>
    <row r="520">
      <c r="P520" s="133"/>
    </row>
    <row r="521">
      <c r="P521" s="133"/>
    </row>
    <row r="522">
      <c r="P522" s="133"/>
    </row>
    <row r="523">
      <c r="P523" s="133"/>
    </row>
    <row r="524">
      <c r="P524" s="133"/>
    </row>
    <row r="525">
      <c r="P525" s="133"/>
    </row>
    <row r="526">
      <c r="P526" s="133"/>
    </row>
    <row r="527">
      <c r="P527" s="133"/>
    </row>
    <row r="528">
      <c r="P528" s="133"/>
    </row>
    <row r="529">
      <c r="P529" s="133"/>
    </row>
    <row r="530">
      <c r="P530" s="133"/>
    </row>
    <row r="531">
      <c r="P531" s="133"/>
    </row>
    <row r="532">
      <c r="P532" s="133"/>
    </row>
    <row r="533">
      <c r="P533" s="133"/>
    </row>
    <row r="534">
      <c r="P534" s="133"/>
    </row>
    <row r="535">
      <c r="P535" s="133"/>
    </row>
    <row r="536">
      <c r="P536" s="133"/>
    </row>
    <row r="537">
      <c r="P537" s="133"/>
    </row>
    <row r="538">
      <c r="P538" s="133"/>
    </row>
    <row r="539">
      <c r="P539" s="133"/>
    </row>
    <row r="540">
      <c r="P540" s="133"/>
    </row>
    <row r="541">
      <c r="P541" s="133"/>
    </row>
    <row r="542">
      <c r="P542" s="133"/>
    </row>
    <row r="543">
      <c r="P543" s="133"/>
    </row>
    <row r="544">
      <c r="P544" s="133"/>
    </row>
    <row r="545">
      <c r="P545" s="133"/>
    </row>
    <row r="546">
      <c r="P546" s="133"/>
    </row>
    <row r="547">
      <c r="P547" s="133"/>
    </row>
    <row r="548">
      <c r="P548" s="133"/>
    </row>
    <row r="549">
      <c r="P549" s="133"/>
    </row>
    <row r="550">
      <c r="P550" s="133"/>
    </row>
    <row r="551">
      <c r="P551" s="133"/>
    </row>
    <row r="552">
      <c r="P552" s="133"/>
    </row>
    <row r="553">
      <c r="P553" s="133"/>
    </row>
    <row r="554">
      <c r="P554" s="133"/>
    </row>
    <row r="555">
      <c r="P555" s="133"/>
    </row>
    <row r="556">
      <c r="P556" s="133"/>
    </row>
    <row r="557">
      <c r="P557" s="133"/>
    </row>
    <row r="558">
      <c r="P558" s="133"/>
    </row>
    <row r="559">
      <c r="P559" s="133"/>
    </row>
    <row r="560">
      <c r="P560" s="133"/>
    </row>
    <row r="561">
      <c r="P561" s="133"/>
    </row>
    <row r="562">
      <c r="P562" s="133"/>
    </row>
    <row r="563">
      <c r="P563" s="133"/>
    </row>
    <row r="564">
      <c r="P564" s="133"/>
    </row>
    <row r="565">
      <c r="P565" s="133"/>
    </row>
    <row r="566">
      <c r="P566" s="133"/>
    </row>
    <row r="567">
      <c r="P567" s="133"/>
    </row>
    <row r="568">
      <c r="P568" s="133"/>
    </row>
    <row r="569">
      <c r="P569" s="133"/>
    </row>
    <row r="570">
      <c r="P570" s="133"/>
    </row>
    <row r="571">
      <c r="P571" s="133"/>
    </row>
    <row r="572">
      <c r="P572" s="133"/>
    </row>
    <row r="573">
      <c r="P573" s="133"/>
    </row>
    <row r="574">
      <c r="P574" s="133"/>
    </row>
    <row r="575">
      <c r="P575" s="133"/>
    </row>
    <row r="576">
      <c r="P576" s="133"/>
    </row>
    <row r="577">
      <c r="P577" s="133"/>
    </row>
    <row r="578">
      <c r="P578" s="133"/>
    </row>
    <row r="579">
      <c r="P579" s="133"/>
    </row>
    <row r="580">
      <c r="P580" s="133"/>
    </row>
    <row r="581">
      <c r="P581" s="133"/>
    </row>
    <row r="582">
      <c r="P582" s="133"/>
    </row>
    <row r="583">
      <c r="P583" s="133"/>
    </row>
    <row r="584">
      <c r="P584" s="133"/>
    </row>
    <row r="585">
      <c r="P585" s="133"/>
    </row>
    <row r="586">
      <c r="P586" s="133"/>
    </row>
    <row r="587">
      <c r="P587" s="133"/>
    </row>
    <row r="588">
      <c r="P588" s="133"/>
    </row>
    <row r="589">
      <c r="P589" s="133"/>
    </row>
    <row r="590">
      <c r="P590" s="133"/>
    </row>
    <row r="591">
      <c r="P591" s="133"/>
    </row>
    <row r="592">
      <c r="P592" s="133"/>
    </row>
    <row r="593">
      <c r="P593" s="133"/>
    </row>
    <row r="594">
      <c r="P594" s="133"/>
    </row>
    <row r="595">
      <c r="P595" s="133"/>
    </row>
    <row r="596">
      <c r="P596" s="133"/>
    </row>
    <row r="597">
      <c r="P597" s="133"/>
    </row>
    <row r="598">
      <c r="P598" s="133"/>
    </row>
    <row r="599">
      <c r="P599" s="133"/>
    </row>
    <row r="600">
      <c r="P600" s="133"/>
    </row>
    <row r="601">
      <c r="P601" s="133"/>
    </row>
    <row r="602">
      <c r="P602" s="133"/>
    </row>
    <row r="603">
      <c r="P603" s="133"/>
    </row>
    <row r="604">
      <c r="P604" s="133"/>
    </row>
    <row r="605">
      <c r="P605" s="133"/>
    </row>
    <row r="606">
      <c r="P606" s="133"/>
    </row>
    <row r="607">
      <c r="P607" s="133"/>
    </row>
    <row r="608">
      <c r="P608" s="133"/>
    </row>
    <row r="609">
      <c r="P609" s="133"/>
    </row>
    <row r="610">
      <c r="P610" s="133"/>
    </row>
    <row r="611">
      <c r="P611" s="133"/>
    </row>
    <row r="612">
      <c r="P612" s="133"/>
    </row>
    <row r="613">
      <c r="P613" s="133"/>
    </row>
    <row r="614">
      <c r="P614" s="133"/>
    </row>
    <row r="615">
      <c r="P615" s="133"/>
    </row>
    <row r="616">
      <c r="P616" s="133"/>
    </row>
    <row r="617">
      <c r="P617" s="133"/>
    </row>
    <row r="618">
      <c r="P618" s="133"/>
    </row>
    <row r="619">
      <c r="P619" s="133"/>
    </row>
    <row r="620">
      <c r="P620" s="133"/>
    </row>
    <row r="621">
      <c r="P621" s="133"/>
    </row>
    <row r="622">
      <c r="P622" s="133"/>
    </row>
    <row r="623">
      <c r="P623" s="133"/>
    </row>
    <row r="624">
      <c r="P624" s="133"/>
    </row>
    <row r="625">
      <c r="P625" s="133"/>
    </row>
    <row r="626">
      <c r="P626" s="133"/>
    </row>
    <row r="627">
      <c r="P627" s="133"/>
    </row>
    <row r="628">
      <c r="P628" s="133"/>
    </row>
    <row r="629">
      <c r="P629" s="133"/>
    </row>
    <row r="630">
      <c r="P630" s="133"/>
    </row>
    <row r="631">
      <c r="P631" s="133"/>
    </row>
    <row r="632">
      <c r="P632" s="133"/>
    </row>
    <row r="633">
      <c r="P633" s="133"/>
    </row>
    <row r="634">
      <c r="P634" s="133"/>
    </row>
    <row r="635">
      <c r="P635" s="133"/>
    </row>
    <row r="636">
      <c r="P636" s="133"/>
    </row>
    <row r="637">
      <c r="P637" s="133"/>
    </row>
    <row r="638">
      <c r="P638" s="133"/>
    </row>
    <row r="639">
      <c r="P639" s="133"/>
    </row>
    <row r="640">
      <c r="P640" s="133"/>
    </row>
    <row r="641">
      <c r="P641" s="133"/>
    </row>
    <row r="642">
      <c r="P642" s="133"/>
    </row>
    <row r="643">
      <c r="P643" s="133"/>
    </row>
    <row r="644">
      <c r="P644" s="133"/>
    </row>
    <row r="645">
      <c r="P645" s="133"/>
    </row>
    <row r="646">
      <c r="P646" s="133"/>
    </row>
    <row r="647">
      <c r="P647" s="133"/>
    </row>
    <row r="648">
      <c r="P648" s="133"/>
    </row>
    <row r="649">
      <c r="P649" s="133"/>
    </row>
    <row r="650">
      <c r="P650" s="133"/>
    </row>
    <row r="651">
      <c r="P651" s="133"/>
    </row>
    <row r="652">
      <c r="P652" s="133"/>
    </row>
    <row r="653">
      <c r="P653" s="133"/>
    </row>
    <row r="654">
      <c r="P654" s="133"/>
    </row>
    <row r="655">
      <c r="P655" s="133"/>
    </row>
    <row r="656">
      <c r="P656" s="133"/>
    </row>
    <row r="657">
      <c r="P657" s="133"/>
    </row>
    <row r="658">
      <c r="P658" s="133"/>
    </row>
    <row r="659">
      <c r="P659" s="133"/>
    </row>
    <row r="660">
      <c r="P660" s="133"/>
    </row>
    <row r="661">
      <c r="P661" s="133"/>
    </row>
    <row r="662">
      <c r="P662" s="133"/>
    </row>
    <row r="663">
      <c r="P663" s="133"/>
    </row>
    <row r="664">
      <c r="P664" s="133"/>
    </row>
    <row r="665">
      <c r="P665" s="133"/>
    </row>
    <row r="666">
      <c r="P666" s="133"/>
    </row>
    <row r="667">
      <c r="P667" s="133"/>
    </row>
    <row r="668">
      <c r="P668" s="133"/>
    </row>
    <row r="669">
      <c r="P669" s="133"/>
    </row>
    <row r="670">
      <c r="P670" s="133"/>
    </row>
    <row r="671">
      <c r="P671" s="133"/>
    </row>
    <row r="672">
      <c r="P672" s="133"/>
    </row>
    <row r="673">
      <c r="P673" s="133"/>
    </row>
    <row r="674">
      <c r="P674" s="133"/>
    </row>
    <row r="675">
      <c r="P675" s="133"/>
    </row>
    <row r="676">
      <c r="P676" s="133"/>
    </row>
    <row r="677">
      <c r="P677" s="133"/>
    </row>
    <row r="678">
      <c r="P678" s="133"/>
    </row>
    <row r="679">
      <c r="P679" s="133"/>
    </row>
    <row r="680">
      <c r="P680" s="133"/>
    </row>
    <row r="681">
      <c r="P681" s="133"/>
    </row>
    <row r="682">
      <c r="P682" s="133"/>
    </row>
    <row r="683">
      <c r="P683" s="133"/>
    </row>
    <row r="684">
      <c r="P684" s="133"/>
    </row>
    <row r="685">
      <c r="P685" s="133"/>
    </row>
    <row r="686">
      <c r="P686" s="133"/>
    </row>
    <row r="687">
      <c r="P687" s="133"/>
    </row>
    <row r="688">
      <c r="P688" s="133"/>
    </row>
    <row r="689">
      <c r="P689" s="133"/>
    </row>
    <row r="690">
      <c r="P690" s="133"/>
    </row>
    <row r="691">
      <c r="P691" s="133"/>
    </row>
    <row r="692">
      <c r="P692" s="133"/>
    </row>
    <row r="693">
      <c r="P693" s="133"/>
    </row>
    <row r="694">
      <c r="P694" s="133"/>
    </row>
    <row r="695">
      <c r="P695" s="133"/>
    </row>
    <row r="696">
      <c r="P696" s="133"/>
    </row>
    <row r="697">
      <c r="P697" s="133"/>
    </row>
    <row r="698">
      <c r="P698" s="133"/>
    </row>
    <row r="699">
      <c r="P699" s="133"/>
    </row>
    <row r="700">
      <c r="P700" s="133"/>
    </row>
    <row r="701">
      <c r="P701" s="133"/>
    </row>
    <row r="702">
      <c r="P702" s="133"/>
    </row>
    <row r="703">
      <c r="P703" s="133"/>
    </row>
    <row r="704">
      <c r="P704" s="133"/>
    </row>
    <row r="705">
      <c r="P705" s="133"/>
    </row>
    <row r="706">
      <c r="P706" s="133"/>
    </row>
    <row r="707">
      <c r="P707" s="133"/>
    </row>
    <row r="708">
      <c r="P708" s="133"/>
    </row>
    <row r="709">
      <c r="P709" s="133"/>
    </row>
    <row r="710">
      <c r="P710" s="133"/>
    </row>
    <row r="711">
      <c r="P711" s="133"/>
    </row>
    <row r="712">
      <c r="P712" s="133"/>
    </row>
    <row r="713">
      <c r="P713" s="133"/>
    </row>
    <row r="714">
      <c r="P714" s="133"/>
    </row>
    <row r="715">
      <c r="P715" s="133"/>
    </row>
    <row r="716">
      <c r="P716" s="133"/>
    </row>
    <row r="717">
      <c r="P717" s="133"/>
    </row>
    <row r="718">
      <c r="P718" s="133"/>
    </row>
    <row r="719">
      <c r="P719" s="133"/>
    </row>
    <row r="720">
      <c r="P720" s="133"/>
    </row>
    <row r="721">
      <c r="P721" s="133"/>
    </row>
    <row r="722">
      <c r="P722" s="133"/>
    </row>
    <row r="723">
      <c r="P723" s="133"/>
    </row>
    <row r="724">
      <c r="P724" s="133"/>
    </row>
    <row r="725">
      <c r="P725" s="133"/>
    </row>
    <row r="726">
      <c r="P726" s="133"/>
    </row>
    <row r="727">
      <c r="P727" s="133"/>
    </row>
    <row r="728">
      <c r="P728" s="133"/>
    </row>
    <row r="729">
      <c r="P729" s="133"/>
    </row>
    <row r="730">
      <c r="P730" s="133"/>
    </row>
    <row r="731">
      <c r="P731" s="133"/>
    </row>
    <row r="732">
      <c r="P732" s="133"/>
    </row>
    <row r="733">
      <c r="P733" s="133"/>
    </row>
    <row r="734">
      <c r="P734" s="133"/>
    </row>
    <row r="735">
      <c r="P735" s="133"/>
    </row>
    <row r="736">
      <c r="P736" s="133"/>
    </row>
    <row r="737">
      <c r="P737" s="133"/>
    </row>
    <row r="738">
      <c r="P738" s="133"/>
    </row>
    <row r="739">
      <c r="P739" s="133"/>
    </row>
    <row r="740">
      <c r="P740" s="133"/>
    </row>
    <row r="741">
      <c r="P741" s="133"/>
    </row>
    <row r="742">
      <c r="P742" s="133"/>
    </row>
    <row r="743">
      <c r="P743" s="133"/>
    </row>
    <row r="744">
      <c r="P744" s="133"/>
    </row>
    <row r="745">
      <c r="P745" s="133"/>
    </row>
    <row r="746">
      <c r="P746" s="133"/>
    </row>
    <row r="747">
      <c r="P747" s="133"/>
    </row>
    <row r="748">
      <c r="P748" s="133"/>
    </row>
    <row r="749">
      <c r="P749" s="133"/>
    </row>
    <row r="750">
      <c r="P750" s="133"/>
    </row>
    <row r="751">
      <c r="P751" s="133"/>
    </row>
    <row r="752">
      <c r="P752" s="133"/>
    </row>
    <row r="753">
      <c r="P753" s="133"/>
    </row>
    <row r="754">
      <c r="P754" s="133"/>
    </row>
    <row r="755">
      <c r="P755" s="133"/>
    </row>
    <row r="756">
      <c r="P756" s="133"/>
    </row>
    <row r="757">
      <c r="P757" s="133"/>
    </row>
    <row r="758">
      <c r="P758" s="133"/>
    </row>
    <row r="759">
      <c r="P759" s="133"/>
    </row>
    <row r="760">
      <c r="P760" s="133"/>
    </row>
    <row r="761">
      <c r="P761" s="133"/>
    </row>
    <row r="762">
      <c r="P762" s="133"/>
    </row>
    <row r="763">
      <c r="P763" s="133"/>
    </row>
    <row r="764">
      <c r="P764" s="133"/>
    </row>
    <row r="765">
      <c r="P765" s="133"/>
    </row>
    <row r="766">
      <c r="P766" s="133"/>
    </row>
    <row r="767">
      <c r="P767" s="133"/>
    </row>
    <row r="768">
      <c r="P768" s="133"/>
    </row>
    <row r="769">
      <c r="P769" s="133"/>
    </row>
    <row r="770">
      <c r="P770" s="133"/>
    </row>
    <row r="771">
      <c r="P771" s="133"/>
    </row>
    <row r="772">
      <c r="P772" s="133"/>
    </row>
    <row r="773">
      <c r="P773" s="133"/>
    </row>
    <row r="774">
      <c r="P774" s="133"/>
    </row>
    <row r="775">
      <c r="P775" s="133"/>
    </row>
    <row r="776">
      <c r="P776" s="133"/>
    </row>
    <row r="777">
      <c r="P777" s="133"/>
    </row>
    <row r="778">
      <c r="P778" s="133"/>
    </row>
    <row r="779">
      <c r="P779" s="133"/>
    </row>
    <row r="780">
      <c r="P780" s="133"/>
    </row>
    <row r="781">
      <c r="P781" s="133"/>
    </row>
    <row r="782">
      <c r="P782" s="133"/>
    </row>
    <row r="783">
      <c r="P783" s="133"/>
    </row>
    <row r="784">
      <c r="P784" s="133"/>
    </row>
    <row r="785">
      <c r="P785" s="133"/>
    </row>
    <row r="786">
      <c r="P786" s="133"/>
    </row>
    <row r="787">
      <c r="P787" s="133"/>
    </row>
    <row r="788">
      <c r="P788" s="133"/>
    </row>
    <row r="789">
      <c r="P789" s="133"/>
    </row>
    <row r="790">
      <c r="P790" s="133"/>
    </row>
    <row r="791">
      <c r="P791" s="133"/>
    </row>
    <row r="792">
      <c r="P792" s="133"/>
    </row>
    <row r="793">
      <c r="P793" s="133"/>
    </row>
    <row r="794">
      <c r="P794" s="133"/>
    </row>
    <row r="795">
      <c r="P795" s="133"/>
    </row>
    <row r="796">
      <c r="P796" s="133"/>
    </row>
    <row r="797">
      <c r="P797" s="133"/>
    </row>
    <row r="798">
      <c r="P798" s="133"/>
    </row>
    <row r="799">
      <c r="P799" s="133"/>
    </row>
    <row r="800">
      <c r="P800" s="133"/>
    </row>
    <row r="801">
      <c r="P801" s="133"/>
    </row>
    <row r="802">
      <c r="P802" s="133"/>
    </row>
    <row r="803">
      <c r="P803" s="133"/>
    </row>
    <row r="804">
      <c r="P804" s="133"/>
    </row>
    <row r="805">
      <c r="P805" s="133"/>
    </row>
    <row r="806">
      <c r="P806" s="133"/>
    </row>
    <row r="807">
      <c r="P807" s="133"/>
    </row>
    <row r="808">
      <c r="P808" s="133"/>
    </row>
    <row r="809">
      <c r="P809" s="133"/>
    </row>
    <row r="810">
      <c r="P810" s="133"/>
    </row>
    <row r="811">
      <c r="P811" s="133"/>
    </row>
    <row r="812">
      <c r="P812" s="133"/>
    </row>
    <row r="813">
      <c r="P813" s="133"/>
    </row>
    <row r="814">
      <c r="P814" s="133"/>
    </row>
    <row r="815">
      <c r="P815" s="133"/>
    </row>
    <row r="816">
      <c r="P816" s="133"/>
    </row>
    <row r="817">
      <c r="P817" s="133"/>
    </row>
    <row r="818">
      <c r="P818" s="133"/>
    </row>
    <row r="819">
      <c r="P819" s="133"/>
    </row>
    <row r="820">
      <c r="P820" s="133"/>
    </row>
    <row r="821">
      <c r="P821" s="133"/>
    </row>
    <row r="822">
      <c r="P822" s="133"/>
    </row>
    <row r="823">
      <c r="P823" s="133"/>
    </row>
    <row r="824">
      <c r="P824" s="133"/>
    </row>
    <row r="825">
      <c r="P825" s="133"/>
    </row>
    <row r="826">
      <c r="P826" s="133"/>
    </row>
    <row r="827">
      <c r="P827" s="133"/>
    </row>
    <row r="828">
      <c r="P828" s="133"/>
    </row>
    <row r="829">
      <c r="P829" s="133"/>
    </row>
    <row r="830">
      <c r="P830" s="133"/>
    </row>
    <row r="831">
      <c r="P831" s="133"/>
    </row>
    <row r="832">
      <c r="P832" s="133"/>
    </row>
    <row r="833">
      <c r="P833" s="133"/>
    </row>
    <row r="834">
      <c r="P834" s="133"/>
    </row>
    <row r="835">
      <c r="P835" s="133"/>
    </row>
    <row r="836">
      <c r="P836" s="133"/>
    </row>
    <row r="837">
      <c r="P837" s="133"/>
    </row>
    <row r="838">
      <c r="P838" s="133"/>
    </row>
    <row r="839">
      <c r="P839" s="133"/>
    </row>
    <row r="840">
      <c r="P840" s="133"/>
    </row>
    <row r="841">
      <c r="P841" s="133"/>
    </row>
    <row r="842">
      <c r="P842" s="133"/>
    </row>
    <row r="843">
      <c r="P843" s="133"/>
    </row>
    <row r="844">
      <c r="P844" s="133"/>
    </row>
    <row r="845">
      <c r="P845" s="133"/>
    </row>
    <row r="846">
      <c r="P846" s="133"/>
    </row>
    <row r="847">
      <c r="P847" s="133"/>
    </row>
    <row r="848">
      <c r="P848" s="133"/>
    </row>
    <row r="849">
      <c r="P849" s="133"/>
    </row>
    <row r="850">
      <c r="P850" s="133"/>
    </row>
    <row r="851">
      <c r="P851" s="133"/>
    </row>
    <row r="852">
      <c r="P852" s="133"/>
    </row>
    <row r="853">
      <c r="P853" s="133"/>
    </row>
    <row r="854">
      <c r="P854" s="133"/>
    </row>
    <row r="855">
      <c r="P855" s="133"/>
    </row>
    <row r="856">
      <c r="P856" s="133"/>
    </row>
    <row r="857">
      <c r="P857" s="133"/>
    </row>
    <row r="858">
      <c r="P858" s="133"/>
    </row>
    <row r="859">
      <c r="P859" s="133"/>
    </row>
    <row r="860">
      <c r="P860" s="133"/>
    </row>
    <row r="861">
      <c r="P861" s="133"/>
    </row>
    <row r="862">
      <c r="P862" s="133"/>
    </row>
    <row r="863">
      <c r="P863" s="133"/>
    </row>
    <row r="864">
      <c r="P864" s="133"/>
    </row>
    <row r="865">
      <c r="P865" s="133"/>
    </row>
    <row r="866">
      <c r="P866" s="133"/>
    </row>
    <row r="867">
      <c r="P867" s="133"/>
    </row>
    <row r="868">
      <c r="P868" s="133"/>
    </row>
    <row r="869">
      <c r="P869" s="133"/>
    </row>
    <row r="870">
      <c r="P870" s="133"/>
    </row>
    <row r="871">
      <c r="P871" s="133"/>
    </row>
    <row r="872">
      <c r="P872" s="133"/>
    </row>
    <row r="873">
      <c r="P873" s="133"/>
    </row>
    <row r="874">
      <c r="P874" s="133"/>
    </row>
    <row r="875">
      <c r="P875" s="133"/>
    </row>
    <row r="876">
      <c r="P876" s="133"/>
    </row>
    <row r="877">
      <c r="P877" s="133"/>
    </row>
    <row r="878">
      <c r="P878" s="133"/>
    </row>
    <row r="879">
      <c r="P879" s="133"/>
    </row>
    <row r="880">
      <c r="P880" s="133"/>
    </row>
    <row r="881">
      <c r="P881" s="133"/>
    </row>
    <row r="882">
      <c r="P882" s="133"/>
    </row>
    <row r="883">
      <c r="P883" s="133"/>
    </row>
    <row r="884">
      <c r="P884" s="133"/>
    </row>
    <row r="885">
      <c r="P885" s="133"/>
    </row>
    <row r="886">
      <c r="P886" s="133"/>
    </row>
    <row r="887">
      <c r="P887" s="133"/>
    </row>
    <row r="888">
      <c r="P888" s="133"/>
    </row>
    <row r="889">
      <c r="P889" s="133"/>
    </row>
    <row r="890">
      <c r="P890" s="133"/>
    </row>
    <row r="891">
      <c r="P891" s="133"/>
    </row>
    <row r="892">
      <c r="P892" s="133"/>
    </row>
    <row r="893">
      <c r="P893" s="133"/>
    </row>
    <row r="894">
      <c r="P894" s="133"/>
    </row>
    <row r="895">
      <c r="P895" s="133"/>
    </row>
    <row r="896">
      <c r="P896" s="133"/>
    </row>
    <row r="897">
      <c r="P897" s="133"/>
    </row>
    <row r="898">
      <c r="P898" s="133"/>
    </row>
    <row r="899">
      <c r="P899" s="133"/>
    </row>
    <row r="900">
      <c r="P900" s="133"/>
    </row>
    <row r="901">
      <c r="P901" s="133"/>
    </row>
    <row r="902">
      <c r="P902" s="133"/>
    </row>
    <row r="903">
      <c r="P903" s="133"/>
    </row>
    <row r="904">
      <c r="P904" s="133"/>
    </row>
    <row r="905">
      <c r="P905" s="133"/>
    </row>
    <row r="906">
      <c r="P906" s="133"/>
    </row>
    <row r="907">
      <c r="P907" s="133"/>
    </row>
    <row r="908">
      <c r="P908" s="133"/>
    </row>
    <row r="909">
      <c r="P909" s="133"/>
    </row>
    <row r="910">
      <c r="P910" s="133"/>
    </row>
    <row r="911">
      <c r="P911" s="133"/>
    </row>
    <row r="912">
      <c r="P912" s="133"/>
    </row>
    <row r="913">
      <c r="P913" s="133"/>
    </row>
    <row r="914">
      <c r="P914" s="133"/>
    </row>
    <row r="915">
      <c r="P915" s="133"/>
    </row>
    <row r="916">
      <c r="P916" s="133"/>
    </row>
    <row r="917">
      <c r="P917" s="133"/>
    </row>
    <row r="918">
      <c r="P918" s="133"/>
    </row>
    <row r="919">
      <c r="P919" s="133"/>
    </row>
    <row r="920">
      <c r="P920" s="133"/>
    </row>
    <row r="921">
      <c r="P921" s="133"/>
    </row>
    <row r="922">
      <c r="P922" s="133"/>
    </row>
    <row r="923">
      <c r="P923" s="133"/>
    </row>
    <row r="924">
      <c r="P924" s="133"/>
    </row>
    <row r="925">
      <c r="P925" s="133"/>
    </row>
    <row r="926">
      <c r="P926" s="133"/>
    </row>
    <row r="927">
      <c r="P927" s="133"/>
    </row>
    <row r="928">
      <c r="P928" s="133"/>
    </row>
    <row r="929">
      <c r="P929" s="133"/>
    </row>
    <row r="930">
      <c r="P930" s="133"/>
    </row>
    <row r="931">
      <c r="P931" s="133"/>
    </row>
    <row r="932">
      <c r="P932" s="133"/>
    </row>
    <row r="933">
      <c r="P933" s="133"/>
    </row>
    <row r="934">
      <c r="P934" s="133"/>
    </row>
    <row r="935">
      <c r="P935" s="133"/>
    </row>
    <row r="936">
      <c r="P936" s="133"/>
    </row>
    <row r="937">
      <c r="P937" s="133"/>
    </row>
    <row r="938">
      <c r="P938" s="133"/>
    </row>
    <row r="939">
      <c r="P939" s="133"/>
    </row>
    <row r="940">
      <c r="P940" s="133"/>
    </row>
    <row r="941">
      <c r="P941" s="133"/>
    </row>
    <row r="942">
      <c r="P942" s="133"/>
    </row>
    <row r="943">
      <c r="P943" s="133"/>
    </row>
    <row r="944">
      <c r="P944" s="133"/>
    </row>
    <row r="945">
      <c r="P945" s="133"/>
    </row>
    <row r="946">
      <c r="P946" s="133"/>
    </row>
    <row r="947">
      <c r="P947" s="133"/>
    </row>
    <row r="948">
      <c r="P948" s="133"/>
    </row>
    <row r="949">
      <c r="P949" s="133"/>
    </row>
    <row r="950">
      <c r="P950" s="133"/>
    </row>
    <row r="951">
      <c r="P951" s="133"/>
    </row>
    <row r="952">
      <c r="P952" s="133"/>
    </row>
    <row r="953">
      <c r="P953" s="133"/>
    </row>
    <row r="954">
      <c r="P954" s="133"/>
    </row>
    <row r="955">
      <c r="P955" s="133"/>
    </row>
    <row r="956">
      <c r="P956" s="133"/>
    </row>
    <row r="957">
      <c r="P957" s="133"/>
    </row>
    <row r="958">
      <c r="P958" s="133"/>
    </row>
    <row r="959">
      <c r="P959" s="133"/>
    </row>
    <row r="960">
      <c r="P960" s="133"/>
    </row>
    <row r="961">
      <c r="P961" s="133"/>
    </row>
    <row r="962">
      <c r="P962" s="133"/>
    </row>
    <row r="963">
      <c r="P963" s="133"/>
    </row>
    <row r="964">
      <c r="P964" s="133"/>
    </row>
    <row r="965">
      <c r="P965" s="133"/>
    </row>
    <row r="966">
      <c r="P966" s="133"/>
    </row>
    <row r="967">
      <c r="P967" s="133"/>
    </row>
    <row r="968">
      <c r="P968" s="133"/>
    </row>
    <row r="969">
      <c r="P969" s="133"/>
    </row>
    <row r="970">
      <c r="P970" s="133"/>
    </row>
    <row r="971">
      <c r="P971" s="133"/>
    </row>
    <row r="972">
      <c r="P972" s="133"/>
    </row>
    <row r="973">
      <c r="P973" s="133"/>
    </row>
    <row r="974">
      <c r="P974" s="133"/>
    </row>
    <row r="975">
      <c r="P975" s="133"/>
    </row>
    <row r="976">
      <c r="P976" s="133"/>
    </row>
    <row r="977">
      <c r="P977" s="133"/>
    </row>
    <row r="978">
      <c r="P978" s="133"/>
    </row>
    <row r="979">
      <c r="P979" s="133"/>
    </row>
    <row r="980">
      <c r="P980" s="133"/>
    </row>
    <row r="981">
      <c r="P981" s="133"/>
    </row>
    <row r="982">
      <c r="P982" s="133"/>
    </row>
    <row r="983">
      <c r="P983" s="133"/>
    </row>
    <row r="984">
      <c r="P984" s="133"/>
    </row>
    <row r="985">
      <c r="P985" s="133"/>
    </row>
    <row r="986">
      <c r="P986" s="133"/>
    </row>
    <row r="987">
      <c r="P987" s="133"/>
    </row>
    <row r="988">
      <c r="P988" s="133"/>
    </row>
    <row r="989">
      <c r="P989" s="133"/>
    </row>
    <row r="990">
      <c r="P990" s="133"/>
    </row>
    <row r="991">
      <c r="P991" s="133"/>
    </row>
    <row r="992">
      <c r="P992" s="133"/>
    </row>
    <row r="993">
      <c r="P993" s="133"/>
    </row>
    <row r="994">
      <c r="P994" s="133"/>
    </row>
    <row r="995">
      <c r="P995" s="133"/>
    </row>
    <row r="996">
      <c r="P996" s="133"/>
    </row>
    <row r="997">
      <c r="P997" s="133"/>
    </row>
    <row r="998">
      <c r="P998" s="133"/>
    </row>
    <row r="999">
      <c r="P999" s="133"/>
    </row>
    <row r="1000">
      <c r="P1000" s="133"/>
    </row>
    <row r="1001">
      <c r="P1001" s="133"/>
    </row>
  </sheetData>
  <dataValidations>
    <dataValidation allowBlank="1" showDropDown="1" sqref="A2:A13"/>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0.88"/>
    <col customWidth="1" min="2" max="2" width="12.63"/>
    <col customWidth="1" min="3" max="3" width="17.13"/>
    <col customWidth="1" min="4" max="4" width="7.88"/>
    <col customWidth="1" min="7" max="7" width="8.0"/>
    <col customWidth="1" min="8" max="8" width="15.88"/>
    <col customWidth="1" min="9" max="9" width="13.25"/>
    <col customWidth="1" min="10" max="10" width="10.25"/>
    <col customWidth="1" min="11" max="11" width="72.13"/>
    <col customWidth="1" min="12" max="12" width="27.0"/>
  </cols>
  <sheetData>
    <row r="1" ht="22.5" customHeight="1">
      <c r="A1" s="103" t="s">
        <v>83</v>
      </c>
      <c r="B1" s="103" t="s">
        <v>399</v>
      </c>
      <c r="C1" s="103" t="s">
        <v>84</v>
      </c>
      <c r="D1" s="103" t="s">
        <v>70</v>
      </c>
      <c r="E1" s="103" t="s">
        <v>86</v>
      </c>
      <c r="F1" s="103" t="s">
        <v>68</v>
      </c>
      <c r="G1" s="103" t="s">
        <v>89</v>
      </c>
      <c r="H1" s="103" t="s">
        <v>401</v>
      </c>
      <c r="I1" s="11" t="s">
        <v>210</v>
      </c>
      <c r="J1" s="11" t="s">
        <v>47</v>
      </c>
      <c r="K1" s="10" t="s">
        <v>5</v>
      </c>
      <c r="L1" s="103" t="s">
        <v>402</v>
      </c>
      <c r="M1" s="1"/>
      <c r="N1" s="105"/>
      <c r="O1" s="105"/>
      <c r="P1" s="105"/>
      <c r="Q1" s="105"/>
      <c r="R1" s="105"/>
      <c r="S1" s="105"/>
      <c r="T1" s="105"/>
      <c r="U1" s="105"/>
      <c r="V1" s="105"/>
      <c r="W1" s="105"/>
      <c r="X1" s="105"/>
      <c r="Y1" s="105"/>
      <c r="Z1" s="105"/>
    </row>
    <row r="2" ht="22.5" customHeight="1">
      <c r="A2" s="44" t="str">
        <f>IFERROR(__xludf.DUMMYFUNCTION("if(F2=""Any"",join(""-"",""0"",VLOOKUP(E2, Lists!A:B, 2, FALSE),D2,B2),join(""-"",INDEX(Factions!A:A, MATCH(F2, Factions!B:B, 0)),""1"",VLOOKUP(E2, Lists!A:B, 2, FALSE),D2,B2))"),"0-2-1-1")</f>
        <v>0-2-1-1</v>
      </c>
      <c r="B2" s="44">
        <v>1.0</v>
      </c>
      <c r="C2" s="44" t="s">
        <v>20</v>
      </c>
      <c r="D2" s="44">
        <v>1.0</v>
      </c>
      <c r="E2" s="44" t="s">
        <v>20</v>
      </c>
      <c r="F2" s="44" t="s">
        <v>404</v>
      </c>
      <c r="G2" s="44">
        <v>1.0</v>
      </c>
      <c r="H2" s="44"/>
      <c r="I2" s="67"/>
      <c r="J2" s="67"/>
      <c r="K2" s="67" t="s">
        <v>405</v>
      </c>
      <c r="L2" s="85" t="str">
        <f t="shared" ref="L2:L99" si="1">lower(concatenate("./assets/weapons/",D2,"/",E2,".png"))</f>
        <v>./assets/weapons/1/spear.png</v>
      </c>
    </row>
    <row r="3" ht="22.5" customHeight="1">
      <c r="A3" s="44" t="str">
        <f>IFERROR(__xludf.DUMMYFUNCTION("if(F3=""Any"",join(""-"",""0"",VLOOKUP(E3, Lists!A:B, 2, FALSE),D3,B3),join(""-"",INDEX(Factions!A:A, MATCH(F3, Factions!B:B, 0)),""1"",VLOOKUP(E3, Lists!A:B, 2, FALSE),D3,B3))"),"0-2-2-1")</f>
        <v>0-2-2-1</v>
      </c>
      <c r="B3" s="44">
        <v>1.0</v>
      </c>
      <c r="C3" s="44" t="s">
        <v>24</v>
      </c>
      <c r="D3" s="44">
        <v>2.0</v>
      </c>
      <c r="E3" s="44" t="s">
        <v>20</v>
      </c>
      <c r="F3" s="44" t="s">
        <v>404</v>
      </c>
      <c r="G3" s="44">
        <v>2.0</v>
      </c>
      <c r="H3" s="44"/>
      <c r="I3" s="67"/>
      <c r="J3" s="67"/>
      <c r="K3" s="67" t="s">
        <v>406</v>
      </c>
      <c r="L3" s="85" t="str">
        <f t="shared" si="1"/>
        <v>./assets/weapons/2/spear.png</v>
      </c>
    </row>
    <row r="4" ht="22.5" customHeight="1">
      <c r="A4" s="44" t="str">
        <f>IFERROR(__xludf.DUMMYFUNCTION("if(F4=""Any"",join(""-"",""0"",VLOOKUP(E4, Lists!A:B, 2, FALSE),D4,B4),join(""-"",INDEX(Factions!A:A, MATCH(F4, Factions!B:B, 0)),""1"",VLOOKUP(E4, Lists!A:B, 2, FALSE),D4,B4))"),"0-2-3-1")</f>
        <v>0-2-3-1</v>
      </c>
      <c r="B4" s="44">
        <v>1.0</v>
      </c>
      <c r="C4" s="44" t="s">
        <v>407</v>
      </c>
      <c r="D4" s="44">
        <v>3.0</v>
      </c>
      <c r="E4" s="44" t="s">
        <v>20</v>
      </c>
      <c r="F4" s="44" t="s">
        <v>404</v>
      </c>
      <c r="G4" s="44">
        <v>1.0</v>
      </c>
      <c r="H4" s="44"/>
      <c r="I4" s="67"/>
      <c r="J4" s="67"/>
      <c r="K4" s="67" t="s">
        <v>409</v>
      </c>
      <c r="L4" s="85" t="str">
        <f t="shared" si="1"/>
        <v>./assets/weapons/3/spear.png</v>
      </c>
    </row>
    <row r="5" ht="22.5" customHeight="1">
      <c r="A5" s="44" t="str">
        <f>IFERROR(__xludf.DUMMYFUNCTION("if(F5=""Any"",join(""-"",""0"",VLOOKUP(E5, Lists!A:B, 2, FALSE),D5,B5),join(""-"",INDEX(Factions!A:A, MATCH(F5, Factions!B:B, 0)),""1"",VLOOKUP(E5, Lists!A:B, 2, FALSE),D5,B5))"),"0-3-1-1")</f>
        <v>0-3-1-1</v>
      </c>
      <c r="B5" s="44">
        <v>1.0</v>
      </c>
      <c r="C5" s="44" t="s">
        <v>410</v>
      </c>
      <c r="D5" s="44">
        <v>1.0</v>
      </c>
      <c r="E5" s="44" t="s">
        <v>4</v>
      </c>
      <c r="F5" s="44" t="s">
        <v>404</v>
      </c>
      <c r="G5" s="44">
        <v>1.0</v>
      </c>
      <c r="H5" s="44"/>
      <c r="I5" s="67"/>
      <c r="J5" s="67"/>
      <c r="K5" s="67" t="s">
        <v>412</v>
      </c>
      <c r="L5" s="85" t="str">
        <f t="shared" si="1"/>
        <v>./assets/weapons/1/blunt.png</v>
      </c>
    </row>
    <row r="6" ht="22.5" customHeight="1">
      <c r="A6" s="44" t="str">
        <f>IFERROR(__xludf.DUMMYFUNCTION("if(F6=""Any"",join(""-"",""0"",VLOOKUP(E6, Lists!A:B, 2, FALSE),D6,B6),join(""-"",INDEX(Factions!A:A, MATCH(F6, Factions!B:B, 0)),""1"",VLOOKUP(E6, Lists!A:B, 2, FALSE),D6,B6))"),"0-3-2-1")</f>
        <v>0-3-2-1</v>
      </c>
      <c r="B6" s="44">
        <v>1.0</v>
      </c>
      <c r="C6" s="44" t="s">
        <v>413</v>
      </c>
      <c r="D6" s="44">
        <v>2.0</v>
      </c>
      <c r="E6" s="44" t="s">
        <v>4</v>
      </c>
      <c r="F6" s="44" t="s">
        <v>404</v>
      </c>
      <c r="G6" s="44">
        <v>2.0</v>
      </c>
      <c r="H6" s="44"/>
      <c r="I6" s="67"/>
      <c r="J6" s="67"/>
      <c r="K6" s="67" t="s">
        <v>414</v>
      </c>
      <c r="L6" s="85" t="str">
        <f t="shared" si="1"/>
        <v>./assets/weapons/2/blunt.png</v>
      </c>
    </row>
    <row r="7" ht="22.5" customHeight="1">
      <c r="A7" s="44" t="str">
        <f>IFERROR(__xludf.DUMMYFUNCTION("if(F7=""Any"",join(""-"",""0"",VLOOKUP(E7, Lists!A:B, 2, FALSE),D7,B7),join(""-"",INDEX(Factions!A:A, MATCH(F7, Factions!B:B, 0)),""1"",VLOOKUP(E7, Lists!A:B, 2, FALSE),D7,B7))"),"0-3-3-1")</f>
        <v>0-3-3-1</v>
      </c>
      <c r="B7" s="44">
        <v>1.0</v>
      </c>
      <c r="C7" s="44" t="s">
        <v>416</v>
      </c>
      <c r="D7" s="44">
        <v>3.0</v>
      </c>
      <c r="E7" s="44" t="s">
        <v>4</v>
      </c>
      <c r="F7" s="44" t="s">
        <v>404</v>
      </c>
      <c r="G7" s="44">
        <v>3.0</v>
      </c>
      <c r="H7" s="44"/>
      <c r="I7" s="67"/>
      <c r="J7" s="67"/>
      <c r="K7" s="67" t="s">
        <v>418</v>
      </c>
      <c r="L7" s="85" t="str">
        <f t="shared" si="1"/>
        <v>./assets/weapons/3/blunt.png</v>
      </c>
    </row>
    <row r="8" ht="22.5" customHeight="1">
      <c r="A8" s="44" t="str">
        <f>IFERROR(__xludf.DUMMYFUNCTION("if(F8=""Any"",join(""-"",""0"",VLOOKUP(E8, Lists!A:B, 2, FALSE),D8,B8),join(""-"",INDEX(Factions!A:A, MATCH(F8, Factions!B:B, 0)),""1"",VLOOKUP(E8, Lists!A:B, 2, FALSE),D8,B8))"),"0-4-1-1")</f>
        <v>0-4-1-1</v>
      </c>
      <c r="B8" s="44">
        <v>1.0</v>
      </c>
      <c r="C8" s="44" t="s">
        <v>419</v>
      </c>
      <c r="D8" s="44">
        <v>1.0</v>
      </c>
      <c r="E8" s="44" t="s">
        <v>16</v>
      </c>
      <c r="F8" s="44" t="s">
        <v>404</v>
      </c>
      <c r="G8" s="44">
        <v>1.0</v>
      </c>
      <c r="H8" s="44"/>
      <c r="I8" s="67"/>
      <c r="J8" s="67"/>
      <c r="K8" s="67" t="s">
        <v>420</v>
      </c>
      <c r="L8" s="85" t="str">
        <f t="shared" si="1"/>
        <v>./assets/weapons/1/axe.png</v>
      </c>
    </row>
    <row r="9" ht="22.5" customHeight="1">
      <c r="A9" s="44" t="str">
        <f>IFERROR(__xludf.DUMMYFUNCTION("if(F9=""Any"",join(""-"",""0"",VLOOKUP(E9, Lists!A:B, 2, FALSE),D9,B9),join(""-"",INDEX(Factions!A:A, MATCH(F9, Factions!B:B, 0)),""1"",VLOOKUP(E9, Lists!A:B, 2, FALSE),D9,B9))"),"0-4-2-1")</f>
        <v>0-4-2-1</v>
      </c>
      <c r="B9" s="44">
        <v>1.0</v>
      </c>
      <c r="C9" s="44" t="s">
        <v>421</v>
      </c>
      <c r="D9" s="44">
        <v>2.0</v>
      </c>
      <c r="E9" s="44" t="s">
        <v>16</v>
      </c>
      <c r="F9" s="44" t="s">
        <v>404</v>
      </c>
      <c r="G9" s="44">
        <v>2.0</v>
      </c>
      <c r="H9" s="44"/>
      <c r="I9" s="67"/>
      <c r="J9" s="67"/>
      <c r="K9" s="67" t="s">
        <v>422</v>
      </c>
      <c r="L9" s="85" t="str">
        <f t="shared" si="1"/>
        <v>./assets/weapons/2/axe.png</v>
      </c>
    </row>
    <row r="10" ht="22.5" customHeight="1">
      <c r="A10" s="44" t="str">
        <f>IFERROR(__xludf.DUMMYFUNCTION("if(F10=""Any"",join(""-"",""0"",VLOOKUP(E10, Lists!A:B, 2, FALSE),D10,B10),join(""-"",INDEX(Factions!A:A, MATCH(F10, Factions!B:B, 0)),""1"",VLOOKUP(E10, Lists!A:B, 2, FALSE),D10,B10))"),"0-4-3-1")</f>
        <v>0-4-3-1</v>
      </c>
      <c r="B10" s="44">
        <v>1.0</v>
      </c>
      <c r="C10" s="44" t="s">
        <v>423</v>
      </c>
      <c r="D10" s="44">
        <v>3.0</v>
      </c>
      <c r="E10" s="44" t="s">
        <v>16</v>
      </c>
      <c r="F10" s="44" t="s">
        <v>404</v>
      </c>
      <c r="G10" s="44">
        <v>3.0</v>
      </c>
      <c r="H10" s="44"/>
      <c r="I10" s="67"/>
      <c r="J10" s="67"/>
      <c r="K10" s="67" t="s">
        <v>425</v>
      </c>
      <c r="L10" s="85" t="str">
        <f t="shared" si="1"/>
        <v>./assets/weapons/3/axe.png</v>
      </c>
    </row>
    <row r="11" ht="22.5" customHeight="1">
      <c r="A11" s="44" t="str">
        <f>IFERROR(__xludf.DUMMYFUNCTION("if(F11=""Any"",join(""-"",""0"",VLOOKUP(E11, Lists!A:B, 2, FALSE),D11,B11),join(""-"",INDEX(Factions!A:A, MATCH(F11, Factions!B:B, 0)),""1"",VLOOKUP(E11, Lists!A:B, 2, FALSE),D11,B11))"),"0-5-1-1")</f>
        <v>0-5-1-1</v>
      </c>
      <c r="B11" s="44">
        <v>1.0</v>
      </c>
      <c r="C11" s="44" t="s">
        <v>426</v>
      </c>
      <c r="D11" s="44">
        <v>1.0</v>
      </c>
      <c r="E11" s="44" t="s">
        <v>108</v>
      </c>
      <c r="F11" s="44" t="s">
        <v>404</v>
      </c>
      <c r="G11" s="44">
        <v>1.0</v>
      </c>
      <c r="H11" s="44"/>
      <c r="I11" s="67"/>
      <c r="J11" s="67"/>
      <c r="K11" s="67" t="s">
        <v>429</v>
      </c>
      <c r="L11" s="85" t="str">
        <f t="shared" si="1"/>
        <v>./assets/weapons/1/offhand.png</v>
      </c>
    </row>
    <row r="12" ht="22.5" customHeight="1">
      <c r="A12" s="44" t="str">
        <f>IFERROR(__xludf.DUMMYFUNCTION("if(F12=""Any"",join(""-"",""0"",VLOOKUP(E12, Lists!A:B, 2, FALSE),D12,B12),join(""-"",INDEX(Factions!A:A, MATCH(F12, Factions!B:B, 0)),""1"",VLOOKUP(E12, Lists!A:B, 2, FALSE),D12,B12))"),"0-5-2-1")</f>
        <v>0-5-2-1</v>
      </c>
      <c r="B12" s="44">
        <v>1.0</v>
      </c>
      <c r="C12" s="44" t="s">
        <v>430</v>
      </c>
      <c r="D12" s="44">
        <v>2.0</v>
      </c>
      <c r="E12" s="44" t="s">
        <v>108</v>
      </c>
      <c r="F12" s="44" t="s">
        <v>404</v>
      </c>
      <c r="G12" s="44">
        <v>3.0</v>
      </c>
      <c r="H12" s="44"/>
      <c r="I12" s="67"/>
      <c r="J12" s="67"/>
      <c r="K12" s="67" t="s">
        <v>431</v>
      </c>
      <c r="L12" s="85" t="str">
        <f t="shared" si="1"/>
        <v>./assets/weapons/2/offhand.png</v>
      </c>
    </row>
    <row r="13" ht="22.5" customHeight="1">
      <c r="A13" s="44" t="str">
        <f>IFERROR(__xludf.DUMMYFUNCTION("if(F13=""Any"",join(""-"",""0"",VLOOKUP(E13, Lists!A:B, 2, FALSE),D13,B13),join(""-"",INDEX(Factions!A:A, MATCH(F13, Factions!B:B, 0)),""1"",VLOOKUP(E13, Lists!A:B, 2, FALSE),D13,B13))"),"0-5-3-1")</f>
        <v>0-5-3-1</v>
      </c>
      <c r="B13" s="44">
        <v>1.0</v>
      </c>
      <c r="C13" s="44" t="s">
        <v>433</v>
      </c>
      <c r="D13" s="44">
        <v>3.0</v>
      </c>
      <c r="E13" s="44" t="s">
        <v>108</v>
      </c>
      <c r="F13" s="44" t="s">
        <v>404</v>
      </c>
      <c r="G13" s="44">
        <v>3.0</v>
      </c>
      <c r="H13" s="44"/>
      <c r="I13" s="67"/>
      <c r="J13" s="67"/>
      <c r="K13" s="67" t="s">
        <v>434</v>
      </c>
      <c r="L13" s="85" t="str">
        <f t="shared" si="1"/>
        <v>./assets/weapons/3/offhand.png</v>
      </c>
    </row>
    <row r="14" ht="22.5" customHeight="1">
      <c r="A14" s="44" t="str">
        <f>IFERROR(__xludf.DUMMYFUNCTION("if(F14=""Any"",join(""-"",""0"",VLOOKUP(E14, Lists!A:B, 2, FALSE),D14,B14),join(""-"",INDEX(Factions!A:A, MATCH(F14, Factions!B:B, 0)),""1"",VLOOKUP(E14, Lists!A:B, 2, FALSE),D14,B14))"),"0-6-1-1")</f>
        <v>0-6-1-1</v>
      </c>
      <c r="B14" s="44">
        <v>1.0</v>
      </c>
      <c r="C14" s="44" t="s">
        <v>30</v>
      </c>
      <c r="D14" s="44">
        <v>1.0</v>
      </c>
      <c r="E14" s="44" t="s">
        <v>30</v>
      </c>
      <c r="F14" s="44" t="s">
        <v>404</v>
      </c>
      <c r="G14" s="44">
        <v>1.0</v>
      </c>
      <c r="H14" s="44"/>
      <c r="I14" s="67"/>
      <c r="J14" s="67"/>
      <c r="K14" s="67" t="s">
        <v>437</v>
      </c>
      <c r="L14" s="85" t="str">
        <f t="shared" si="1"/>
        <v>./assets/weapons/1/shield.png</v>
      </c>
    </row>
    <row r="15" ht="22.5" customHeight="1">
      <c r="A15" s="44" t="str">
        <f>IFERROR(__xludf.DUMMYFUNCTION("if(F15=""Any"",join(""-"",""0"",VLOOKUP(E15, Lists!A:B, 2, FALSE),D15,B15),join(""-"",INDEX(Factions!A:A, MATCH(F15, Factions!B:B, 0)),""1"",VLOOKUP(E15, Lists!A:B, 2, FALSE),D15,B15))"),"0-6-2-1")</f>
        <v>0-6-2-1</v>
      </c>
      <c r="B15" s="44">
        <v>1.0</v>
      </c>
      <c r="C15" s="44" t="s">
        <v>438</v>
      </c>
      <c r="D15" s="44">
        <v>2.0</v>
      </c>
      <c r="E15" s="44" t="s">
        <v>30</v>
      </c>
      <c r="F15" s="44" t="s">
        <v>404</v>
      </c>
      <c r="G15" s="44">
        <v>2.0</v>
      </c>
      <c r="H15" s="44"/>
      <c r="I15" s="67"/>
      <c r="J15" s="67"/>
      <c r="K15" s="67" t="s">
        <v>441</v>
      </c>
      <c r="L15" s="85" t="str">
        <f t="shared" si="1"/>
        <v>./assets/weapons/2/shield.png</v>
      </c>
    </row>
    <row r="16" ht="22.5" customHeight="1">
      <c r="A16" s="44" t="str">
        <f>IFERROR(__xludf.DUMMYFUNCTION("if(F16=""Any"",join(""-"",""0"",VLOOKUP(E16, Lists!A:B, 2, FALSE),D16,B16),join(""-"",INDEX(Factions!A:A, MATCH(F16, Factions!B:B, 0)),""1"",VLOOKUP(E16, Lists!A:B, 2, FALSE),D16,B16))"),"0-6-3-1")</f>
        <v>0-6-3-1</v>
      </c>
      <c r="B16" s="44">
        <v>1.0</v>
      </c>
      <c r="C16" s="44" t="s">
        <v>443</v>
      </c>
      <c r="D16" s="44">
        <v>3.0</v>
      </c>
      <c r="E16" s="44" t="s">
        <v>30</v>
      </c>
      <c r="F16" s="44" t="s">
        <v>404</v>
      </c>
      <c r="G16" s="44">
        <v>3.0</v>
      </c>
      <c r="H16" s="44"/>
      <c r="I16" s="67"/>
      <c r="J16" s="67"/>
      <c r="K16" s="67" t="s">
        <v>445</v>
      </c>
      <c r="L16" s="85" t="str">
        <f t="shared" si="1"/>
        <v>./assets/weapons/3/shield.png</v>
      </c>
    </row>
    <row r="17" ht="22.5" customHeight="1">
      <c r="A17" s="44" t="str">
        <f>IFERROR(__xludf.DUMMYFUNCTION("if(F17=""Any"",join(""-"",""0"",VLOOKUP(E17, Lists!A:B, 2, FALSE),D17,B17),join(""-"",INDEX(Factions!A:A, MATCH(F17, Factions!B:B, 0)),""1"",VLOOKUP(E17, Lists!A:B, 2, FALSE),D17,B17))"),"01-1-1-1-1")</f>
        <v>01-1-1-1-1</v>
      </c>
      <c r="B17" s="44">
        <v>1.0</v>
      </c>
      <c r="C17" s="44" t="s">
        <v>446</v>
      </c>
      <c r="D17" s="44">
        <v>1.0</v>
      </c>
      <c r="E17" s="44" t="s">
        <v>110</v>
      </c>
      <c r="F17" s="44" t="s">
        <v>7</v>
      </c>
      <c r="G17" s="44">
        <v>0.0</v>
      </c>
      <c r="H17" s="44"/>
      <c r="I17" s="67"/>
      <c r="J17" s="67">
        <v>3.0</v>
      </c>
      <c r="K17" s="67" t="s">
        <v>449</v>
      </c>
      <c r="L17" s="85" t="str">
        <f t="shared" si="1"/>
        <v>./assets/weapons/1/ranged.png</v>
      </c>
    </row>
    <row r="18" ht="22.5" customHeight="1">
      <c r="A18" s="44" t="str">
        <f>IFERROR(__xludf.DUMMYFUNCTION("if(F18=""Any"",join(""-"",""0"",VLOOKUP(E18, Lists!A:B, 2, FALSE),D18,B18),join(""-"",INDEX(Factions!A:A, MATCH(F18, Factions!B:B, 0)),""1"",VLOOKUP(E18, Lists!A:B, 2, FALSE),D18,B18))"),"01-1-1-1-2")</f>
        <v>01-1-1-1-2</v>
      </c>
      <c r="B18" s="44">
        <v>2.0</v>
      </c>
      <c r="C18" s="44" t="s">
        <v>450</v>
      </c>
      <c r="D18" s="44">
        <v>1.0</v>
      </c>
      <c r="E18" s="44" t="s">
        <v>110</v>
      </c>
      <c r="F18" s="44" t="s">
        <v>7</v>
      </c>
      <c r="G18" s="44">
        <v>1.0</v>
      </c>
      <c r="H18" s="44"/>
      <c r="I18" s="67"/>
      <c r="J18" s="67">
        <v>3.0</v>
      </c>
      <c r="K18" s="67" t="s">
        <v>449</v>
      </c>
      <c r="L18" s="85" t="str">
        <f t="shared" si="1"/>
        <v>./assets/weapons/1/ranged.png</v>
      </c>
    </row>
    <row r="19" ht="22.5" customHeight="1">
      <c r="A19" s="44" t="str">
        <f>IFERROR(__xludf.DUMMYFUNCTION("if(F19=""Any"",join(""-"",""0"",VLOOKUP(E19, Lists!A:B, 2, FALSE),D19,B19),join(""-"",INDEX(Factions!A:A, MATCH(F19, Factions!B:B, 0)),""1"",VLOOKUP(E19, Lists!A:B, 2, FALSE),D19,B19))"),"01-1-1-2-1")</f>
        <v>01-1-1-2-1</v>
      </c>
      <c r="B19" s="44">
        <v>1.0</v>
      </c>
      <c r="C19" s="44" t="s">
        <v>454</v>
      </c>
      <c r="D19" s="44">
        <v>2.0</v>
      </c>
      <c r="E19" s="44" t="s">
        <v>110</v>
      </c>
      <c r="F19" s="44" t="s">
        <v>7</v>
      </c>
      <c r="G19" s="44">
        <v>1.0</v>
      </c>
      <c r="H19" s="44"/>
      <c r="I19" s="67"/>
      <c r="J19" s="67">
        <v>2.0</v>
      </c>
      <c r="K19" s="67" t="s">
        <v>457</v>
      </c>
      <c r="L19" s="85" t="str">
        <f t="shared" si="1"/>
        <v>./assets/weapons/2/ranged.png</v>
      </c>
    </row>
    <row r="20" ht="22.5" customHeight="1">
      <c r="A20" s="44" t="str">
        <f>IFERROR(__xludf.DUMMYFUNCTION("if(F20=""Any"",join(""-"",""0"",VLOOKUP(E20, Lists!A:B, 2, FALSE),D20,B20),join(""-"",INDEX(Factions!A:A, MATCH(F20, Factions!B:B, 0)),""1"",VLOOKUP(E20, Lists!A:B, 2, FALSE),D20,B20))"),"01-1-1-2-2")</f>
        <v>01-1-1-2-2</v>
      </c>
      <c r="B20" s="44">
        <v>2.0</v>
      </c>
      <c r="C20" s="44" t="s">
        <v>458</v>
      </c>
      <c r="D20" s="44">
        <v>2.0</v>
      </c>
      <c r="E20" s="44" t="s">
        <v>110</v>
      </c>
      <c r="F20" s="44" t="s">
        <v>7</v>
      </c>
      <c r="G20" s="44">
        <v>1.0</v>
      </c>
      <c r="H20" s="44"/>
      <c r="I20" s="67"/>
      <c r="J20" s="67">
        <v>3.0</v>
      </c>
      <c r="K20" s="67" t="s">
        <v>459</v>
      </c>
      <c r="L20" s="85" t="str">
        <f t="shared" si="1"/>
        <v>./assets/weapons/2/ranged.png</v>
      </c>
    </row>
    <row r="21" ht="22.5" customHeight="1">
      <c r="A21" s="44" t="str">
        <f>IFERROR(__xludf.DUMMYFUNCTION("if(F21=""Any"",join(""-"",""0"",VLOOKUP(E21, Lists!A:B, 2, FALSE),D21,B21),join(""-"",INDEX(Factions!A:A, MATCH(F21, Factions!B:B, 0)),""1"",VLOOKUP(E21, Lists!A:B, 2, FALSE),D21,B21))"),"01-1-8-3-1")</f>
        <v>01-1-8-3-1</v>
      </c>
      <c r="B21" s="44">
        <v>1.0</v>
      </c>
      <c r="C21" s="44" t="s">
        <v>460</v>
      </c>
      <c r="D21" s="44">
        <v>3.0</v>
      </c>
      <c r="E21" s="44" t="s">
        <v>225</v>
      </c>
      <c r="F21" s="44" t="s">
        <v>7</v>
      </c>
      <c r="G21" s="44">
        <v>1.0</v>
      </c>
      <c r="H21" s="44" t="s">
        <v>461</v>
      </c>
      <c r="I21" s="67" t="s">
        <v>211</v>
      </c>
      <c r="J21" s="67" t="s">
        <v>462</v>
      </c>
      <c r="K21" s="67" t="s">
        <v>463</v>
      </c>
      <c r="L21" s="85" t="str">
        <f t="shared" si="1"/>
        <v>./assets/weapons/3/spell.png</v>
      </c>
    </row>
    <row r="22" ht="22.5" customHeight="1">
      <c r="A22" s="44" t="str">
        <f>IFERROR(__xludf.DUMMYFUNCTION("if(F22=""Any"",join(""-"",""0"",VLOOKUP(E22, Lists!A:B, 2, FALSE),D22,B22),join(""-"",INDEX(Factions!A:A, MATCH(F22, Factions!B:B, 0)),""1"",VLOOKUP(E22, Lists!A:B, 2, FALSE),D22,B22))"),"01-1-8-3-2")</f>
        <v>01-1-8-3-2</v>
      </c>
      <c r="B22" s="44">
        <v>2.0</v>
      </c>
      <c r="C22" s="44" t="s">
        <v>464</v>
      </c>
      <c r="D22" s="44">
        <v>3.0</v>
      </c>
      <c r="E22" s="44" t="s">
        <v>225</v>
      </c>
      <c r="F22" s="44" t="s">
        <v>7</v>
      </c>
      <c r="G22" s="44">
        <v>1.0</v>
      </c>
      <c r="H22" s="44" t="s">
        <v>467</v>
      </c>
      <c r="I22" s="67" t="s">
        <v>212</v>
      </c>
      <c r="J22" s="67">
        <v>3.0</v>
      </c>
      <c r="K22" s="67" t="s">
        <v>468</v>
      </c>
      <c r="L22" s="85" t="str">
        <f t="shared" si="1"/>
        <v>./assets/weapons/3/spell.png</v>
      </c>
    </row>
    <row r="23" ht="22.5" customHeight="1">
      <c r="A23" s="44" t="str">
        <f>IFERROR(__xludf.DUMMYFUNCTION("if(F23=""Any"",join(""-"",""0"",VLOOKUP(E23, Lists!A:B, 2, FALSE),D23,B23),join(""-"",INDEX(Factions!A:A, MATCH(F23, Factions!B:B, 0)),""1"",VLOOKUP(E23, Lists!A:B, 2, FALSE),D23,B23))"),"01-1-8-3-3")</f>
        <v>01-1-8-3-3</v>
      </c>
      <c r="B23" s="44">
        <v>3.0</v>
      </c>
      <c r="C23" s="44" t="s">
        <v>469</v>
      </c>
      <c r="D23" s="44">
        <v>3.0</v>
      </c>
      <c r="E23" s="44" t="s">
        <v>225</v>
      </c>
      <c r="F23" s="44" t="s">
        <v>7</v>
      </c>
      <c r="G23" s="44">
        <v>2.0</v>
      </c>
      <c r="H23" s="44" t="s">
        <v>467</v>
      </c>
      <c r="I23" s="67" t="s">
        <v>211</v>
      </c>
      <c r="J23" s="67">
        <v>3.0</v>
      </c>
      <c r="K23" s="67" t="s">
        <v>471</v>
      </c>
      <c r="L23" s="85" t="str">
        <f t="shared" si="1"/>
        <v>./assets/weapons/3/spell.png</v>
      </c>
    </row>
    <row r="24" ht="22.5" customHeight="1">
      <c r="A24" s="44" t="str">
        <f>IFERROR(__xludf.DUMMYFUNCTION("if(F24=""Any"",join(""-"",""0"",VLOOKUP(E24, Lists!A:B, 2, FALSE),D24,B24),join(""-"",INDEX(Factions!A:A, MATCH(F24, Factions!B:B, 0)),""1"",VLOOKUP(E24, Lists!A:B, 2, FALSE),D24,B24))"),"01-1-8-3-4")</f>
        <v>01-1-8-3-4</v>
      </c>
      <c r="B24" s="44">
        <v>4.0</v>
      </c>
      <c r="C24" s="44" t="s">
        <v>472</v>
      </c>
      <c r="D24" s="44">
        <v>3.0</v>
      </c>
      <c r="E24" s="44" t="s">
        <v>225</v>
      </c>
      <c r="F24" s="44" t="s">
        <v>7</v>
      </c>
      <c r="G24" s="44">
        <v>2.0</v>
      </c>
      <c r="H24" s="44" t="s">
        <v>467</v>
      </c>
      <c r="I24" s="67" t="s">
        <v>211</v>
      </c>
      <c r="J24" s="67">
        <v>2.0</v>
      </c>
      <c r="K24" s="67" t="s">
        <v>473</v>
      </c>
      <c r="L24" s="85" t="str">
        <f t="shared" si="1"/>
        <v>./assets/weapons/3/spell.png</v>
      </c>
    </row>
    <row r="25" ht="22.5" customHeight="1">
      <c r="A25" s="44" t="str">
        <f>IFERROR(__xludf.DUMMYFUNCTION("if(F25=""Any"",join(""-"",""0"",VLOOKUP(E25, Lists!A:B, 2, FALSE),D25,B25),join(""-"",INDEX(Factions!A:A, MATCH(F25, Factions!B:B, 0)),""1"",VLOOKUP(E25, Lists!A:B, 2, FALSE),D25,B25))"),"01-1-8-3-5")</f>
        <v>01-1-8-3-5</v>
      </c>
      <c r="B25" s="44">
        <v>5.0</v>
      </c>
      <c r="C25" s="44" t="s">
        <v>474</v>
      </c>
      <c r="D25" s="44">
        <v>3.0</v>
      </c>
      <c r="E25" s="44" t="s">
        <v>225</v>
      </c>
      <c r="F25" s="44" t="s">
        <v>7</v>
      </c>
      <c r="G25" s="44">
        <v>2.0</v>
      </c>
      <c r="H25" s="44" t="s">
        <v>467</v>
      </c>
      <c r="I25" s="67" t="s">
        <v>49</v>
      </c>
      <c r="J25" s="67">
        <v>4.0</v>
      </c>
      <c r="K25" s="67" t="s">
        <v>475</v>
      </c>
      <c r="L25" s="85" t="str">
        <f t="shared" si="1"/>
        <v>./assets/weapons/3/spell.png</v>
      </c>
    </row>
    <row r="26" ht="22.5" customHeight="1">
      <c r="A26" s="44" t="str">
        <f>IFERROR(__xludf.DUMMYFUNCTION("if(F26=""Any"",join(""-"",""0"",VLOOKUP(E26, Lists!A:B, 2, FALSE),D26,B26),join(""-"",INDEX(Factions!A:A, MATCH(F26, Factions!B:B, 0)),""1"",VLOOKUP(E26, Lists!A:B, 2, FALSE),D26,B26))"),"01-1-8-3-6")</f>
        <v>01-1-8-3-6</v>
      </c>
      <c r="B26" s="44">
        <v>6.0</v>
      </c>
      <c r="C26" s="44" t="s">
        <v>478</v>
      </c>
      <c r="D26" s="44">
        <v>3.0</v>
      </c>
      <c r="E26" s="44" t="s">
        <v>225</v>
      </c>
      <c r="F26" s="44" t="s">
        <v>7</v>
      </c>
      <c r="G26" s="44">
        <v>3.0</v>
      </c>
      <c r="H26" s="44" t="s">
        <v>480</v>
      </c>
      <c r="I26" s="67" t="s">
        <v>212</v>
      </c>
      <c r="J26" s="67">
        <v>3.0</v>
      </c>
      <c r="K26" s="67" t="s">
        <v>481</v>
      </c>
      <c r="L26" s="85" t="str">
        <f t="shared" si="1"/>
        <v>./assets/weapons/3/spell.png</v>
      </c>
    </row>
    <row r="27" ht="22.5" customHeight="1">
      <c r="A27" s="44" t="str">
        <f>IFERROR(__xludf.DUMMYFUNCTION("if(F27=""Any"",join(""-"",""0"",VLOOKUP(E27, Lists!A:B, 2, FALSE),D27,B27),join(""-"",INDEX(Factions!A:A, MATCH(F27, Factions!B:B, 0)),""1"",VLOOKUP(E27, Lists!A:B, 2, FALSE),D27,B27))"),"02-1-1-1-1")</f>
        <v>02-1-1-1-1</v>
      </c>
      <c r="B27" s="44">
        <v>1.0</v>
      </c>
      <c r="C27" s="44" t="s">
        <v>483</v>
      </c>
      <c r="D27" s="44">
        <v>1.0</v>
      </c>
      <c r="E27" s="44" t="s">
        <v>110</v>
      </c>
      <c r="F27" s="44" t="s">
        <v>203</v>
      </c>
      <c r="G27" s="44">
        <v>0.0</v>
      </c>
      <c r="H27" s="44"/>
      <c r="I27" s="67"/>
      <c r="J27" s="67">
        <v>2.0</v>
      </c>
      <c r="K27" s="67" t="s">
        <v>484</v>
      </c>
      <c r="L27" s="85" t="str">
        <f t="shared" si="1"/>
        <v>./assets/weapons/1/ranged.png</v>
      </c>
    </row>
    <row r="28" ht="22.5" customHeight="1">
      <c r="A28" s="44" t="str">
        <f>IFERROR(__xludf.DUMMYFUNCTION("if(F28=""Any"",join(""-"",""0"",VLOOKUP(E28, Lists!A:B, 2, FALSE),D28,B28),join(""-"",INDEX(Factions!A:A, MATCH(F28, Factions!B:B, 0)),""1"",VLOOKUP(E28, Lists!A:B, 2, FALSE),D28,B28))"),"02-1-1-1-2")</f>
        <v>02-1-1-1-2</v>
      </c>
      <c r="B28" s="44">
        <v>2.0</v>
      </c>
      <c r="C28" s="44" t="s">
        <v>485</v>
      </c>
      <c r="D28" s="44">
        <v>1.0</v>
      </c>
      <c r="E28" s="44" t="s">
        <v>110</v>
      </c>
      <c r="F28" s="44" t="s">
        <v>203</v>
      </c>
      <c r="G28" s="44">
        <v>0.0</v>
      </c>
      <c r="H28" s="44"/>
      <c r="I28" s="67"/>
      <c r="J28" s="67">
        <v>2.0</v>
      </c>
      <c r="K28" s="67" t="s">
        <v>486</v>
      </c>
      <c r="L28" s="85" t="str">
        <f t="shared" si="1"/>
        <v>./assets/weapons/1/ranged.png</v>
      </c>
    </row>
    <row r="29" ht="22.5" customHeight="1">
      <c r="A29" s="44" t="str">
        <f>IFERROR(__xludf.DUMMYFUNCTION("if(F29=""Any"",join(""-"",""0"",VLOOKUP(E29, Lists!A:B, 2, FALSE),D29,B29),join(""-"",INDEX(Factions!A:A, MATCH(F29, Factions!B:B, 0)),""1"",VLOOKUP(E29, Lists!A:B, 2, FALSE),D29,B29))"),"02-1-1-2-1")</f>
        <v>02-1-1-2-1</v>
      </c>
      <c r="B29" s="44">
        <v>1.0</v>
      </c>
      <c r="C29" s="44" t="s">
        <v>487</v>
      </c>
      <c r="D29" s="44">
        <v>2.0</v>
      </c>
      <c r="E29" s="44" t="s">
        <v>110</v>
      </c>
      <c r="F29" s="44" t="s">
        <v>203</v>
      </c>
      <c r="G29" s="44">
        <v>1.0</v>
      </c>
      <c r="H29" s="44"/>
      <c r="I29" s="67"/>
      <c r="J29" s="67">
        <v>2.0</v>
      </c>
      <c r="K29" s="67" t="s">
        <v>488</v>
      </c>
      <c r="L29" s="85" t="str">
        <f t="shared" si="1"/>
        <v>./assets/weapons/2/ranged.png</v>
      </c>
    </row>
    <row r="30" ht="22.5" customHeight="1">
      <c r="A30" s="44" t="str">
        <f>IFERROR(__xludf.DUMMYFUNCTION("if(F30=""Any"",join(""-"",""0"",VLOOKUP(E30, Lists!A:B, 2, FALSE),D30,B30),join(""-"",INDEX(Factions!A:A, MATCH(F30, Factions!B:B, 0)),""1"",VLOOKUP(E30, Lists!A:B, 2, FALSE),D30,B30))"),"02-1-1-2-2")</f>
        <v>02-1-1-2-2</v>
      </c>
      <c r="B30" s="44">
        <v>2.0</v>
      </c>
      <c r="C30" s="44" t="s">
        <v>491</v>
      </c>
      <c r="D30" s="44">
        <v>2.0</v>
      </c>
      <c r="E30" s="44" t="s">
        <v>110</v>
      </c>
      <c r="F30" s="44" t="s">
        <v>203</v>
      </c>
      <c r="G30" s="44">
        <v>1.0</v>
      </c>
      <c r="H30" s="44"/>
      <c r="I30" s="67"/>
      <c r="J30" s="67">
        <v>2.0</v>
      </c>
      <c r="K30" s="67" t="s">
        <v>492</v>
      </c>
      <c r="L30" s="85" t="str">
        <f t="shared" si="1"/>
        <v>./assets/weapons/2/ranged.png</v>
      </c>
    </row>
    <row r="31" ht="22.5" customHeight="1">
      <c r="A31" s="44" t="str">
        <f>IFERROR(__xludf.DUMMYFUNCTION("if(F31=""Any"",join(""-"",""0"",VLOOKUP(E31, Lists!A:B, 2, FALSE),D31,B31),join(""-"",INDEX(Factions!A:A, MATCH(F31, Factions!B:B, 0)),""1"",VLOOKUP(E31, Lists!A:B, 2, FALSE),D31,B31))"),"02-1-8-2-1")</f>
        <v>02-1-8-2-1</v>
      </c>
      <c r="B31" s="44">
        <v>1.0</v>
      </c>
      <c r="C31" s="44" t="s">
        <v>494</v>
      </c>
      <c r="D31" s="44">
        <v>2.0</v>
      </c>
      <c r="E31" s="44" t="s">
        <v>225</v>
      </c>
      <c r="F31" s="44" t="s">
        <v>203</v>
      </c>
      <c r="G31" s="44">
        <v>1.0</v>
      </c>
      <c r="H31" s="44" t="s">
        <v>495</v>
      </c>
      <c r="I31" s="67" t="s">
        <v>49</v>
      </c>
      <c r="J31" s="67">
        <v>3.0</v>
      </c>
      <c r="K31" s="67" t="s">
        <v>496</v>
      </c>
      <c r="L31" s="85" t="str">
        <f t="shared" si="1"/>
        <v>./assets/weapons/2/spell.png</v>
      </c>
    </row>
    <row r="32" ht="22.5" customHeight="1">
      <c r="A32" s="44" t="str">
        <f>IFERROR(__xludf.DUMMYFUNCTION("if(F32=""Any"",join(""-"",""0"",VLOOKUP(E32, Lists!A:B, 2, FALSE),D32,B32),join(""-"",INDEX(Factions!A:A, MATCH(F32, Factions!B:B, 0)),""1"",VLOOKUP(E32, Lists!A:B, 2, FALSE),D32,B32))"),"02-1-8-2-2")</f>
        <v>02-1-8-2-2</v>
      </c>
      <c r="B32" s="44">
        <v>2.0</v>
      </c>
      <c r="C32" s="44" t="s">
        <v>497</v>
      </c>
      <c r="D32" s="44">
        <v>2.0</v>
      </c>
      <c r="E32" s="44" t="s">
        <v>225</v>
      </c>
      <c r="F32" s="44" t="s">
        <v>203</v>
      </c>
      <c r="G32" s="44">
        <v>1.0</v>
      </c>
      <c r="H32" s="44" t="s">
        <v>467</v>
      </c>
      <c r="I32" s="67" t="s">
        <v>212</v>
      </c>
      <c r="J32" s="67">
        <v>4.0</v>
      </c>
      <c r="K32" s="67" t="s">
        <v>498</v>
      </c>
      <c r="L32" s="85" t="str">
        <f t="shared" si="1"/>
        <v>./assets/weapons/2/spell.png</v>
      </c>
    </row>
    <row r="33" ht="22.5" customHeight="1">
      <c r="A33" s="44" t="str">
        <f>IFERROR(__xludf.DUMMYFUNCTION("if(F33=""Any"",join(""-"",""0"",VLOOKUP(E33, Lists!A:B, 2, FALSE),D33,B33),join(""-"",INDEX(Factions!A:A, MATCH(F33, Factions!B:B, 0)),""1"",VLOOKUP(E33, Lists!A:B, 2, FALSE),D33,B33))"),"02-1-8-2-3")</f>
        <v>02-1-8-2-3</v>
      </c>
      <c r="B33" s="44">
        <v>3.0</v>
      </c>
      <c r="C33" s="44" t="s">
        <v>499</v>
      </c>
      <c r="D33" s="44">
        <v>2.0</v>
      </c>
      <c r="E33" s="44" t="s">
        <v>225</v>
      </c>
      <c r="F33" s="44" t="s">
        <v>203</v>
      </c>
      <c r="G33" s="44">
        <v>1.0</v>
      </c>
      <c r="H33" s="44" t="s">
        <v>467</v>
      </c>
      <c r="I33" s="67" t="s">
        <v>211</v>
      </c>
      <c r="J33" s="67">
        <v>3.0</v>
      </c>
      <c r="K33" s="67" t="s">
        <v>502</v>
      </c>
      <c r="L33" s="85" t="str">
        <f t="shared" si="1"/>
        <v>./assets/weapons/2/spell.png</v>
      </c>
    </row>
    <row r="34" ht="22.5" customHeight="1">
      <c r="A34" s="44" t="str">
        <f>IFERROR(__xludf.DUMMYFUNCTION("if(F34=""Any"",join(""-"",""0"",VLOOKUP(E34, Lists!A:B, 2, FALSE),D34,B34),join(""-"",INDEX(Factions!A:A, MATCH(F34, Factions!B:B, 0)),""1"",VLOOKUP(E34, Lists!A:B, 2, FALSE),D34,B34))"),"02-1-8-3-4")</f>
        <v>02-1-8-3-4</v>
      </c>
      <c r="B34" s="44">
        <v>4.0</v>
      </c>
      <c r="C34" s="44" t="s">
        <v>504</v>
      </c>
      <c r="D34" s="44">
        <v>3.0</v>
      </c>
      <c r="E34" s="44" t="s">
        <v>225</v>
      </c>
      <c r="F34" s="44" t="s">
        <v>203</v>
      </c>
      <c r="G34" s="44">
        <v>2.0</v>
      </c>
      <c r="H34" s="44" t="s">
        <v>480</v>
      </c>
      <c r="I34" s="67" t="s">
        <v>49</v>
      </c>
      <c r="J34" s="67">
        <v>3.0</v>
      </c>
      <c r="K34" s="67" t="s">
        <v>505</v>
      </c>
      <c r="L34" s="85" t="str">
        <f t="shared" si="1"/>
        <v>./assets/weapons/3/spell.png</v>
      </c>
    </row>
    <row r="35" ht="22.5" customHeight="1">
      <c r="A35" s="44" t="str">
        <f>IFERROR(__xludf.DUMMYFUNCTION("if(F35=""Any"",join(""-"",""0"",VLOOKUP(E35, Lists!A:B, 2, FALSE),D35,B35),join(""-"",INDEX(Factions!A:A, MATCH(F35, Factions!B:B, 0)),""1"",VLOOKUP(E35, Lists!A:B, 2, FALSE),D35,B35))"),"02-1-8-3-5")</f>
        <v>02-1-8-3-5</v>
      </c>
      <c r="B35" s="44">
        <v>5.0</v>
      </c>
      <c r="C35" s="44" t="s">
        <v>506</v>
      </c>
      <c r="D35" s="44">
        <v>3.0</v>
      </c>
      <c r="E35" s="44" t="s">
        <v>225</v>
      </c>
      <c r="F35" s="44" t="s">
        <v>203</v>
      </c>
      <c r="G35" s="44">
        <v>1.0</v>
      </c>
      <c r="H35" s="44" t="s">
        <v>480</v>
      </c>
      <c r="I35" s="67" t="s">
        <v>213</v>
      </c>
      <c r="J35" s="67">
        <v>2.0</v>
      </c>
      <c r="K35" s="67" t="s">
        <v>507</v>
      </c>
      <c r="L35" s="85" t="str">
        <f t="shared" si="1"/>
        <v>./assets/weapons/3/spell.png</v>
      </c>
    </row>
    <row r="36" ht="22.5" customHeight="1">
      <c r="A36" s="44" t="str">
        <f>IFERROR(__xludf.DUMMYFUNCTION("if(F36=""Any"",join(""-"",""0"",VLOOKUP(E36, Lists!A:B, 2, FALSE),D36,B36),join(""-"",INDEX(Factions!A:A, MATCH(F36, Factions!B:B, 0)),""1"",VLOOKUP(E36, Lists!A:B, 2, FALSE),D36,B36))"),"02-1-8-3-6")</f>
        <v>02-1-8-3-6</v>
      </c>
      <c r="B36" s="44">
        <v>6.0</v>
      </c>
      <c r="C36" s="44" t="s">
        <v>508</v>
      </c>
      <c r="D36" s="44">
        <v>3.0</v>
      </c>
      <c r="E36" s="44" t="s">
        <v>225</v>
      </c>
      <c r="F36" s="44" t="s">
        <v>203</v>
      </c>
      <c r="G36" s="44">
        <v>3.0</v>
      </c>
      <c r="H36" s="44" t="s">
        <v>480</v>
      </c>
      <c r="I36" s="67" t="s">
        <v>212</v>
      </c>
      <c r="J36" s="67">
        <v>2.0</v>
      </c>
      <c r="K36" s="67" t="s">
        <v>511</v>
      </c>
      <c r="L36" s="85" t="str">
        <f t="shared" si="1"/>
        <v>./assets/weapons/3/spell.png</v>
      </c>
    </row>
    <row r="37" ht="22.5" customHeight="1">
      <c r="A37" s="44" t="str">
        <f>IFERROR(__xludf.DUMMYFUNCTION("if(F37=""Any"",join(""-"",""0"",VLOOKUP(E37, Lists!A:B, 2, FALSE),D37,B37),join(""-"",INDEX(Factions!A:A, MATCH(F37, Factions!B:B, 0)),""1"",VLOOKUP(E37, Lists!A:B, 2, FALSE),D37,B37))"),"03-1-1-1-1")</f>
        <v>03-1-1-1-1</v>
      </c>
      <c r="B37" s="44">
        <v>1.0</v>
      </c>
      <c r="C37" s="44" t="s">
        <v>512</v>
      </c>
      <c r="D37" s="44">
        <v>1.0</v>
      </c>
      <c r="E37" s="44" t="s">
        <v>110</v>
      </c>
      <c r="F37" s="44" t="s">
        <v>138</v>
      </c>
      <c r="G37" s="44">
        <v>0.0</v>
      </c>
      <c r="H37" s="44"/>
      <c r="I37" s="67"/>
      <c r="J37" s="67">
        <v>2.0</v>
      </c>
      <c r="K37" s="67" t="s">
        <v>519</v>
      </c>
      <c r="L37" s="85" t="str">
        <f t="shared" si="1"/>
        <v>./assets/weapons/1/ranged.png</v>
      </c>
    </row>
    <row r="38" ht="22.5" customHeight="1">
      <c r="A38" s="44" t="str">
        <f>IFERROR(__xludf.DUMMYFUNCTION("if(F38=""Any"",join(""-"",""0"",VLOOKUP(E38, Lists!A:B, 2, FALSE),D38,B38),join(""-"",INDEX(Factions!A:A, MATCH(F38, Factions!B:B, 0)),""1"",VLOOKUP(E38, Lists!A:B, 2, FALSE),D38,B38))"),"03-1-1-1-2")</f>
        <v>03-1-1-1-2</v>
      </c>
      <c r="B38" s="44">
        <v>2.0</v>
      </c>
      <c r="C38" s="44" t="s">
        <v>522</v>
      </c>
      <c r="D38" s="44">
        <v>1.0</v>
      </c>
      <c r="E38" s="44" t="s">
        <v>110</v>
      </c>
      <c r="F38" s="44" t="s">
        <v>138</v>
      </c>
      <c r="G38" s="44">
        <v>0.0</v>
      </c>
      <c r="H38" s="44"/>
      <c r="I38" s="67"/>
      <c r="J38" s="67">
        <v>3.0</v>
      </c>
      <c r="K38" s="67" t="s">
        <v>449</v>
      </c>
      <c r="L38" s="85" t="str">
        <f t="shared" si="1"/>
        <v>./assets/weapons/1/ranged.png</v>
      </c>
    </row>
    <row r="39" ht="22.5" customHeight="1">
      <c r="A39" s="44" t="str">
        <f>IFERROR(__xludf.DUMMYFUNCTION("if(F39=""Any"",join(""-"",""0"",VLOOKUP(E39, Lists!A:B, 2, FALSE),D39,B39),join(""-"",INDEX(Factions!A:A, MATCH(F39, Factions!B:B, 0)),""1"",VLOOKUP(E39, Lists!A:B, 2, FALSE),D39,B39))"),"03-1-8-2-1")</f>
        <v>03-1-8-2-1</v>
      </c>
      <c r="B39" s="44">
        <v>1.0</v>
      </c>
      <c r="C39" s="44" t="s">
        <v>523</v>
      </c>
      <c r="D39" s="44">
        <v>2.0</v>
      </c>
      <c r="E39" s="44" t="s">
        <v>225</v>
      </c>
      <c r="F39" s="44" t="s">
        <v>138</v>
      </c>
      <c r="G39" s="44">
        <v>1.0</v>
      </c>
      <c r="H39" s="44" t="s">
        <v>467</v>
      </c>
      <c r="I39" s="67" t="s">
        <v>213</v>
      </c>
      <c r="J39" s="67">
        <v>3.0</v>
      </c>
      <c r="K39" s="67" t="s">
        <v>529</v>
      </c>
      <c r="L39" s="85" t="str">
        <f t="shared" si="1"/>
        <v>./assets/weapons/2/spell.png</v>
      </c>
    </row>
    <row r="40" ht="22.5" customHeight="1">
      <c r="A40" s="44" t="str">
        <f>IFERROR(__xludf.DUMMYFUNCTION("if(F40=""Any"",join(""-"",""0"",VLOOKUP(E40, Lists!A:B, 2, FALSE),D40,B40),join(""-"",INDEX(Factions!A:A, MATCH(F40, Factions!B:B, 0)),""1"",VLOOKUP(E40, Lists!A:B, 2, FALSE),D40,B40))"),"03-1-8-2-2")</f>
        <v>03-1-8-2-2</v>
      </c>
      <c r="B40" s="44">
        <v>2.0</v>
      </c>
      <c r="C40" s="44" t="s">
        <v>531</v>
      </c>
      <c r="D40" s="44">
        <v>2.0</v>
      </c>
      <c r="E40" s="44" t="s">
        <v>225</v>
      </c>
      <c r="F40" s="44" t="s">
        <v>138</v>
      </c>
      <c r="G40" s="44">
        <v>2.0</v>
      </c>
      <c r="H40" s="44" t="s">
        <v>467</v>
      </c>
      <c r="I40" s="67" t="s">
        <v>214</v>
      </c>
      <c r="J40" s="67" t="s">
        <v>462</v>
      </c>
      <c r="K40" s="67" t="s">
        <v>533</v>
      </c>
      <c r="L40" s="85" t="str">
        <f t="shared" si="1"/>
        <v>./assets/weapons/2/spell.png</v>
      </c>
    </row>
    <row r="41" ht="22.5" customHeight="1">
      <c r="A41" s="44" t="str">
        <f>IFERROR(__xludf.DUMMYFUNCTION("if(F41=""Any"",join(""-"",""0"",VLOOKUP(E41, Lists!A:B, 2, FALSE),D41,B41),join(""-"",INDEX(Factions!A:A, MATCH(F41, Factions!B:B, 0)),""1"",VLOOKUP(E41, Lists!A:B, 2, FALSE),D41,B41))"),"03-1-8-2-3")</f>
        <v>03-1-8-2-3</v>
      </c>
      <c r="B41" s="44">
        <v>3.0</v>
      </c>
      <c r="C41" s="44" t="s">
        <v>534</v>
      </c>
      <c r="D41" s="44">
        <v>2.0</v>
      </c>
      <c r="E41" s="44" t="s">
        <v>225</v>
      </c>
      <c r="F41" s="44" t="s">
        <v>138</v>
      </c>
      <c r="G41" s="44">
        <v>2.0</v>
      </c>
      <c r="H41" s="44" t="s">
        <v>495</v>
      </c>
      <c r="I41" s="67" t="s">
        <v>49</v>
      </c>
      <c r="J41" s="67">
        <v>3.0</v>
      </c>
      <c r="K41" s="67" t="s">
        <v>535</v>
      </c>
      <c r="L41" s="85" t="str">
        <f t="shared" si="1"/>
        <v>./assets/weapons/2/spell.png</v>
      </c>
    </row>
    <row r="42" ht="22.5" customHeight="1">
      <c r="A42" s="44" t="str">
        <f>IFERROR(__xludf.DUMMYFUNCTION("if(F42=""Any"",join(""-"",""0"",VLOOKUP(E42, Lists!A:B, 2, FALSE),D42,B42),join(""-"",INDEX(Factions!A:A, MATCH(F42, Factions!B:B, 0)),""1"",VLOOKUP(E42, Lists!A:B, 2, FALSE),D42,B42))"),"03-1-8-3-4")</f>
        <v>03-1-8-3-4</v>
      </c>
      <c r="B42" s="44">
        <v>4.0</v>
      </c>
      <c r="C42" s="44" t="s">
        <v>536</v>
      </c>
      <c r="D42" s="44">
        <v>3.0</v>
      </c>
      <c r="E42" s="44" t="s">
        <v>225</v>
      </c>
      <c r="F42" s="44" t="s">
        <v>138</v>
      </c>
      <c r="G42" s="44">
        <v>1.0</v>
      </c>
      <c r="H42" s="44" t="s">
        <v>461</v>
      </c>
      <c r="I42" s="67" t="s">
        <v>211</v>
      </c>
      <c r="J42" s="67">
        <v>3.0</v>
      </c>
      <c r="K42" s="67" t="s">
        <v>539</v>
      </c>
      <c r="L42" s="85" t="str">
        <f t="shared" si="1"/>
        <v>./assets/weapons/3/spell.png</v>
      </c>
    </row>
    <row r="43" ht="22.5" customHeight="1">
      <c r="A43" s="44" t="str">
        <f>IFERROR(__xludf.DUMMYFUNCTION("if(F43=""Any"",join(""-"",""0"",VLOOKUP(E43, Lists!A:B, 2, FALSE),D43,B43),join(""-"",INDEX(Factions!A:A, MATCH(F43, Factions!B:B, 0)),""1"",VLOOKUP(E43, Lists!A:B, 2, FALSE),D43,B43))"),"03-1-8-3-5")</f>
        <v>03-1-8-3-5</v>
      </c>
      <c r="B43" s="44">
        <v>5.0</v>
      </c>
      <c r="C43" s="44" t="s">
        <v>541</v>
      </c>
      <c r="D43" s="44">
        <v>3.0</v>
      </c>
      <c r="E43" s="44" t="s">
        <v>225</v>
      </c>
      <c r="F43" s="44" t="s">
        <v>138</v>
      </c>
      <c r="G43" s="44">
        <v>2.0</v>
      </c>
      <c r="H43" s="44" t="s">
        <v>467</v>
      </c>
      <c r="I43" s="67" t="s">
        <v>212</v>
      </c>
      <c r="J43" s="67">
        <v>3.0</v>
      </c>
      <c r="K43" s="67" t="s">
        <v>542</v>
      </c>
      <c r="L43" s="85" t="str">
        <f t="shared" si="1"/>
        <v>./assets/weapons/3/spell.png</v>
      </c>
    </row>
    <row r="44" ht="22.5" customHeight="1">
      <c r="A44" s="44" t="str">
        <f>IFERROR(__xludf.DUMMYFUNCTION("if(F44=""Any"",join(""-"",""0"",VLOOKUP(E44, Lists!A:B, 2, FALSE),D44,B44),join(""-"",INDEX(Factions!A:A, MATCH(F44, Factions!B:B, 0)),""1"",VLOOKUP(E44, Lists!A:B, 2, FALSE),D44,B44))"),"03-1-8-3-6")</f>
        <v>03-1-8-3-6</v>
      </c>
      <c r="B44" s="44">
        <v>6.0</v>
      </c>
      <c r="C44" s="44" t="s">
        <v>543</v>
      </c>
      <c r="D44" s="44">
        <v>3.0</v>
      </c>
      <c r="E44" s="44" t="s">
        <v>225</v>
      </c>
      <c r="F44" s="44" t="s">
        <v>138</v>
      </c>
      <c r="G44" s="44">
        <v>3.0</v>
      </c>
      <c r="H44" s="44" t="s">
        <v>467</v>
      </c>
      <c r="I44" s="67" t="s">
        <v>211</v>
      </c>
      <c r="J44" s="67" t="s">
        <v>544</v>
      </c>
      <c r="K44" s="67" t="s">
        <v>545</v>
      </c>
      <c r="L44" s="85" t="str">
        <f t="shared" si="1"/>
        <v>./assets/weapons/3/spell.png</v>
      </c>
    </row>
    <row r="45" ht="22.5" customHeight="1">
      <c r="A45" s="44" t="str">
        <f>IFERROR(__xludf.DUMMYFUNCTION("if(F45=""Any"",join(""-"",""0"",VLOOKUP(E45, Lists!A:B, 2, FALSE),D45,B45),join(""-"",INDEX(Factions!A:A, MATCH(F45, Factions!B:B, 0)),""1"",VLOOKUP(E45, Lists!A:B, 2, FALSE),D45,B45))"),"04-1-1-1-1")</f>
        <v>04-1-1-1-1</v>
      </c>
      <c r="B45" s="44">
        <v>1.0</v>
      </c>
      <c r="C45" s="44" t="s">
        <v>546</v>
      </c>
      <c r="D45" s="44">
        <v>1.0</v>
      </c>
      <c r="E45" s="44" t="s">
        <v>110</v>
      </c>
      <c r="F45" s="44" t="s">
        <v>205</v>
      </c>
      <c r="G45" s="44">
        <v>0.0</v>
      </c>
      <c r="H45" s="44"/>
      <c r="I45" s="67"/>
      <c r="J45" s="67">
        <v>3.0</v>
      </c>
      <c r="K45" s="67" t="s">
        <v>449</v>
      </c>
      <c r="L45" s="85" t="str">
        <f t="shared" si="1"/>
        <v>./assets/weapons/1/ranged.png</v>
      </c>
    </row>
    <row r="46" ht="22.5" customHeight="1">
      <c r="A46" s="44" t="str">
        <f>IFERROR(__xludf.DUMMYFUNCTION("if(F46=""Any"",join(""-"",""0"",VLOOKUP(E46, Lists!A:B, 2, FALSE),D46,B46),join(""-"",INDEX(Factions!A:A, MATCH(F46, Factions!B:B, 0)),""1"",VLOOKUP(E46, Lists!A:B, 2, FALSE),D46,B46))"),"04-1-1-1-2")</f>
        <v>04-1-1-1-2</v>
      </c>
      <c r="B46" s="44">
        <v>2.0</v>
      </c>
      <c r="C46" s="44" t="s">
        <v>551</v>
      </c>
      <c r="D46" s="44">
        <v>1.0</v>
      </c>
      <c r="E46" s="44" t="s">
        <v>110</v>
      </c>
      <c r="F46" s="44" t="s">
        <v>205</v>
      </c>
      <c r="G46" s="44">
        <v>1.0</v>
      </c>
      <c r="H46" s="44"/>
      <c r="I46" s="67"/>
      <c r="J46" s="67">
        <v>3.0</v>
      </c>
      <c r="K46" s="67" t="s">
        <v>449</v>
      </c>
      <c r="L46" s="85" t="str">
        <f t="shared" si="1"/>
        <v>./assets/weapons/1/ranged.png</v>
      </c>
    </row>
    <row r="47" ht="22.5" customHeight="1">
      <c r="A47" s="44" t="str">
        <f>IFERROR(__xludf.DUMMYFUNCTION("if(F47=""Any"",join(""-"",""0"",VLOOKUP(E47, Lists!A:B, 2, FALSE),D47,B47),join(""-"",INDEX(Factions!A:A, MATCH(F47, Factions!B:B, 0)),""1"",VLOOKUP(E47, Lists!A:B, 2, FALSE),D47,B47))"),"04-1-1-2-1")</f>
        <v>04-1-1-2-1</v>
      </c>
      <c r="B47" s="44">
        <v>1.0</v>
      </c>
      <c r="C47" s="44" t="s">
        <v>552</v>
      </c>
      <c r="D47" s="44">
        <v>2.0</v>
      </c>
      <c r="E47" s="44" t="s">
        <v>110</v>
      </c>
      <c r="F47" s="44" t="s">
        <v>205</v>
      </c>
      <c r="G47" s="44">
        <v>2.0</v>
      </c>
      <c r="H47" s="44"/>
      <c r="I47" s="67"/>
      <c r="J47" s="67">
        <v>4.0</v>
      </c>
      <c r="K47" s="67" t="s">
        <v>553</v>
      </c>
      <c r="L47" s="85" t="str">
        <f t="shared" si="1"/>
        <v>./assets/weapons/2/ranged.png</v>
      </c>
    </row>
    <row r="48" ht="22.5" customHeight="1">
      <c r="A48" s="44" t="str">
        <f>IFERROR(__xludf.DUMMYFUNCTION("if(F48=""Any"",join(""-"",""0"",VLOOKUP(E48, Lists!A:B, 2, FALSE),D48,B48),join(""-"",INDEX(Factions!A:A, MATCH(F48, Factions!B:B, 0)),""1"",VLOOKUP(E48, Lists!A:B, 2, FALSE),D48,B48))"),"04-1-1-2-2")</f>
        <v>04-1-1-2-2</v>
      </c>
      <c r="B48" s="44">
        <v>2.0</v>
      </c>
      <c r="C48" s="44" t="s">
        <v>554</v>
      </c>
      <c r="D48" s="44">
        <v>2.0</v>
      </c>
      <c r="E48" s="44" t="s">
        <v>110</v>
      </c>
      <c r="F48" s="44" t="s">
        <v>205</v>
      </c>
      <c r="G48" s="44">
        <v>2.0</v>
      </c>
      <c r="H48" s="44"/>
      <c r="I48" s="67"/>
      <c r="J48" s="67">
        <v>3.0</v>
      </c>
      <c r="K48" s="67" t="s">
        <v>557</v>
      </c>
      <c r="L48" s="85" t="str">
        <f t="shared" si="1"/>
        <v>./assets/weapons/2/ranged.png</v>
      </c>
    </row>
    <row r="49" ht="22.5" customHeight="1">
      <c r="A49" s="44" t="str">
        <f>IFERROR(__xludf.DUMMYFUNCTION("if(F49=""Any"",join(""-"",""0"",VLOOKUP(E49, Lists!A:B, 2, FALSE),D49,B49),join(""-"",INDEX(Factions!A:A, MATCH(F49, Factions!B:B, 0)),""1"",VLOOKUP(E49, Lists!A:B, 2, FALSE),D49,B49))"),"04-1-8-2-1")</f>
        <v>04-1-8-2-1</v>
      </c>
      <c r="B49" s="44">
        <v>1.0</v>
      </c>
      <c r="C49" s="44" t="s">
        <v>558</v>
      </c>
      <c r="D49" s="44">
        <v>2.0</v>
      </c>
      <c r="E49" s="44" t="s">
        <v>225</v>
      </c>
      <c r="F49" s="44" t="s">
        <v>205</v>
      </c>
      <c r="G49" s="44">
        <v>1.0</v>
      </c>
      <c r="H49" s="44" t="s">
        <v>467</v>
      </c>
      <c r="I49" s="67" t="s">
        <v>212</v>
      </c>
      <c r="J49" s="67">
        <v>2.0</v>
      </c>
      <c r="K49" s="67" t="s">
        <v>560</v>
      </c>
      <c r="L49" s="85" t="str">
        <f t="shared" si="1"/>
        <v>./assets/weapons/2/spell.png</v>
      </c>
    </row>
    <row r="50" ht="22.5" customHeight="1">
      <c r="A50" s="44" t="str">
        <f>IFERROR(__xludf.DUMMYFUNCTION("if(F50=""Any"",join(""-"",""0"",VLOOKUP(E50, Lists!A:B, 2, FALSE),D50,B50),join(""-"",INDEX(Factions!A:A, MATCH(F50, Factions!B:B, 0)),""1"",VLOOKUP(E50, Lists!A:B, 2, FALSE),D50,B50))"),"04-1-8-2-2")</f>
        <v>04-1-8-2-2</v>
      </c>
      <c r="B50" s="44">
        <v>2.0</v>
      </c>
      <c r="C50" s="44" t="s">
        <v>561</v>
      </c>
      <c r="D50" s="44">
        <v>2.0</v>
      </c>
      <c r="E50" s="44" t="s">
        <v>225</v>
      </c>
      <c r="F50" s="44" t="s">
        <v>205</v>
      </c>
      <c r="G50" s="44">
        <v>2.0</v>
      </c>
      <c r="H50" s="44" t="s">
        <v>467</v>
      </c>
      <c r="I50" s="67" t="s">
        <v>212</v>
      </c>
      <c r="J50" s="67">
        <v>2.0</v>
      </c>
      <c r="K50" s="67" t="s">
        <v>562</v>
      </c>
      <c r="L50" s="85" t="str">
        <f t="shared" si="1"/>
        <v>./assets/weapons/2/spell.png</v>
      </c>
    </row>
    <row r="51" ht="22.5" customHeight="1">
      <c r="A51" s="44" t="str">
        <f>IFERROR(__xludf.DUMMYFUNCTION("if(F51=""Any"",join(""-"",""0"",VLOOKUP(E51, Lists!A:B, 2, FALSE),D51,B51),join(""-"",INDEX(Factions!A:A, MATCH(F51, Factions!B:B, 0)),""1"",VLOOKUP(E51, Lists!A:B, 2, FALSE),D51,B51))"),"04-1-8-2-3")</f>
        <v>04-1-8-2-3</v>
      </c>
      <c r="B51" s="44">
        <v>3.0</v>
      </c>
      <c r="C51" s="44" t="s">
        <v>563</v>
      </c>
      <c r="D51" s="44">
        <v>2.0</v>
      </c>
      <c r="E51" s="44" t="s">
        <v>225</v>
      </c>
      <c r="F51" s="44" t="s">
        <v>205</v>
      </c>
      <c r="G51" s="44">
        <v>2.0</v>
      </c>
      <c r="H51" s="44" t="s">
        <v>467</v>
      </c>
      <c r="I51" s="67" t="s">
        <v>75</v>
      </c>
      <c r="J51" s="67" t="s">
        <v>544</v>
      </c>
      <c r="K51" s="67" t="s">
        <v>564</v>
      </c>
      <c r="L51" s="85" t="str">
        <f t="shared" si="1"/>
        <v>./assets/weapons/2/spell.png</v>
      </c>
    </row>
    <row r="52" ht="22.5" customHeight="1">
      <c r="A52" s="44" t="str">
        <f>IFERROR(__xludf.DUMMYFUNCTION("if(F52=""Any"",join(""-"",""0"",VLOOKUP(E52, Lists!A:B, 2, FALSE),D52,B52),join(""-"",INDEX(Factions!A:A, MATCH(F52, Factions!B:B, 0)),""1"",VLOOKUP(E52, Lists!A:B, 2, FALSE),D52,B52))"),"04-1-8-3-4")</f>
        <v>04-1-8-3-4</v>
      </c>
      <c r="B52" s="44">
        <v>4.0</v>
      </c>
      <c r="C52" s="44" t="s">
        <v>566</v>
      </c>
      <c r="D52" s="44">
        <v>3.0</v>
      </c>
      <c r="E52" s="44" t="s">
        <v>225</v>
      </c>
      <c r="F52" s="44" t="s">
        <v>205</v>
      </c>
      <c r="G52" s="44">
        <v>3.0</v>
      </c>
      <c r="H52" s="44" t="s">
        <v>480</v>
      </c>
      <c r="I52" s="67" t="s">
        <v>49</v>
      </c>
      <c r="J52" s="67">
        <v>3.0</v>
      </c>
      <c r="K52" s="67" t="s">
        <v>568</v>
      </c>
      <c r="L52" s="85" t="str">
        <f t="shared" si="1"/>
        <v>./assets/weapons/3/spell.png</v>
      </c>
    </row>
    <row r="53" ht="22.5" customHeight="1">
      <c r="A53" s="44" t="str">
        <f>IFERROR(__xludf.DUMMYFUNCTION("if(F53=""Any"",join(""-"",""0"",VLOOKUP(E53, Lists!A:B, 2, FALSE),D53,B53),join(""-"",INDEX(Factions!A:A, MATCH(F53, Factions!B:B, 0)),""1"",VLOOKUP(E53, Lists!A:B, 2, FALSE),D53,B53))"),"04-1-8-3-5")</f>
        <v>04-1-8-3-5</v>
      </c>
      <c r="B53" s="44">
        <v>5.0</v>
      </c>
      <c r="C53" s="44" t="s">
        <v>570</v>
      </c>
      <c r="D53" s="44">
        <v>3.0</v>
      </c>
      <c r="E53" s="44" t="s">
        <v>225</v>
      </c>
      <c r="F53" s="44" t="s">
        <v>205</v>
      </c>
      <c r="G53" s="44">
        <v>2.0</v>
      </c>
      <c r="H53" s="44" t="s">
        <v>480</v>
      </c>
      <c r="I53" s="67" t="s">
        <v>214</v>
      </c>
      <c r="J53" s="67">
        <v>3.0</v>
      </c>
      <c r="K53" s="67" t="s">
        <v>571</v>
      </c>
      <c r="L53" s="85" t="str">
        <f t="shared" si="1"/>
        <v>./assets/weapons/3/spell.png</v>
      </c>
    </row>
    <row r="54" ht="22.5" customHeight="1">
      <c r="A54" s="44" t="str">
        <f>IFERROR(__xludf.DUMMYFUNCTION("if(F54=""Any"",join(""-"",""0"",VLOOKUP(E54, Lists!A:B, 2, FALSE),D54,B54),join(""-"",INDEX(Factions!A:A, MATCH(F54, Factions!B:B, 0)),""1"",VLOOKUP(E54, Lists!A:B, 2, FALSE),D54,B54))"),"04-1-8-3-6")</f>
        <v>04-1-8-3-6</v>
      </c>
      <c r="B54" s="44">
        <v>6.0</v>
      </c>
      <c r="C54" s="44" t="s">
        <v>572</v>
      </c>
      <c r="D54" s="44">
        <v>3.0</v>
      </c>
      <c r="E54" s="44" t="s">
        <v>225</v>
      </c>
      <c r="F54" s="44" t="s">
        <v>205</v>
      </c>
      <c r="G54" s="44">
        <v>2.0</v>
      </c>
      <c r="H54" s="44" t="s">
        <v>467</v>
      </c>
      <c r="I54" s="67" t="s">
        <v>214</v>
      </c>
      <c r="J54" s="67">
        <v>3.0</v>
      </c>
      <c r="K54" s="67" t="s">
        <v>573</v>
      </c>
      <c r="L54" s="85" t="str">
        <f t="shared" si="1"/>
        <v>./assets/weapons/3/spell.png</v>
      </c>
    </row>
    <row r="55" ht="22.5" customHeight="1">
      <c r="A55" s="44" t="str">
        <f>IFERROR(__xludf.DUMMYFUNCTION("if(F55=""Any"",join(""-"",""0"",VLOOKUP(E55, Lists!A:B, 2, FALSE),D55,B55),join(""-"",INDEX(Factions!A:A, MATCH(F55, Factions!B:B, 0)),""1"",VLOOKUP(E55, Lists!A:B, 2, FALSE),D55,B55))"),"05-1-1-1-1")</f>
        <v>05-1-1-1-1</v>
      </c>
      <c r="B55" s="44">
        <v>1.0</v>
      </c>
      <c r="C55" s="44" t="s">
        <v>574</v>
      </c>
      <c r="D55" s="44">
        <v>1.0</v>
      </c>
      <c r="E55" s="44" t="s">
        <v>110</v>
      </c>
      <c r="F55" s="44" t="s">
        <v>204</v>
      </c>
      <c r="G55" s="44">
        <v>0.0</v>
      </c>
      <c r="H55" s="44"/>
      <c r="I55" s="67"/>
      <c r="J55" s="67">
        <v>2.0</v>
      </c>
      <c r="K55" s="67" t="s">
        <v>486</v>
      </c>
      <c r="L55" s="85" t="str">
        <f t="shared" si="1"/>
        <v>./assets/weapons/1/ranged.png</v>
      </c>
    </row>
    <row r="56" ht="22.5" customHeight="1">
      <c r="A56" s="44" t="str">
        <f>IFERROR(__xludf.DUMMYFUNCTION("if(F56=""Any"",join(""-"",""0"",VLOOKUP(E56, Lists!A:B, 2, FALSE),D56,B56),join(""-"",INDEX(Factions!A:A, MATCH(F56, Factions!B:B, 0)),""1"",VLOOKUP(E56, Lists!A:B, 2, FALSE),D56,B56))"),"05-1-1-1-2")</f>
        <v>05-1-1-1-2</v>
      </c>
      <c r="B56" s="44">
        <v>2.0</v>
      </c>
      <c r="C56" s="44" t="s">
        <v>577</v>
      </c>
      <c r="D56" s="44">
        <v>1.0</v>
      </c>
      <c r="E56" s="44" t="s">
        <v>110</v>
      </c>
      <c r="F56" s="44" t="s">
        <v>204</v>
      </c>
      <c r="G56" s="44">
        <v>1.0</v>
      </c>
      <c r="H56" s="44"/>
      <c r="I56" s="67"/>
      <c r="J56" s="67">
        <v>2.0</v>
      </c>
      <c r="K56" s="67" t="s">
        <v>486</v>
      </c>
      <c r="L56" s="85" t="str">
        <f t="shared" si="1"/>
        <v>./assets/weapons/1/ranged.png</v>
      </c>
    </row>
    <row r="57" ht="22.5" customHeight="1">
      <c r="A57" s="44" t="str">
        <f>IFERROR(__xludf.DUMMYFUNCTION("if(F57=""Any"",join(""-"",""0"",VLOOKUP(E57, Lists!A:B, 2, FALSE),D57,B57),join(""-"",INDEX(Factions!A:A, MATCH(F57, Factions!B:B, 0)),""1"",VLOOKUP(E57, Lists!A:B, 2, FALSE),D57,B57))"),"05-1-1-2-1")</f>
        <v>05-1-1-2-1</v>
      </c>
      <c r="B57" s="44">
        <v>1.0</v>
      </c>
      <c r="C57" s="44" t="s">
        <v>580</v>
      </c>
      <c r="D57" s="44">
        <v>2.0</v>
      </c>
      <c r="E57" s="44" t="s">
        <v>110</v>
      </c>
      <c r="F57" s="44" t="s">
        <v>204</v>
      </c>
      <c r="G57" s="44">
        <v>2.0</v>
      </c>
      <c r="H57" s="44"/>
      <c r="I57" s="67"/>
      <c r="J57" s="67">
        <v>2.0</v>
      </c>
      <c r="K57" s="67" t="s">
        <v>581</v>
      </c>
      <c r="L57" s="85" t="str">
        <f t="shared" si="1"/>
        <v>./assets/weapons/2/ranged.png</v>
      </c>
    </row>
    <row r="58" ht="22.5" customHeight="1">
      <c r="A58" s="44" t="str">
        <f>IFERROR(__xludf.DUMMYFUNCTION("if(F58=""Any"",join(""-"",""0"",VLOOKUP(E58, Lists!A:B, 2, FALSE),D58,B58),join(""-"",INDEX(Factions!A:A, MATCH(F58, Factions!B:B, 0)),""1"",VLOOKUP(E58, Lists!A:B, 2, FALSE),D58,B58))"),"05-1-8-2-1")</f>
        <v>05-1-8-2-1</v>
      </c>
      <c r="B58" s="44">
        <v>1.0</v>
      </c>
      <c r="C58" s="44" t="s">
        <v>604</v>
      </c>
      <c r="D58" s="44">
        <v>2.0</v>
      </c>
      <c r="E58" s="44" t="s">
        <v>225</v>
      </c>
      <c r="F58" s="44" t="s">
        <v>204</v>
      </c>
      <c r="G58" s="44">
        <v>1.0</v>
      </c>
      <c r="H58" s="44" t="s">
        <v>495</v>
      </c>
      <c r="I58" s="67" t="s">
        <v>211</v>
      </c>
      <c r="J58" s="67">
        <v>1.0</v>
      </c>
      <c r="K58" s="67" t="s">
        <v>610</v>
      </c>
      <c r="L58" s="85" t="str">
        <f t="shared" si="1"/>
        <v>./assets/weapons/2/spell.png</v>
      </c>
    </row>
    <row r="59" ht="22.5" customHeight="1">
      <c r="A59" s="44" t="str">
        <f>IFERROR(__xludf.DUMMYFUNCTION("if(F59=""Any"",join(""-"",""0"",VLOOKUP(E59, Lists!A:B, 2, FALSE),D59,B59),join(""-"",INDEX(Factions!A:A, MATCH(F59, Factions!B:B, 0)),""1"",VLOOKUP(E59, Lists!A:B, 2, FALSE),D59,B59))"),"05-1-8-2-2")</f>
        <v>05-1-8-2-2</v>
      </c>
      <c r="B59" s="44">
        <v>2.0</v>
      </c>
      <c r="C59" s="44" t="s">
        <v>611</v>
      </c>
      <c r="D59" s="44">
        <v>2.0</v>
      </c>
      <c r="E59" s="44" t="s">
        <v>225</v>
      </c>
      <c r="F59" s="44" t="s">
        <v>204</v>
      </c>
      <c r="G59" s="44">
        <v>1.0</v>
      </c>
      <c r="H59" s="44" t="s">
        <v>467</v>
      </c>
      <c r="I59" s="67" t="s">
        <v>211</v>
      </c>
      <c r="J59" s="67" t="s">
        <v>462</v>
      </c>
      <c r="K59" s="67" t="s">
        <v>613</v>
      </c>
      <c r="L59" s="85" t="str">
        <f t="shared" si="1"/>
        <v>./assets/weapons/2/spell.png</v>
      </c>
    </row>
    <row r="60" ht="22.5" customHeight="1">
      <c r="A60" s="44" t="str">
        <f>IFERROR(__xludf.DUMMYFUNCTION("if(F60=""Any"",join(""-"",""0"",VLOOKUP(E60, Lists!A:B, 2, FALSE),D60,B60),join(""-"",INDEX(Factions!A:A, MATCH(F60, Factions!B:B, 0)),""1"",VLOOKUP(E60, Lists!A:B, 2, FALSE),D60,B60))"),"05-1-8-2-3")</f>
        <v>05-1-8-2-3</v>
      </c>
      <c r="B60" s="44">
        <v>3.0</v>
      </c>
      <c r="C60" s="44" t="s">
        <v>615</v>
      </c>
      <c r="D60" s="44">
        <v>2.0</v>
      </c>
      <c r="E60" s="44" t="s">
        <v>225</v>
      </c>
      <c r="F60" s="44" t="s">
        <v>204</v>
      </c>
      <c r="G60" s="44">
        <v>1.0</v>
      </c>
      <c r="H60" s="44" t="s">
        <v>495</v>
      </c>
      <c r="I60" s="67" t="s">
        <v>212</v>
      </c>
      <c r="J60" s="67">
        <v>2.0</v>
      </c>
      <c r="K60" s="67" t="s">
        <v>617</v>
      </c>
      <c r="L60" s="85" t="str">
        <f t="shared" si="1"/>
        <v>./assets/weapons/2/spell.png</v>
      </c>
    </row>
    <row r="61" ht="22.5" customHeight="1">
      <c r="A61" s="44" t="str">
        <f>IFERROR(__xludf.DUMMYFUNCTION("if(F61=""Any"",join(""-"",""0"",VLOOKUP(E61, Lists!A:B, 2, FALSE),D61,B61),join(""-"",INDEX(Factions!A:A, MATCH(F61, Factions!B:B, 0)),""1"",VLOOKUP(E61, Lists!A:B, 2, FALSE),D61,B61))"),"05-1-8-3-4")</f>
        <v>05-1-8-3-4</v>
      </c>
      <c r="B61" s="44">
        <v>4.0</v>
      </c>
      <c r="C61" s="44" t="s">
        <v>435</v>
      </c>
      <c r="D61" s="44">
        <v>3.0</v>
      </c>
      <c r="E61" s="44" t="s">
        <v>225</v>
      </c>
      <c r="F61" s="44" t="s">
        <v>204</v>
      </c>
      <c r="G61" s="44">
        <v>2.0</v>
      </c>
      <c r="H61" s="44" t="s">
        <v>480</v>
      </c>
      <c r="I61" s="67" t="s">
        <v>212</v>
      </c>
      <c r="J61" s="67">
        <v>2.0</v>
      </c>
      <c r="K61" s="67" t="s">
        <v>618</v>
      </c>
      <c r="L61" s="85" t="str">
        <f t="shared" si="1"/>
        <v>./assets/weapons/3/spell.png</v>
      </c>
    </row>
    <row r="62" ht="22.5" customHeight="1">
      <c r="A62" s="44" t="str">
        <f>IFERROR(__xludf.DUMMYFUNCTION("if(F62=""Any"",join(""-"",""0"",VLOOKUP(E62, Lists!A:B, 2, FALSE),D62,B62),join(""-"",INDEX(Factions!A:A, MATCH(F62, Factions!B:B, 0)),""1"",VLOOKUP(E62, Lists!A:B, 2, FALSE),D62,B62))"),"05-1-8-3-5")</f>
        <v>05-1-8-3-5</v>
      </c>
      <c r="B62" s="44">
        <v>5.0</v>
      </c>
      <c r="C62" s="44" t="s">
        <v>619</v>
      </c>
      <c r="D62" s="44">
        <v>3.0</v>
      </c>
      <c r="E62" s="44" t="s">
        <v>225</v>
      </c>
      <c r="F62" s="44" t="s">
        <v>204</v>
      </c>
      <c r="G62" s="44">
        <v>3.0</v>
      </c>
      <c r="H62" s="44" t="s">
        <v>480</v>
      </c>
      <c r="I62" s="67" t="s">
        <v>212</v>
      </c>
      <c r="J62" s="67">
        <v>0.0</v>
      </c>
      <c r="K62" s="67" t="s">
        <v>620</v>
      </c>
      <c r="L62" s="85" t="str">
        <f t="shared" si="1"/>
        <v>./assets/weapons/3/spell.png</v>
      </c>
    </row>
    <row r="63" ht="22.5" customHeight="1">
      <c r="A63" s="44" t="str">
        <f>IFERROR(__xludf.DUMMYFUNCTION("if(F63=""Any"",join(""-"",""0"",VLOOKUP(E63, Lists!A:B, 2, FALSE),D63,B63),join(""-"",INDEX(Factions!A:A, MATCH(F63, Factions!B:B, 0)),""1"",VLOOKUP(E63, Lists!A:B, 2, FALSE),D63,B63))"),"05-1-8-3-6")</f>
        <v>05-1-8-3-6</v>
      </c>
      <c r="B63" s="44">
        <v>6.0</v>
      </c>
      <c r="C63" s="44" t="s">
        <v>622</v>
      </c>
      <c r="D63" s="44">
        <v>3.0</v>
      </c>
      <c r="E63" s="44" t="s">
        <v>225</v>
      </c>
      <c r="F63" s="44" t="s">
        <v>204</v>
      </c>
      <c r="G63" s="44">
        <v>3.0</v>
      </c>
      <c r="H63" s="44" t="s">
        <v>467</v>
      </c>
      <c r="I63" s="67" t="s">
        <v>212</v>
      </c>
      <c r="J63" s="67" t="s">
        <v>544</v>
      </c>
      <c r="K63" s="67" t="s">
        <v>623</v>
      </c>
      <c r="L63" s="85" t="str">
        <f t="shared" si="1"/>
        <v>./assets/weapons/3/spell.png</v>
      </c>
    </row>
    <row r="64" ht="22.5" customHeight="1">
      <c r="A64" s="44" t="str">
        <f>IFERROR(__xludf.DUMMYFUNCTION("if(F64=""Any"",join(""-"",""0"",VLOOKUP(E64, Lists!A:B, 2, FALSE),D64,B64),join(""-"",INDEX(Factions!A:A, MATCH(F64, Factions!B:B, 0)),""1"",VLOOKUP(E64, Lists!A:B, 2, FALSE),D64,B64))"),"06-1-1-1-1")</f>
        <v>06-1-1-1-1</v>
      </c>
      <c r="B64" s="44">
        <v>1.0</v>
      </c>
      <c r="C64" s="44" t="s">
        <v>625</v>
      </c>
      <c r="D64" s="44">
        <v>1.0</v>
      </c>
      <c r="E64" s="44" t="s">
        <v>110</v>
      </c>
      <c r="F64" s="44" t="s">
        <v>201</v>
      </c>
      <c r="G64" s="44">
        <v>0.0</v>
      </c>
      <c r="I64" s="67"/>
      <c r="J64" s="67">
        <v>3.0</v>
      </c>
      <c r="K64" s="67" t="s">
        <v>449</v>
      </c>
      <c r="L64" s="85" t="str">
        <f t="shared" si="1"/>
        <v>./assets/weapons/1/ranged.png</v>
      </c>
    </row>
    <row r="65" ht="22.5" customHeight="1">
      <c r="A65" s="44" t="str">
        <f>IFERROR(__xludf.DUMMYFUNCTION("if(F65=""Any"",join(""-"",""0"",VLOOKUP(E65, Lists!A:B, 2, FALSE),D65,B65),join(""-"",INDEX(Factions!A:A, MATCH(F65, Factions!B:B, 0)),""1"",VLOOKUP(E65, Lists!A:B, 2, FALSE),D65,B65))"),"06-1-1-1-2")</f>
        <v>06-1-1-1-2</v>
      </c>
      <c r="B65" s="44">
        <v>2.0</v>
      </c>
      <c r="C65" s="44" t="s">
        <v>626</v>
      </c>
      <c r="D65" s="44">
        <v>1.0</v>
      </c>
      <c r="E65" s="44" t="s">
        <v>110</v>
      </c>
      <c r="F65" s="44" t="s">
        <v>201</v>
      </c>
      <c r="G65" s="44">
        <v>1.0</v>
      </c>
      <c r="I65" s="67"/>
      <c r="J65" s="67">
        <v>3.0</v>
      </c>
      <c r="K65" s="67" t="s">
        <v>449</v>
      </c>
      <c r="L65" s="85" t="str">
        <f t="shared" si="1"/>
        <v>./assets/weapons/1/ranged.png</v>
      </c>
    </row>
    <row r="66" ht="22.5" customHeight="1">
      <c r="A66" s="44" t="str">
        <f>IFERROR(__xludf.DUMMYFUNCTION("if(F66=""Any"",join(""-"",""0"",VLOOKUP(E66, Lists!A:B, 2, FALSE),D66,B66),join(""-"",INDEX(Factions!A:A, MATCH(F66, Factions!B:B, 0)),""1"",VLOOKUP(E66, Lists!A:B, 2, FALSE),D66,B66))"),"06-1-1-1-3")</f>
        <v>06-1-1-1-3</v>
      </c>
      <c r="B66" s="44">
        <v>3.0</v>
      </c>
      <c r="C66" s="44" t="s">
        <v>627</v>
      </c>
      <c r="D66" s="44">
        <v>1.0</v>
      </c>
      <c r="E66" s="44" t="s">
        <v>110</v>
      </c>
      <c r="F66" s="44" t="s">
        <v>201</v>
      </c>
      <c r="G66" s="44">
        <v>1.0</v>
      </c>
      <c r="I66" s="67"/>
      <c r="J66" s="67">
        <v>2.0</v>
      </c>
      <c r="K66" s="67" t="s">
        <v>628</v>
      </c>
      <c r="L66" s="85" t="str">
        <f t="shared" si="1"/>
        <v>./assets/weapons/1/ranged.png</v>
      </c>
    </row>
    <row r="67" ht="22.5" customHeight="1">
      <c r="A67" s="44" t="str">
        <f>IFERROR(__xludf.DUMMYFUNCTION("if(F67=""Any"",join(""-"",""0"",VLOOKUP(E67, Lists!A:B, 2, FALSE),D67,B67),join(""-"",INDEX(Factions!A:A, MATCH(F67, Factions!B:B, 0)),""1"",VLOOKUP(E67, Lists!A:B, 2, FALSE),D67,B67))"),"06-1-1-2-1")</f>
        <v>06-1-1-2-1</v>
      </c>
      <c r="B67" s="44">
        <v>1.0</v>
      </c>
      <c r="C67" s="44" t="s">
        <v>629</v>
      </c>
      <c r="D67" s="44">
        <v>2.0</v>
      </c>
      <c r="E67" s="44" t="s">
        <v>110</v>
      </c>
      <c r="F67" s="44" t="s">
        <v>201</v>
      </c>
      <c r="G67" s="44">
        <v>1.0</v>
      </c>
      <c r="I67" s="67"/>
      <c r="J67" s="67">
        <v>3.0</v>
      </c>
      <c r="K67" s="67" t="s">
        <v>631</v>
      </c>
      <c r="L67" s="85" t="str">
        <f t="shared" si="1"/>
        <v>./assets/weapons/2/ranged.png</v>
      </c>
    </row>
    <row r="68" ht="22.5" customHeight="1">
      <c r="A68" s="44" t="str">
        <f>IFERROR(__xludf.DUMMYFUNCTION("if(F68=""Any"",join(""-"",""0"",VLOOKUP(E68, Lists!A:B, 2, FALSE),D68,B68),join(""-"",INDEX(Factions!A:A, MATCH(F68, Factions!B:B, 0)),""1"",VLOOKUP(E68, Lists!A:B, 2, FALSE),D68,B68))"),"06-1-1-2-2")</f>
        <v>06-1-1-2-2</v>
      </c>
      <c r="B68" s="44">
        <v>2.0</v>
      </c>
      <c r="C68" s="44" t="s">
        <v>633</v>
      </c>
      <c r="D68" s="44">
        <v>2.0</v>
      </c>
      <c r="E68" s="44" t="s">
        <v>110</v>
      </c>
      <c r="F68" s="44" t="s">
        <v>201</v>
      </c>
      <c r="G68" s="44">
        <v>2.0</v>
      </c>
      <c r="I68" s="67"/>
      <c r="J68" s="67">
        <v>3.0</v>
      </c>
      <c r="K68" s="67" t="s">
        <v>634</v>
      </c>
      <c r="L68" s="85" t="str">
        <f t="shared" si="1"/>
        <v>./assets/weapons/2/ranged.png</v>
      </c>
    </row>
    <row r="69" ht="22.5" customHeight="1">
      <c r="A69" s="44" t="str">
        <f>IFERROR(__xludf.DUMMYFUNCTION("if(F69=""Any"",join(""-"",""0"",VLOOKUP(E69, Lists!A:B, 2, FALSE),D69,B69),join(""-"",INDEX(Factions!A:A, MATCH(F69, Factions!B:B, 0)),""1"",VLOOKUP(E69, Lists!A:B, 2, FALSE),D69,B69))"),"06-1-1-2-3")</f>
        <v>06-1-1-2-3</v>
      </c>
      <c r="B69" s="44">
        <v>3.0</v>
      </c>
      <c r="C69" s="44" t="s">
        <v>635</v>
      </c>
      <c r="D69" s="44">
        <v>2.0</v>
      </c>
      <c r="E69" s="44" t="s">
        <v>110</v>
      </c>
      <c r="F69" s="44" t="s">
        <v>201</v>
      </c>
      <c r="G69" s="44">
        <v>2.0</v>
      </c>
      <c r="I69" s="67"/>
      <c r="J69" s="67">
        <v>2.0</v>
      </c>
      <c r="K69" s="67" t="s">
        <v>637</v>
      </c>
      <c r="L69" s="85" t="str">
        <f t="shared" si="1"/>
        <v>./assets/weapons/2/ranged.png</v>
      </c>
    </row>
    <row r="70" ht="22.5" customHeight="1">
      <c r="A70" s="44" t="str">
        <f>IFERROR(__xludf.DUMMYFUNCTION("if(F70=""Any"",join(""-"",""0"",VLOOKUP(E70, Lists!A:B, 2, FALSE),D70,B70),join(""-"",INDEX(Factions!A:A, MATCH(F70, Factions!B:B, 0)),""1"",VLOOKUP(E70, Lists!A:B, 2, FALSE),D70,B70))"),"06-1-1-3-1")</f>
        <v>06-1-1-3-1</v>
      </c>
      <c r="B70" s="44">
        <v>1.0</v>
      </c>
      <c r="C70" s="44" t="s">
        <v>638</v>
      </c>
      <c r="D70" s="44">
        <v>3.0</v>
      </c>
      <c r="E70" s="44" t="s">
        <v>110</v>
      </c>
      <c r="F70" s="44" t="s">
        <v>201</v>
      </c>
      <c r="G70" s="44">
        <v>3.0</v>
      </c>
      <c r="I70" s="67"/>
      <c r="J70" s="67">
        <v>3.0</v>
      </c>
      <c r="K70" s="67" t="s">
        <v>639</v>
      </c>
      <c r="L70" s="85" t="str">
        <f t="shared" si="1"/>
        <v>./assets/weapons/3/ranged.png</v>
      </c>
    </row>
    <row r="71" ht="22.5" customHeight="1">
      <c r="A71" s="44" t="str">
        <f>IFERROR(__xludf.DUMMYFUNCTION("if(F71=""Any"",join(""-"",""0"",VLOOKUP(E71, Lists!A:B, 2, FALSE),D71,B71),join(""-"",INDEX(Factions!A:A, MATCH(F71, Factions!B:B, 0)),""1"",VLOOKUP(E71, Lists!A:B, 2, FALSE),D71,B71))"),"06-1-1-3-2")</f>
        <v>06-1-1-3-2</v>
      </c>
      <c r="B71" s="44">
        <v>2.0</v>
      </c>
      <c r="C71" s="44" t="s">
        <v>640</v>
      </c>
      <c r="D71" s="44">
        <v>3.0</v>
      </c>
      <c r="E71" s="44" t="s">
        <v>110</v>
      </c>
      <c r="F71" s="44" t="s">
        <v>201</v>
      </c>
      <c r="G71" s="44">
        <v>3.0</v>
      </c>
      <c r="I71" s="67"/>
      <c r="J71" s="67">
        <v>3.0</v>
      </c>
      <c r="K71" s="67" t="s">
        <v>641</v>
      </c>
      <c r="L71" s="85" t="str">
        <f t="shared" si="1"/>
        <v>./assets/weapons/3/ranged.png</v>
      </c>
    </row>
    <row r="72" ht="22.5" customHeight="1">
      <c r="A72" s="44" t="str">
        <f>IFERROR(__xludf.DUMMYFUNCTION("if(F72=""Any"",join(""-"",""0"",VLOOKUP(E72, Lists!A:B, 2, FALSE),D72,B72),join(""-"",INDEX(Factions!A:A, MATCH(F72, Factions!B:B, 0)),""1"",VLOOKUP(E72, Lists!A:B, 2, FALSE),D72,B72))"),"06-1-1-3-3")</f>
        <v>06-1-1-3-3</v>
      </c>
      <c r="B72" s="44">
        <v>3.0</v>
      </c>
      <c r="C72" s="44" t="s">
        <v>642</v>
      </c>
      <c r="D72" s="44">
        <v>3.0</v>
      </c>
      <c r="E72" s="44" t="s">
        <v>110</v>
      </c>
      <c r="F72" s="44" t="s">
        <v>201</v>
      </c>
      <c r="G72" s="44">
        <v>3.0</v>
      </c>
      <c r="I72" s="67"/>
      <c r="J72" s="67">
        <v>2.0</v>
      </c>
      <c r="K72" s="67" t="s">
        <v>643</v>
      </c>
      <c r="L72" s="85" t="str">
        <f t="shared" si="1"/>
        <v>./assets/weapons/3/ranged.png</v>
      </c>
    </row>
    <row r="73" ht="22.5" customHeight="1">
      <c r="A73" s="44" t="str">
        <f>IFERROR(__xludf.DUMMYFUNCTION("if(F73=""Any"",join(""-"",""0"",VLOOKUP(E73, Lists!A:B, 2, FALSE),D73,B73),join(""-"",INDEX(Factions!A:A, MATCH(F73, Factions!B:B, 0)),""1"",VLOOKUP(E73, Lists!A:B, 2, FALSE),D73,B73))"),"06-1-2-1-1")</f>
        <v>06-1-2-1-1</v>
      </c>
      <c r="B73" s="44">
        <v>1.0</v>
      </c>
      <c r="C73" s="44" t="s">
        <v>644</v>
      </c>
      <c r="D73" s="44">
        <v>1.0</v>
      </c>
      <c r="E73" s="44" t="s">
        <v>20</v>
      </c>
      <c r="F73" s="44" t="s">
        <v>201</v>
      </c>
      <c r="G73" s="44">
        <v>1.0</v>
      </c>
      <c r="I73" s="67"/>
      <c r="J73" s="67"/>
      <c r="K73" s="67" t="s">
        <v>645</v>
      </c>
      <c r="L73" s="85" t="str">
        <f t="shared" si="1"/>
        <v>./assets/weapons/1/spear.png</v>
      </c>
    </row>
    <row r="74" ht="22.5" customHeight="1">
      <c r="A74" s="44" t="str">
        <f>IFERROR(__xludf.DUMMYFUNCTION("if(F74=""Any"",join(""-"",""0"",VLOOKUP(E74, Lists!A:B, 2, FALSE),D74,B74),join(""-"",INDEX(Factions!A:A, MATCH(F74, Factions!B:B, 0)),""1"",VLOOKUP(E74, Lists!A:B, 2, FALSE),D74,B74))"),"06-1-3-2-1")</f>
        <v>06-1-3-2-1</v>
      </c>
      <c r="B74" s="44">
        <v>1.0</v>
      </c>
      <c r="C74" s="44" t="s">
        <v>646</v>
      </c>
      <c r="D74" s="44">
        <v>2.0</v>
      </c>
      <c r="E74" s="44" t="s">
        <v>4</v>
      </c>
      <c r="F74" s="44" t="s">
        <v>201</v>
      </c>
      <c r="G74" s="44">
        <v>3.0</v>
      </c>
      <c r="I74" s="67"/>
      <c r="J74" s="67"/>
      <c r="K74" s="67" t="s">
        <v>647</v>
      </c>
      <c r="L74" s="85" t="str">
        <f t="shared" si="1"/>
        <v>./assets/weapons/2/blunt.png</v>
      </c>
    </row>
    <row r="75" ht="22.5" customHeight="1">
      <c r="A75" s="44" t="str">
        <f>IFERROR(__xludf.DUMMYFUNCTION("if(F75=""Any"",join(""-"",""0"",VLOOKUP(E75, Lists!A:B, 2, FALSE),D75,B75),join(""-"",INDEX(Factions!A:A, MATCH(F75, Factions!B:B, 0)),""1"",VLOOKUP(E75, Lists!A:B, 2, FALSE),D75,B75))"),"06-1-3-3-1")</f>
        <v>06-1-3-3-1</v>
      </c>
      <c r="B75" s="44">
        <v>1.0</v>
      </c>
      <c r="C75" s="44" t="s">
        <v>650</v>
      </c>
      <c r="D75" s="44">
        <v>3.0</v>
      </c>
      <c r="E75" s="44" t="s">
        <v>4</v>
      </c>
      <c r="F75" s="44" t="s">
        <v>201</v>
      </c>
      <c r="G75" s="44">
        <v>3.0</v>
      </c>
      <c r="I75" s="67"/>
      <c r="J75" s="67"/>
      <c r="K75" s="67" t="s">
        <v>651</v>
      </c>
      <c r="L75" s="85" t="str">
        <f t="shared" si="1"/>
        <v>./assets/weapons/3/blunt.png</v>
      </c>
    </row>
    <row r="76" ht="22.5" customHeight="1">
      <c r="A76" s="44" t="str">
        <f>IFERROR(__xludf.DUMMYFUNCTION("if(F76=""Any"",join(""-"",""0"",VLOOKUP(E76, Lists!A:B, 2, FALSE),D76,B76),join(""-"",INDEX(Factions!A:A, MATCH(F76, Factions!B:B, 0)),""1"",VLOOKUP(E76, Lists!A:B, 2, FALSE),D76,B76))"),"06-1-4-3-1")</f>
        <v>06-1-4-3-1</v>
      </c>
      <c r="B76" s="44">
        <v>1.0</v>
      </c>
      <c r="C76" s="44" t="s">
        <v>653</v>
      </c>
      <c r="D76" s="44">
        <v>3.0</v>
      </c>
      <c r="E76" s="44" t="s">
        <v>16</v>
      </c>
      <c r="F76" s="44" t="s">
        <v>201</v>
      </c>
      <c r="G76" s="44">
        <v>3.0</v>
      </c>
      <c r="I76" s="67"/>
      <c r="J76" s="67"/>
      <c r="K76" s="67" t="s">
        <v>654</v>
      </c>
      <c r="L76" s="85" t="str">
        <f t="shared" si="1"/>
        <v>./assets/weapons/3/axe.png</v>
      </c>
    </row>
    <row r="77" ht="22.5" customHeight="1">
      <c r="A77" s="44" t="str">
        <f>IFERROR(__xludf.DUMMYFUNCTION("if(F77=""Any"",join(""-"",""0"",VLOOKUP(E77, Lists!A:B, 2, FALSE),D77,B77),join(""-"",INDEX(Factions!A:A, MATCH(F77, Factions!B:B, 0)),""1"",VLOOKUP(E77, Lists!A:B, 2, FALSE),D77,B77))"),"06-1-6-1-1")</f>
        <v>06-1-6-1-1</v>
      </c>
      <c r="B77" s="44">
        <v>1.0</v>
      </c>
      <c r="C77" s="44" t="s">
        <v>655</v>
      </c>
      <c r="D77" s="44">
        <v>1.0</v>
      </c>
      <c r="E77" s="44" t="s">
        <v>30</v>
      </c>
      <c r="F77" s="44" t="s">
        <v>201</v>
      </c>
      <c r="G77" s="44">
        <v>1.0</v>
      </c>
      <c r="I77" s="67"/>
      <c r="J77" s="67"/>
      <c r="K77" s="67" t="s">
        <v>656</v>
      </c>
      <c r="L77" s="85" t="str">
        <f t="shared" si="1"/>
        <v>./assets/weapons/1/shield.png</v>
      </c>
    </row>
    <row r="78" ht="22.5" customHeight="1">
      <c r="A78" s="44" t="str">
        <f>IFERROR(__xludf.DUMMYFUNCTION("if(F78=""Any"",join(""-"",""0"",VLOOKUP(E78, Lists!A:B, 2, FALSE),D78,B78),join(""-"",INDEX(Factions!A:A, MATCH(F78, Factions!B:B, 0)),""1"",VLOOKUP(E78, Lists!A:B, 2, FALSE),D78,B78))"),"06-1-6-3-2")</f>
        <v>06-1-6-3-2</v>
      </c>
      <c r="B78" s="44">
        <v>2.0</v>
      </c>
      <c r="C78" s="44" t="s">
        <v>657</v>
      </c>
      <c r="D78" s="44">
        <v>3.0</v>
      </c>
      <c r="E78" s="44" t="s">
        <v>30</v>
      </c>
      <c r="F78" s="44" t="s">
        <v>201</v>
      </c>
      <c r="G78" s="44">
        <v>3.0</v>
      </c>
      <c r="I78" s="44"/>
      <c r="J78" s="44"/>
      <c r="K78" s="44" t="s">
        <v>658</v>
      </c>
      <c r="L78" s="85" t="str">
        <f t="shared" si="1"/>
        <v>./assets/weapons/3/shield.png</v>
      </c>
    </row>
    <row r="79" ht="22.5" customHeight="1">
      <c r="A79" s="44" t="str">
        <f>IFERROR(__xludf.DUMMYFUNCTION("if(F79=""Any"",join(""-"",""0"",VLOOKUP(E79, Lists!A:B, 2, FALSE),D79,B79),join(""-"",INDEX(Factions!A:A, MATCH(F79, Factions!B:B, 0)),""1"",VLOOKUP(E79, Lists!A:B, 2, FALSE),D79,B79))"),"06-1-6-3-3")</f>
        <v>06-1-6-3-3</v>
      </c>
      <c r="B79" s="44">
        <v>3.0</v>
      </c>
      <c r="C79" s="44" t="s">
        <v>659</v>
      </c>
      <c r="D79" s="44">
        <v>3.0</v>
      </c>
      <c r="E79" s="44" t="s">
        <v>30</v>
      </c>
      <c r="F79" s="44" t="s">
        <v>201</v>
      </c>
      <c r="G79" s="44">
        <v>3.0</v>
      </c>
      <c r="I79" s="44"/>
      <c r="J79" s="44"/>
      <c r="K79" s="44" t="s">
        <v>660</v>
      </c>
      <c r="L79" s="85" t="str">
        <f t="shared" si="1"/>
        <v>./assets/weapons/3/shield.png</v>
      </c>
    </row>
    <row r="80" ht="22.5" customHeight="1">
      <c r="A80" s="6" t="str">
        <f>IFERROR(__xludf.DUMMYFUNCTION("if(F80=""Any"",join(""-"",""0"",VLOOKUP(E80, Lists!A:B, 2, FALSE),D80,B80),join(""-"",INDEX(Factions!A:A, MATCH(F80, Factions!B:B, 0)),""1"",VLOOKUP(E80, Lists!A:B, 2, FALSE),D80,B80))"),"07-1-1-1-1")</f>
        <v>07-1-1-1-1</v>
      </c>
      <c r="B80" s="6">
        <v>1.0</v>
      </c>
      <c r="C80" s="6" t="s">
        <v>625</v>
      </c>
      <c r="D80" s="6">
        <v>1.0</v>
      </c>
      <c r="E80" s="6" t="s">
        <v>110</v>
      </c>
      <c r="F80" s="6" t="s">
        <v>10</v>
      </c>
      <c r="G80" s="6">
        <v>0.0</v>
      </c>
      <c r="H80" s="76"/>
      <c r="I80" s="67"/>
      <c r="J80" s="67">
        <v>3.0</v>
      </c>
      <c r="K80" s="67" t="s">
        <v>449</v>
      </c>
      <c r="L80" s="76" t="str">
        <f t="shared" si="1"/>
        <v>./assets/weapons/1/ranged.png</v>
      </c>
    </row>
    <row r="81" ht="22.5" customHeight="1">
      <c r="A81" s="6" t="str">
        <f>IFERROR(__xludf.DUMMYFUNCTION("if(F81=""Any"",join(""-"",""0"",VLOOKUP(E81, Lists!A:B, 2, FALSE),D81,B81),join(""-"",INDEX(Factions!A:A, MATCH(F81, Factions!B:B, 0)),""1"",VLOOKUP(E81, Lists!A:B, 2, FALSE),D81,B81))"),"07-1-1-1-2")</f>
        <v>07-1-1-1-2</v>
      </c>
      <c r="B81" s="6">
        <v>2.0</v>
      </c>
      <c r="C81" s="6" t="s">
        <v>626</v>
      </c>
      <c r="D81" s="6">
        <v>1.0</v>
      </c>
      <c r="E81" s="6" t="s">
        <v>110</v>
      </c>
      <c r="F81" s="6" t="s">
        <v>10</v>
      </c>
      <c r="G81" s="6">
        <v>1.0</v>
      </c>
      <c r="H81" s="76"/>
      <c r="I81" s="67"/>
      <c r="J81" s="67">
        <v>3.0</v>
      </c>
      <c r="K81" s="67" t="s">
        <v>449</v>
      </c>
      <c r="L81" s="76" t="str">
        <f t="shared" si="1"/>
        <v>./assets/weapons/1/ranged.png</v>
      </c>
    </row>
    <row r="82" ht="22.5" customHeight="1">
      <c r="A82" s="6" t="str">
        <f>IFERROR(__xludf.DUMMYFUNCTION("if(F82=""Any"",join(""-"",""0"",VLOOKUP(E82, Lists!A:B, 2, FALSE),D82,B82),join(""-"",INDEX(Factions!A:A, MATCH(F82, Factions!B:B, 0)),""1"",VLOOKUP(E82, Lists!A:B, 2, FALSE),D82,B82))"),"07-1-1-2-1")</f>
        <v>07-1-1-2-1</v>
      </c>
      <c r="B82" s="6">
        <v>1.0</v>
      </c>
      <c r="C82" s="6" t="s">
        <v>661</v>
      </c>
      <c r="D82" s="6">
        <v>2.0</v>
      </c>
      <c r="E82" s="6" t="s">
        <v>110</v>
      </c>
      <c r="F82" s="6" t="s">
        <v>10</v>
      </c>
      <c r="G82" s="6">
        <v>2.0</v>
      </c>
      <c r="H82" s="76"/>
      <c r="I82" s="6"/>
      <c r="J82" s="6">
        <v>3.0</v>
      </c>
      <c r="K82" s="6" t="s">
        <v>662</v>
      </c>
      <c r="L82" s="76" t="str">
        <f t="shared" si="1"/>
        <v>./assets/weapons/2/ranged.png</v>
      </c>
    </row>
    <row r="83" ht="22.5" customHeight="1">
      <c r="A83" s="6" t="str">
        <f>IFERROR(__xludf.DUMMYFUNCTION("if(F83=""Any"",join(""-"",""0"",VLOOKUP(E83, Lists!A:B, 2, FALSE),D83,B83),join(""-"",INDEX(Factions!A:A, MATCH(F83, Factions!B:B, 0)),""1"",VLOOKUP(E83, Lists!A:B, 2, FALSE),D83,B83))"),"07-1-1-2-2")</f>
        <v>07-1-1-2-2</v>
      </c>
      <c r="B83" s="6">
        <v>2.0</v>
      </c>
      <c r="C83" s="6" t="s">
        <v>665</v>
      </c>
      <c r="D83" s="6">
        <v>2.0</v>
      </c>
      <c r="E83" s="6" t="s">
        <v>110</v>
      </c>
      <c r="F83" s="6" t="s">
        <v>10</v>
      </c>
      <c r="G83" s="6">
        <v>2.0</v>
      </c>
      <c r="H83" s="76"/>
      <c r="I83" s="6"/>
      <c r="J83" s="6">
        <v>2.0</v>
      </c>
      <c r="K83" s="67" t="s">
        <v>666</v>
      </c>
      <c r="L83" s="76" t="str">
        <f t="shared" si="1"/>
        <v>./assets/weapons/2/ranged.png</v>
      </c>
    </row>
    <row r="84" ht="22.5" customHeight="1">
      <c r="A84" s="6" t="str">
        <f>IFERROR(__xludf.DUMMYFUNCTION("if(F84=""Any"",join(""-"",""0"",VLOOKUP(E84, Lists!A:B, 2, FALSE),D84,B84),join(""-"",INDEX(Factions!A:A, MATCH(F84, Factions!B:B, 0)),""1"",VLOOKUP(E84, Lists!A:B, 2, FALSE),D84,B84))"),"07-1-8-2-1")</f>
        <v>07-1-8-2-1</v>
      </c>
      <c r="B84" s="6">
        <v>1.0</v>
      </c>
      <c r="C84" s="6" t="s">
        <v>668</v>
      </c>
      <c r="D84" s="6">
        <v>2.0</v>
      </c>
      <c r="E84" s="6" t="s">
        <v>225</v>
      </c>
      <c r="F84" s="6" t="s">
        <v>10</v>
      </c>
      <c r="G84" s="6">
        <v>1.0</v>
      </c>
      <c r="H84" s="6" t="s">
        <v>467</v>
      </c>
      <c r="I84" s="144" t="s">
        <v>211</v>
      </c>
      <c r="J84" s="144">
        <v>3.0</v>
      </c>
      <c r="K84" s="144" t="s">
        <v>669</v>
      </c>
      <c r="L84" s="76" t="str">
        <f t="shared" si="1"/>
        <v>./assets/weapons/2/spell.png</v>
      </c>
    </row>
    <row r="85" ht="22.5" customHeight="1">
      <c r="A85" s="6" t="str">
        <f>IFERROR(__xludf.DUMMYFUNCTION("if(F85=""Any"",join(""-"",""0"",VLOOKUP(E85, Lists!A:B, 2, FALSE),D85,B85),join(""-"",INDEX(Factions!A:A, MATCH(F85, Factions!B:B, 0)),""1"",VLOOKUP(E85, Lists!A:B, 2, FALSE),D85,B85))"),"07-1-8-3-2")</f>
        <v>07-1-8-3-2</v>
      </c>
      <c r="B85" s="6">
        <v>2.0</v>
      </c>
      <c r="C85" s="6" t="s">
        <v>670</v>
      </c>
      <c r="D85" s="6">
        <v>3.0</v>
      </c>
      <c r="E85" s="6" t="s">
        <v>225</v>
      </c>
      <c r="F85" s="6" t="s">
        <v>10</v>
      </c>
      <c r="G85" s="6">
        <v>3.0</v>
      </c>
      <c r="H85" s="6" t="s">
        <v>467</v>
      </c>
      <c r="I85" s="67" t="s">
        <v>211</v>
      </c>
      <c r="J85" s="67">
        <v>6.0</v>
      </c>
      <c r="K85" s="67" t="s">
        <v>671</v>
      </c>
      <c r="L85" s="76" t="str">
        <f t="shared" si="1"/>
        <v>./assets/weapons/3/spell.png</v>
      </c>
    </row>
    <row r="86" ht="22.5" customHeight="1">
      <c r="A86" s="6" t="str">
        <f>IFERROR(__xludf.DUMMYFUNCTION("if(F86=""Any"",join(""-"",""0"",VLOOKUP(E86, Lists!A:B, 2, FALSE),D86,B86),join(""-"",INDEX(Factions!A:A, MATCH(F86, Factions!B:B, 0)),""1"",VLOOKUP(E86, Lists!A:B, 2, FALSE),D86,B86))"),"07-1-8-2-3")</f>
        <v>07-1-8-2-3</v>
      </c>
      <c r="B86" s="6">
        <v>3.0</v>
      </c>
      <c r="C86" s="6" t="s">
        <v>672</v>
      </c>
      <c r="D86" s="6">
        <v>2.0</v>
      </c>
      <c r="E86" s="6" t="s">
        <v>225</v>
      </c>
      <c r="F86" s="6" t="s">
        <v>10</v>
      </c>
      <c r="G86" s="6">
        <v>1.0</v>
      </c>
      <c r="H86" s="6" t="s">
        <v>467</v>
      </c>
      <c r="I86" s="144" t="s">
        <v>212</v>
      </c>
      <c r="J86" s="144">
        <v>3.0</v>
      </c>
      <c r="K86" s="144" t="s">
        <v>673</v>
      </c>
      <c r="L86" s="76" t="str">
        <f t="shared" si="1"/>
        <v>./assets/weapons/2/spell.png</v>
      </c>
    </row>
    <row r="87" ht="22.5" customHeight="1">
      <c r="A87" s="6" t="str">
        <f>IFERROR(__xludf.DUMMYFUNCTION("if(F87=""Any"",join(""-"",""0"",VLOOKUP(E87, Lists!A:B, 2, FALSE),D87,B87),join(""-"",INDEX(Factions!A:A, MATCH(F87, Factions!B:B, 0)),""1"",VLOOKUP(E87, Lists!A:B, 2, FALSE),D87,B87))"),"07-1-8-2-4")</f>
        <v>07-1-8-2-4</v>
      </c>
      <c r="B87" s="6">
        <v>4.0</v>
      </c>
      <c r="C87" s="6" t="s">
        <v>674</v>
      </c>
      <c r="D87" s="6">
        <v>2.0</v>
      </c>
      <c r="E87" s="6" t="s">
        <v>225</v>
      </c>
      <c r="F87" s="6" t="s">
        <v>10</v>
      </c>
      <c r="G87" s="6">
        <v>2.0</v>
      </c>
      <c r="H87" s="6" t="s">
        <v>461</v>
      </c>
      <c r="I87" s="144" t="s">
        <v>211</v>
      </c>
      <c r="J87" s="144">
        <v>4.0</v>
      </c>
      <c r="K87" s="144" t="s">
        <v>677</v>
      </c>
      <c r="L87" s="76" t="str">
        <f t="shared" si="1"/>
        <v>./assets/weapons/2/spell.png</v>
      </c>
    </row>
    <row r="88" ht="22.5" customHeight="1">
      <c r="A88" s="6" t="str">
        <f>IFERROR(__xludf.DUMMYFUNCTION("if(F88=""Any"",join(""-"",""0"",VLOOKUP(E88, Lists!A:B, 2, FALSE),D88,B88),join(""-"",INDEX(Factions!A:A, MATCH(F88, Factions!B:B, 0)),""1"",VLOOKUP(E88, Lists!A:B, 2, FALSE),D88,B88))"),"07-1-8-3-5")</f>
        <v>07-1-8-3-5</v>
      </c>
      <c r="B88" s="6">
        <v>5.0</v>
      </c>
      <c r="C88" s="6" t="s">
        <v>679</v>
      </c>
      <c r="D88" s="6">
        <v>3.0</v>
      </c>
      <c r="E88" s="6" t="s">
        <v>225</v>
      </c>
      <c r="F88" s="6" t="s">
        <v>10</v>
      </c>
      <c r="G88" s="6">
        <v>2.0</v>
      </c>
      <c r="H88" s="6" t="s">
        <v>467</v>
      </c>
      <c r="I88" s="144" t="s">
        <v>212</v>
      </c>
      <c r="J88" s="144">
        <v>2.0</v>
      </c>
      <c r="K88" s="144" t="s">
        <v>681</v>
      </c>
      <c r="L88" s="76" t="str">
        <f t="shared" si="1"/>
        <v>./assets/weapons/3/spell.png</v>
      </c>
    </row>
    <row r="89" ht="22.5" customHeight="1">
      <c r="A89" s="6" t="str">
        <f>IFERROR(__xludf.DUMMYFUNCTION("if(F89=""Any"",join(""-"",""0"",VLOOKUP(E89, Lists!A:B, 2, FALSE),D89,B89),join(""-"",INDEX(Factions!A:A, MATCH(F89, Factions!B:B, 0)),""1"",VLOOKUP(E89, Lists!A:B, 2, FALSE),D89,B89))"),"07-1-8-3-6")</f>
        <v>07-1-8-3-6</v>
      </c>
      <c r="B89" s="6">
        <v>6.0</v>
      </c>
      <c r="C89" s="6" t="s">
        <v>682</v>
      </c>
      <c r="D89" s="6">
        <v>3.0</v>
      </c>
      <c r="E89" s="6" t="s">
        <v>225</v>
      </c>
      <c r="F89" s="6" t="s">
        <v>10</v>
      </c>
      <c r="G89" s="6">
        <v>3.0</v>
      </c>
      <c r="H89" s="6" t="s">
        <v>480</v>
      </c>
      <c r="I89" s="144" t="s">
        <v>49</v>
      </c>
      <c r="J89" s="144" t="s">
        <v>544</v>
      </c>
      <c r="K89" s="144" t="s">
        <v>683</v>
      </c>
      <c r="L89" s="76" t="str">
        <f t="shared" si="1"/>
        <v>./assets/weapons/3/spell.png</v>
      </c>
    </row>
    <row r="90" ht="22.5" customHeight="1">
      <c r="A90" s="6" t="str">
        <f>IFERROR(__xludf.DUMMYFUNCTION("if(F90=""Any"",join(""-"",""0"",VLOOKUP(E90, Lists!A:B, 2, FALSE),D90,B90),join(""-"",INDEX(Factions!A:A, MATCH(F90, Factions!B:B, 0)),""1"",VLOOKUP(E90, Lists!A:B, 2, FALSE),D90,B90))"),"08-1-1-1-1")</f>
        <v>08-1-1-1-1</v>
      </c>
      <c r="B90" s="6">
        <v>1.0</v>
      </c>
      <c r="C90" s="6" t="s">
        <v>684</v>
      </c>
      <c r="D90" s="6">
        <v>1.0</v>
      </c>
      <c r="E90" s="6" t="s">
        <v>110</v>
      </c>
      <c r="F90" s="6" t="s">
        <v>202</v>
      </c>
      <c r="G90" s="6">
        <v>0.0</v>
      </c>
      <c r="H90" s="6"/>
      <c r="I90" s="67"/>
      <c r="J90" s="144">
        <v>3.0</v>
      </c>
      <c r="K90" s="67" t="s">
        <v>449</v>
      </c>
      <c r="L90" s="76" t="str">
        <f t="shared" si="1"/>
        <v>./assets/weapons/1/ranged.png</v>
      </c>
    </row>
    <row r="91" ht="22.5" customHeight="1">
      <c r="A91" s="6" t="str">
        <f>IFERROR(__xludf.DUMMYFUNCTION("if(F91=""Any"",join(""-"",""0"",VLOOKUP(E91, Lists!A:B, 2, FALSE),D91,B91),join(""-"",INDEX(Factions!A:A, MATCH(F91, Factions!B:B, 0)),""1"",VLOOKUP(E91, Lists!A:B, 2, FALSE),D91,B91))"),"08-1-1-1-2")</f>
        <v>08-1-1-1-2</v>
      </c>
      <c r="B91" s="6">
        <v>2.0</v>
      </c>
      <c r="C91" s="6" t="s">
        <v>685</v>
      </c>
      <c r="D91" s="6">
        <v>1.0</v>
      </c>
      <c r="E91" s="6" t="s">
        <v>110</v>
      </c>
      <c r="F91" s="6" t="s">
        <v>202</v>
      </c>
      <c r="G91" s="6">
        <v>1.0</v>
      </c>
      <c r="H91" s="6"/>
      <c r="I91" s="67"/>
      <c r="J91" s="144">
        <v>3.0</v>
      </c>
      <c r="K91" s="67" t="s">
        <v>449</v>
      </c>
      <c r="L91" s="76" t="str">
        <f t="shared" si="1"/>
        <v>./assets/weapons/1/ranged.png</v>
      </c>
    </row>
    <row r="92" ht="22.5" customHeight="1">
      <c r="A92" s="6" t="str">
        <f>IFERROR(__xludf.DUMMYFUNCTION("if(F92=""Any"",join(""-"",""0"",VLOOKUP(E92, Lists!A:B, 2, FALSE),D92,B92),join(""-"",INDEX(Factions!A:A, MATCH(F92, Factions!B:B, 0)),""1"",VLOOKUP(E92, Lists!A:B, 2, FALSE),D92,B92))"),"08-1-1-2-1")</f>
        <v>08-1-1-2-1</v>
      </c>
      <c r="B92" s="6">
        <v>1.0</v>
      </c>
      <c r="C92" s="6" t="s">
        <v>686</v>
      </c>
      <c r="D92" s="6">
        <v>2.0</v>
      </c>
      <c r="E92" s="6" t="s">
        <v>110</v>
      </c>
      <c r="F92" s="6" t="s">
        <v>202</v>
      </c>
      <c r="G92" s="6">
        <v>2.0</v>
      </c>
      <c r="H92" s="6"/>
      <c r="I92" s="67"/>
      <c r="J92" s="144">
        <v>3.0</v>
      </c>
      <c r="K92" s="67" t="s">
        <v>689</v>
      </c>
      <c r="L92" s="76" t="str">
        <f t="shared" si="1"/>
        <v>./assets/weapons/2/ranged.png</v>
      </c>
    </row>
    <row r="93" ht="22.5" customHeight="1">
      <c r="A93" s="6" t="str">
        <f>IFERROR(__xludf.DUMMYFUNCTION("if(F93=""Any"",join(""-"",""0"",VLOOKUP(E93, Lists!A:B, 2, FALSE),D93,B93),join(""-"",INDEX(Factions!A:A, MATCH(F93, Factions!B:B, 0)),""1"",VLOOKUP(E93, Lists!A:B, 2, FALSE),D93,B93))"),"08-1-1-2-2")</f>
        <v>08-1-1-2-2</v>
      </c>
      <c r="B93" s="6">
        <v>2.0</v>
      </c>
      <c r="C93" s="6" t="s">
        <v>691</v>
      </c>
      <c r="D93" s="6">
        <v>2.0</v>
      </c>
      <c r="E93" s="6" t="s">
        <v>110</v>
      </c>
      <c r="F93" s="6" t="s">
        <v>202</v>
      </c>
      <c r="G93" s="6">
        <v>2.0</v>
      </c>
      <c r="H93" s="6"/>
      <c r="I93" s="67"/>
      <c r="J93" s="144">
        <v>2.0</v>
      </c>
      <c r="K93" s="67" t="s">
        <v>692</v>
      </c>
      <c r="L93" s="76" t="str">
        <f t="shared" si="1"/>
        <v>./assets/weapons/2/ranged.png</v>
      </c>
    </row>
    <row r="94" ht="22.5" customHeight="1">
      <c r="A94" s="6" t="str">
        <f>IFERROR(__xludf.DUMMYFUNCTION("if(F94=""Any"",join(""-"",""0"",VLOOKUP(E94, Lists!A:B, 2, FALSE),D94,B94),join(""-"",INDEX(Factions!A:A, MATCH(F94, Factions!B:B, 0)),""1"",VLOOKUP(E94, Lists!A:B, 2, FALSE),D94,B94))"),"08-1-8-2-1")</f>
        <v>08-1-8-2-1</v>
      </c>
      <c r="B94" s="6">
        <v>1.0</v>
      </c>
      <c r="C94" s="6" t="s">
        <v>694</v>
      </c>
      <c r="D94" s="6">
        <v>2.0</v>
      </c>
      <c r="E94" s="6" t="s">
        <v>225</v>
      </c>
      <c r="F94" s="6" t="s">
        <v>202</v>
      </c>
      <c r="G94" s="6">
        <v>1.0</v>
      </c>
      <c r="H94" s="6" t="s">
        <v>495</v>
      </c>
      <c r="I94" s="67" t="s">
        <v>212</v>
      </c>
      <c r="J94" s="144">
        <v>2.0</v>
      </c>
      <c r="K94" s="144" t="s">
        <v>695</v>
      </c>
      <c r="L94" s="76" t="str">
        <f t="shared" si="1"/>
        <v>./assets/weapons/2/spell.png</v>
      </c>
    </row>
    <row r="95" ht="22.5" customHeight="1">
      <c r="A95" s="6" t="str">
        <f>IFERROR(__xludf.DUMMYFUNCTION("if(F95=""Any"",join(""-"",""0"",VLOOKUP(E95, Lists!A:B, 2, FALSE),D95,B95),join(""-"",INDEX(Factions!A:A, MATCH(F95, Factions!B:B, 0)),""1"",VLOOKUP(E95, Lists!A:B, 2, FALSE),D95,B95))"),"08-1-8-2-2")</f>
        <v>08-1-8-2-2</v>
      </c>
      <c r="B95" s="6">
        <v>2.0</v>
      </c>
      <c r="C95" s="6" t="s">
        <v>696</v>
      </c>
      <c r="D95" s="6">
        <v>2.0</v>
      </c>
      <c r="E95" s="6" t="s">
        <v>225</v>
      </c>
      <c r="F95" s="6" t="s">
        <v>202</v>
      </c>
      <c r="G95" s="6">
        <v>1.0</v>
      </c>
      <c r="H95" s="6" t="s">
        <v>495</v>
      </c>
      <c r="I95" s="67" t="s">
        <v>212</v>
      </c>
      <c r="J95" s="67">
        <v>2.0</v>
      </c>
      <c r="K95" s="144" t="s">
        <v>697</v>
      </c>
      <c r="L95" s="76" t="str">
        <f t="shared" si="1"/>
        <v>./assets/weapons/2/spell.png</v>
      </c>
    </row>
    <row r="96" ht="22.5" customHeight="1">
      <c r="A96" s="6" t="str">
        <f>IFERROR(__xludf.DUMMYFUNCTION("if(F96=""Any"",join(""-"",""0"",VLOOKUP(E96, Lists!A:B, 2, FALSE),D96,B96),join(""-"",INDEX(Factions!A:A, MATCH(F96, Factions!B:B, 0)),""1"",VLOOKUP(E96, Lists!A:B, 2, FALSE),D96,B96))"),"08-1-8-2-3")</f>
        <v>08-1-8-2-3</v>
      </c>
      <c r="B96" s="6">
        <v>3.0</v>
      </c>
      <c r="C96" s="44" t="s">
        <v>698</v>
      </c>
      <c r="D96" s="6">
        <v>2.0</v>
      </c>
      <c r="E96" s="6" t="s">
        <v>225</v>
      </c>
      <c r="F96" s="6" t="s">
        <v>202</v>
      </c>
      <c r="G96" s="6">
        <v>1.0</v>
      </c>
      <c r="H96" s="6" t="s">
        <v>495</v>
      </c>
      <c r="I96" s="67" t="s">
        <v>212</v>
      </c>
      <c r="J96" s="144">
        <v>2.0</v>
      </c>
      <c r="K96" s="144" t="s">
        <v>699</v>
      </c>
      <c r="L96" s="76" t="str">
        <f t="shared" si="1"/>
        <v>./assets/weapons/2/spell.png</v>
      </c>
    </row>
    <row r="97" ht="22.5" customHeight="1">
      <c r="A97" s="6" t="str">
        <f>IFERROR(__xludf.DUMMYFUNCTION("if(F97=""Any"",join(""-"",""0"",VLOOKUP(E97, Lists!A:B, 2, FALSE),D97,B97),join(""-"",INDEX(Factions!A:A, MATCH(F97, Factions!B:B, 0)),""1"",VLOOKUP(E97, Lists!A:B, 2, FALSE),D97,B97))"),"08-1-8-3-4")</f>
        <v>08-1-8-3-4</v>
      </c>
      <c r="B97" s="6">
        <v>4.0</v>
      </c>
      <c r="C97" s="6" t="s">
        <v>700</v>
      </c>
      <c r="D97" s="6">
        <v>3.0</v>
      </c>
      <c r="E97" s="6" t="s">
        <v>225</v>
      </c>
      <c r="F97" s="6" t="s">
        <v>202</v>
      </c>
      <c r="G97" s="6">
        <v>2.0</v>
      </c>
      <c r="H97" s="6" t="s">
        <v>467</v>
      </c>
      <c r="I97" s="67" t="s">
        <v>212</v>
      </c>
      <c r="J97" s="144">
        <v>2.0</v>
      </c>
      <c r="K97" s="144" t="s">
        <v>701</v>
      </c>
      <c r="L97" s="76" t="str">
        <f t="shared" si="1"/>
        <v>./assets/weapons/3/spell.png</v>
      </c>
    </row>
    <row r="98" ht="22.5" customHeight="1">
      <c r="A98" s="6" t="str">
        <f>IFERROR(__xludf.DUMMYFUNCTION("if(F98=""Any"",join(""-"",""0"",VLOOKUP(E98, Lists!A:B, 2, FALSE),D98,B98),join(""-"",INDEX(Factions!A:A, MATCH(F98, Factions!B:B, 0)),""1"",VLOOKUP(E98, Lists!A:B, 2, FALSE),D98,B98))"),"08-1-8-3-5")</f>
        <v>08-1-8-3-5</v>
      </c>
      <c r="B98" s="6">
        <v>5.0</v>
      </c>
      <c r="C98" s="6" t="s">
        <v>702</v>
      </c>
      <c r="D98" s="6">
        <v>3.0</v>
      </c>
      <c r="E98" s="6" t="s">
        <v>225</v>
      </c>
      <c r="F98" s="6" t="s">
        <v>202</v>
      </c>
      <c r="G98" s="6">
        <v>2.0</v>
      </c>
      <c r="H98" s="6" t="s">
        <v>467</v>
      </c>
      <c r="I98" s="67" t="s">
        <v>212</v>
      </c>
      <c r="J98" s="144">
        <v>2.0</v>
      </c>
      <c r="K98" s="144" t="s">
        <v>704</v>
      </c>
      <c r="L98" s="76" t="str">
        <f t="shared" si="1"/>
        <v>./assets/weapons/3/spell.png</v>
      </c>
    </row>
    <row r="99" ht="22.5" customHeight="1">
      <c r="A99" s="6" t="str">
        <f>IFERROR(__xludf.DUMMYFUNCTION("if(F99=""Any"",join(""-"",""0"",VLOOKUP(E99, Lists!A:B, 2, FALSE),D99,B99),join(""-"",INDEX(Factions!A:A, MATCH(F99, Factions!B:B, 0)),""1"",VLOOKUP(E99, Lists!A:B, 2, FALSE),D99,B99))"),"08-1-8-3-6")</f>
        <v>08-1-8-3-6</v>
      </c>
      <c r="B99" s="6">
        <v>6.0</v>
      </c>
      <c r="C99" s="6" t="s">
        <v>707</v>
      </c>
      <c r="D99" s="6">
        <v>3.0</v>
      </c>
      <c r="E99" s="6" t="s">
        <v>225</v>
      </c>
      <c r="F99" s="6" t="s">
        <v>202</v>
      </c>
      <c r="G99" s="6">
        <v>3.0</v>
      </c>
      <c r="H99" s="6" t="s">
        <v>467</v>
      </c>
      <c r="I99" s="67" t="s">
        <v>212</v>
      </c>
      <c r="J99" s="144">
        <v>2.0</v>
      </c>
      <c r="K99" s="144" t="s">
        <v>717</v>
      </c>
      <c r="L99" s="76" t="str">
        <f t="shared" si="1"/>
        <v>./assets/weapons/3/spell.png</v>
      </c>
    </row>
    <row r="100">
      <c r="I100" s="133"/>
      <c r="J100" s="133"/>
      <c r="K100" s="133"/>
    </row>
    <row r="101">
      <c r="I101" s="133"/>
      <c r="J101" s="133"/>
      <c r="K101" s="133"/>
    </row>
    <row r="102">
      <c r="I102" s="133"/>
      <c r="J102" s="133"/>
      <c r="K102" s="133"/>
    </row>
    <row r="103">
      <c r="I103" s="133"/>
      <c r="J103" s="133"/>
      <c r="K103" s="133"/>
    </row>
    <row r="104">
      <c r="I104" s="133"/>
      <c r="J104" s="133"/>
      <c r="K104" s="133"/>
    </row>
    <row r="105">
      <c r="I105" s="133"/>
      <c r="J105" s="133"/>
      <c r="K105" s="151"/>
    </row>
    <row r="106">
      <c r="I106" s="133"/>
      <c r="J106" s="133"/>
      <c r="K106" s="133"/>
    </row>
    <row r="107">
      <c r="I107" s="133"/>
      <c r="J107" s="133"/>
      <c r="K107" s="133"/>
    </row>
    <row r="108">
      <c r="I108" s="133"/>
      <c r="J108" s="133"/>
      <c r="K108" s="133"/>
    </row>
    <row r="109">
      <c r="I109" s="133"/>
      <c r="J109" s="133"/>
      <c r="K109" s="133"/>
    </row>
    <row r="110">
      <c r="I110" s="133"/>
      <c r="J110" s="133"/>
      <c r="K110" s="133"/>
    </row>
    <row r="111">
      <c r="I111" s="133"/>
      <c r="J111" s="133"/>
      <c r="K111" s="133"/>
    </row>
    <row r="112">
      <c r="I112" s="133"/>
      <c r="J112" s="133"/>
      <c r="K112" s="133"/>
    </row>
    <row r="113">
      <c r="I113" s="133"/>
      <c r="J113" s="133"/>
      <c r="K113" s="133"/>
    </row>
    <row r="114">
      <c r="I114" s="133"/>
      <c r="J114" s="133"/>
      <c r="K114" s="133"/>
    </row>
    <row r="115">
      <c r="I115" s="133"/>
      <c r="J115" s="133"/>
      <c r="K115" s="133"/>
    </row>
    <row r="116">
      <c r="I116" s="133"/>
      <c r="J116" s="133"/>
      <c r="K116" s="133"/>
    </row>
    <row r="117">
      <c r="I117" s="133"/>
      <c r="J117" s="133"/>
      <c r="K117" s="133"/>
    </row>
    <row r="118">
      <c r="I118" s="133"/>
      <c r="J118" s="133"/>
      <c r="K118" s="133"/>
    </row>
    <row r="119">
      <c r="I119" s="133"/>
      <c r="J119" s="133"/>
      <c r="K119" s="133"/>
    </row>
    <row r="120">
      <c r="I120" s="133"/>
      <c r="J120" s="133"/>
      <c r="K120" s="133"/>
    </row>
    <row r="121">
      <c r="I121" s="133"/>
      <c r="J121" s="133"/>
      <c r="K121" s="133"/>
    </row>
    <row r="122">
      <c r="I122" s="133"/>
      <c r="J122" s="133"/>
      <c r="K122" s="133"/>
    </row>
    <row r="123">
      <c r="I123" s="133"/>
      <c r="J123" s="133"/>
      <c r="K123" s="133"/>
    </row>
    <row r="124">
      <c r="I124" s="133"/>
      <c r="J124" s="133"/>
      <c r="K124" s="133"/>
    </row>
    <row r="125">
      <c r="I125" s="133"/>
      <c r="J125" s="133"/>
      <c r="K125" s="133"/>
    </row>
    <row r="126">
      <c r="I126" s="133"/>
      <c r="J126" s="133"/>
      <c r="K126" s="133"/>
    </row>
    <row r="127">
      <c r="I127" s="133"/>
      <c r="J127" s="133"/>
      <c r="K127" s="133"/>
    </row>
    <row r="128">
      <c r="I128" s="133"/>
      <c r="J128" s="133"/>
      <c r="K128" s="133"/>
    </row>
    <row r="129">
      <c r="I129" s="133"/>
      <c r="J129" s="133"/>
      <c r="K129" s="133"/>
    </row>
    <row r="130">
      <c r="I130" s="133"/>
      <c r="J130" s="133"/>
      <c r="K130" s="133"/>
    </row>
    <row r="131">
      <c r="I131" s="133"/>
      <c r="J131" s="133"/>
      <c r="K131" s="133"/>
    </row>
    <row r="132">
      <c r="I132" s="133"/>
      <c r="J132" s="133"/>
      <c r="K132" s="133"/>
    </row>
    <row r="133">
      <c r="I133" s="133"/>
      <c r="J133" s="133"/>
      <c r="K133" s="133"/>
    </row>
    <row r="134">
      <c r="I134" s="133"/>
      <c r="J134" s="133"/>
      <c r="K134" s="133"/>
    </row>
    <row r="135">
      <c r="I135" s="133"/>
      <c r="J135" s="133"/>
      <c r="K135" s="133"/>
    </row>
    <row r="136">
      <c r="I136" s="133"/>
      <c r="J136" s="133"/>
      <c r="K136" s="133"/>
    </row>
    <row r="137">
      <c r="I137" s="133"/>
      <c r="J137" s="133"/>
      <c r="K137" s="133"/>
    </row>
    <row r="138">
      <c r="I138" s="133"/>
      <c r="J138" s="133"/>
      <c r="K138" s="133"/>
    </row>
    <row r="139">
      <c r="I139" s="133"/>
      <c r="J139" s="133"/>
      <c r="K139" s="133"/>
    </row>
    <row r="140">
      <c r="I140" s="133"/>
      <c r="J140" s="133"/>
      <c r="K140" s="133"/>
    </row>
    <row r="141">
      <c r="I141" s="133"/>
      <c r="J141" s="133"/>
      <c r="K141" s="133"/>
    </row>
    <row r="142">
      <c r="I142" s="133"/>
      <c r="J142" s="133"/>
      <c r="K142" s="133"/>
    </row>
    <row r="143">
      <c r="I143" s="133"/>
      <c r="J143" s="133"/>
      <c r="K143" s="133"/>
    </row>
    <row r="144">
      <c r="I144" s="133"/>
      <c r="J144" s="133"/>
      <c r="K144" s="133"/>
    </row>
    <row r="145">
      <c r="I145" s="133"/>
      <c r="J145" s="133"/>
      <c r="K145" s="133"/>
    </row>
    <row r="146">
      <c r="I146" s="133"/>
      <c r="J146" s="133"/>
      <c r="K146" s="133"/>
    </row>
    <row r="147">
      <c r="I147" s="133"/>
      <c r="J147" s="133"/>
      <c r="K147" s="133"/>
    </row>
    <row r="148">
      <c r="I148" s="133"/>
      <c r="J148" s="133"/>
      <c r="K148" s="133"/>
    </row>
    <row r="149">
      <c r="I149" s="133"/>
      <c r="J149" s="133"/>
      <c r="K149" s="133"/>
    </row>
    <row r="150">
      <c r="I150" s="133"/>
      <c r="J150" s="133"/>
      <c r="K150" s="133"/>
    </row>
    <row r="151">
      <c r="I151" s="133"/>
      <c r="J151" s="133"/>
      <c r="K151" s="133"/>
    </row>
    <row r="152">
      <c r="I152" s="133"/>
      <c r="J152" s="133"/>
      <c r="K152" s="133"/>
    </row>
    <row r="153">
      <c r="I153" s="133"/>
      <c r="J153" s="133"/>
      <c r="K153" s="133"/>
    </row>
    <row r="154">
      <c r="I154" s="133"/>
      <c r="J154" s="133"/>
      <c r="K154" s="133"/>
    </row>
    <row r="155">
      <c r="I155" s="133"/>
      <c r="J155" s="133"/>
      <c r="K155" s="133"/>
    </row>
    <row r="156">
      <c r="I156" s="133"/>
      <c r="J156" s="133"/>
      <c r="K156" s="133"/>
    </row>
    <row r="157">
      <c r="I157" s="133"/>
      <c r="J157" s="133"/>
      <c r="K157" s="133"/>
    </row>
    <row r="158">
      <c r="I158" s="133"/>
      <c r="J158" s="133"/>
      <c r="K158" s="133"/>
    </row>
    <row r="159">
      <c r="I159" s="133"/>
      <c r="J159" s="133"/>
      <c r="K159" s="133"/>
    </row>
    <row r="160">
      <c r="I160" s="133"/>
      <c r="J160" s="133"/>
      <c r="K160" s="133"/>
    </row>
    <row r="161">
      <c r="I161" s="133"/>
      <c r="J161" s="133"/>
      <c r="K161" s="133"/>
    </row>
    <row r="162">
      <c r="I162" s="133"/>
      <c r="J162" s="133"/>
      <c r="K162" s="133"/>
    </row>
    <row r="163">
      <c r="I163" s="133"/>
      <c r="J163" s="133"/>
      <c r="K163" s="133"/>
    </row>
    <row r="164">
      <c r="I164" s="133"/>
      <c r="J164" s="133"/>
      <c r="K164" s="133"/>
    </row>
    <row r="165">
      <c r="I165" s="133"/>
      <c r="J165" s="133"/>
      <c r="K165" s="133"/>
    </row>
    <row r="166">
      <c r="I166" s="133"/>
      <c r="J166" s="133"/>
      <c r="K166" s="133"/>
    </row>
    <row r="167">
      <c r="I167" s="133"/>
      <c r="J167" s="133"/>
      <c r="K167" s="133"/>
    </row>
    <row r="168">
      <c r="I168" s="133"/>
      <c r="J168" s="133"/>
      <c r="K168" s="133"/>
    </row>
    <row r="169">
      <c r="I169" s="133"/>
      <c r="J169" s="133"/>
      <c r="K169" s="133"/>
    </row>
    <row r="170">
      <c r="I170" s="133"/>
      <c r="J170" s="133"/>
      <c r="K170" s="133"/>
    </row>
    <row r="171">
      <c r="I171" s="133"/>
      <c r="J171" s="133"/>
      <c r="K171" s="133"/>
    </row>
    <row r="172">
      <c r="I172" s="133"/>
      <c r="J172" s="133"/>
      <c r="K172" s="133"/>
    </row>
    <row r="173">
      <c r="I173" s="133"/>
      <c r="J173" s="133"/>
      <c r="K173" s="133"/>
    </row>
    <row r="174">
      <c r="I174" s="133"/>
      <c r="J174" s="133"/>
      <c r="K174" s="133"/>
    </row>
    <row r="175">
      <c r="I175" s="133"/>
      <c r="J175" s="133"/>
      <c r="K175" s="133"/>
    </row>
    <row r="176">
      <c r="I176" s="133"/>
      <c r="J176" s="133"/>
      <c r="K176" s="133"/>
    </row>
    <row r="177">
      <c r="I177" s="133"/>
      <c r="J177" s="133"/>
      <c r="K177" s="133"/>
    </row>
    <row r="178">
      <c r="I178" s="133"/>
      <c r="J178" s="133"/>
      <c r="K178" s="133"/>
    </row>
    <row r="179">
      <c r="I179" s="133"/>
      <c r="J179" s="133"/>
      <c r="K179" s="133"/>
    </row>
    <row r="180">
      <c r="I180" s="133"/>
      <c r="J180" s="133"/>
      <c r="K180" s="133"/>
    </row>
    <row r="181">
      <c r="I181" s="133"/>
      <c r="J181" s="133"/>
      <c r="K181" s="133"/>
    </row>
    <row r="182">
      <c r="I182" s="133"/>
      <c r="J182" s="133"/>
      <c r="K182" s="133"/>
    </row>
    <row r="183">
      <c r="I183" s="133"/>
      <c r="J183" s="133"/>
      <c r="K183" s="133"/>
    </row>
    <row r="184">
      <c r="I184" s="133"/>
      <c r="J184" s="133"/>
      <c r="K184" s="133"/>
    </row>
    <row r="185">
      <c r="I185" s="133"/>
      <c r="J185" s="133"/>
      <c r="K185" s="133"/>
    </row>
    <row r="186">
      <c r="I186" s="133"/>
      <c r="J186" s="133"/>
      <c r="K186" s="133"/>
    </row>
    <row r="187">
      <c r="I187" s="133"/>
      <c r="J187" s="133"/>
      <c r="K187" s="133"/>
    </row>
    <row r="188">
      <c r="I188" s="133"/>
      <c r="J188" s="133"/>
      <c r="K188" s="133"/>
    </row>
    <row r="189">
      <c r="I189" s="133"/>
      <c r="J189" s="133"/>
      <c r="K189" s="133"/>
    </row>
    <row r="190">
      <c r="I190" s="133"/>
      <c r="J190" s="133"/>
      <c r="K190" s="133"/>
    </row>
    <row r="191">
      <c r="I191" s="133"/>
      <c r="J191" s="133"/>
      <c r="K191" s="133"/>
    </row>
    <row r="192">
      <c r="I192" s="133"/>
      <c r="J192" s="133"/>
      <c r="K192" s="133"/>
    </row>
    <row r="193">
      <c r="I193" s="133"/>
      <c r="J193" s="133"/>
      <c r="K193" s="133"/>
    </row>
    <row r="194">
      <c r="I194" s="133"/>
      <c r="J194" s="133"/>
      <c r="K194" s="133"/>
    </row>
    <row r="195">
      <c r="I195" s="133"/>
      <c r="J195" s="133"/>
      <c r="K195" s="133"/>
    </row>
    <row r="196">
      <c r="I196" s="133"/>
      <c r="J196" s="133"/>
      <c r="K196" s="133"/>
    </row>
    <row r="197">
      <c r="I197" s="133"/>
      <c r="J197" s="133"/>
      <c r="K197" s="133"/>
    </row>
    <row r="198">
      <c r="I198" s="133"/>
      <c r="J198" s="133"/>
      <c r="K198" s="133"/>
    </row>
    <row r="199">
      <c r="I199" s="133"/>
      <c r="J199" s="133"/>
      <c r="K199" s="133"/>
    </row>
    <row r="200">
      <c r="I200" s="133"/>
      <c r="J200" s="133"/>
      <c r="K200" s="133"/>
    </row>
    <row r="201">
      <c r="I201" s="133"/>
      <c r="J201" s="133"/>
      <c r="K201" s="133"/>
    </row>
    <row r="202">
      <c r="I202" s="133"/>
      <c r="J202" s="133"/>
      <c r="K202" s="133"/>
    </row>
    <row r="203">
      <c r="I203" s="133"/>
      <c r="J203" s="133"/>
      <c r="K203" s="133"/>
    </row>
    <row r="204">
      <c r="I204" s="133"/>
      <c r="J204" s="133"/>
      <c r="K204" s="133"/>
    </row>
    <row r="205">
      <c r="I205" s="133"/>
      <c r="J205" s="133"/>
      <c r="K205" s="133"/>
    </row>
    <row r="206">
      <c r="I206" s="133"/>
      <c r="J206" s="133"/>
      <c r="K206" s="133"/>
    </row>
    <row r="207">
      <c r="I207" s="133"/>
      <c r="J207" s="133"/>
      <c r="K207" s="133"/>
    </row>
    <row r="208">
      <c r="I208" s="133"/>
      <c r="J208" s="133"/>
      <c r="K208" s="133"/>
    </row>
    <row r="209">
      <c r="I209" s="133"/>
      <c r="J209" s="133"/>
      <c r="K209" s="133"/>
    </row>
    <row r="210">
      <c r="I210" s="133"/>
      <c r="J210" s="133"/>
      <c r="K210" s="133"/>
    </row>
    <row r="211">
      <c r="I211" s="133"/>
      <c r="J211" s="133"/>
      <c r="K211" s="133"/>
    </row>
    <row r="212">
      <c r="I212" s="133"/>
      <c r="J212" s="133"/>
      <c r="K212" s="133"/>
    </row>
    <row r="213">
      <c r="I213" s="133"/>
      <c r="J213" s="133"/>
      <c r="K213" s="133"/>
    </row>
    <row r="214">
      <c r="I214" s="133"/>
      <c r="J214" s="133"/>
      <c r="K214" s="133"/>
    </row>
    <row r="215">
      <c r="I215" s="133"/>
      <c r="J215" s="133"/>
      <c r="K215" s="133"/>
    </row>
    <row r="216">
      <c r="I216" s="133"/>
      <c r="J216" s="133"/>
      <c r="K216" s="133"/>
    </row>
    <row r="217">
      <c r="I217" s="133"/>
      <c r="J217" s="133"/>
      <c r="K217" s="133"/>
    </row>
    <row r="218">
      <c r="I218" s="133"/>
      <c r="J218" s="133"/>
      <c r="K218" s="133"/>
    </row>
    <row r="219">
      <c r="I219" s="133"/>
      <c r="J219" s="133"/>
      <c r="K219" s="133"/>
    </row>
    <row r="220">
      <c r="I220" s="133"/>
      <c r="J220" s="133"/>
      <c r="K220" s="133"/>
    </row>
    <row r="221">
      <c r="I221" s="133"/>
      <c r="J221" s="133"/>
      <c r="K221" s="133"/>
    </row>
    <row r="222">
      <c r="I222" s="133"/>
      <c r="J222" s="133"/>
      <c r="K222" s="133"/>
    </row>
    <row r="223">
      <c r="I223" s="133"/>
      <c r="J223" s="133"/>
      <c r="K223" s="133"/>
    </row>
    <row r="224">
      <c r="I224" s="133"/>
      <c r="J224" s="133"/>
      <c r="K224" s="133"/>
    </row>
    <row r="225">
      <c r="I225" s="133"/>
      <c r="J225" s="133"/>
      <c r="K225" s="133"/>
    </row>
    <row r="226">
      <c r="I226" s="133"/>
      <c r="J226" s="133"/>
      <c r="K226" s="133"/>
    </row>
    <row r="227">
      <c r="I227" s="133"/>
      <c r="J227" s="133"/>
      <c r="K227" s="133"/>
    </row>
    <row r="228">
      <c r="I228" s="133"/>
      <c r="J228" s="133"/>
      <c r="K228" s="133"/>
    </row>
    <row r="229">
      <c r="I229" s="133"/>
      <c r="J229" s="133"/>
      <c r="K229" s="133"/>
    </row>
    <row r="230">
      <c r="I230" s="133"/>
      <c r="J230" s="133"/>
      <c r="K230" s="133"/>
    </row>
    <row r="231">
      <c r="I231" s="133"/>
      <c r="J231" s="133"/>
      <c r="K231" s="133"/>
    </row>
    <row r="232">
      <c r="I232" s="133"/>
      <c r="J232" s="133"/>
      <c r="K232" s="133"/>
    </row>
    <row r="233">
      <c r="I233" s="133"/>
      <c r="J233" s="133"/>
      <c r="K233" s="133"/>
    </row>
    <row r="234">
      <c r="I234" s="133"/>
      <c r="J234" s="133"/>
      <c r="K234" s="133"/>
    </row>
    <row r="235">
      <c r="I235" s="133"/>
      <c r="J235" s="133"/>
      <c r="K235" s="133"/>
    </row>
    <row r="236">
      <c r="I236" s="133"/>
      <c r="J236" s="133"/>
      <c r="K236" s="133"/>
    </row>
    <row r="237">
      <c r="I237" s="133"/>
      <c r="J237" s="133"/>
      <c r="K237" s="133"/>
    </row>
    <row r="238">
      <c r="I238" s="133"/>
      <c r="J238" s="133"/>
      <c r="K238" s="133"/>
    </row>
    <row r="239">
      <c r="I239" s="133"/>
      <c r="J239" s="133"/>
      <c r="K239" s="133"/>
    </row>
    <row r="240">
      <c r="I240" s="133"/>
      <c r="J240" s="133"/>
      <c r="K240" s="133"/>
    </row>
    <row r="241">
      <c r="I241" s="133"/>
      <c r="J241" s="133"/>
      <c r="K241" s="133"/>
    </row>
    <row r="242">
      <c r="I242" s="133"/>
      <c r="J242" s="133"/>
      <c r="K242" s="133"/>
    </row>
    <row r="243">
      <c r="I243" s="133"/>
      <c r="J243" s="133"/>
      <c r="K243" s="133"/>
    </row>
    <row r="244">
      <c r="I244" s="133"/>
      <c r="J244" s="133"/>
      <c r="K244" s="133"/>
    </row>
    <row r="245">
      <c r="I245" s="133"/>
      <c r="J245" s="133"/>
      <c r="K245" s="133"/>
    </row>
    <row r="246">
      <c r="I246" s="133"/>
      <c r="J246" s="133"/>
      <c r="K246" s="133"/>
    </row>
    <row r="247">
      <c r="I247" s="133"/>
      <c r="J247" s="133"/>
      <c r="K247" s="133"/>
    </row>
    <row r="248">
      <c r="I248" s="133"/>
      <c r="J248" s="133"/>
      <c r="K248" s="133"/>
    </row>
    <row r="249">
      <c r="I249" s="133"/>
      <c r="J249" s="133"/>
      <c r="K249" s="133"/>
    </row>
    <row r="250">
      <c r="I250" s="133"/>
      <c r="J250" s="133"/>
      <c r="K250" s="133"/>
    </row>
    <row r="251">
      <c r="I251" s="133"/>
      <c r="J251" s="133"/>
      <c r="K251" s="133"/>
    </row>
    <row r="252">
      <c r="I252" s="133"/>
      <c r="J252" s="133"/>
      <c r="K252" s="133"/>
    </row>
    <row r="253">
      <c r="I253" s="133"/>
      <c r="J253" s="133"/>
      <c r="K253" s="133"/>
    </row>
    <row r="254">
      <c r="I254" s="133"/>
      <c r="J254" s="133"/>
      <c r="K254" s="133"/>
    </row>
    <row r="255">
      <c r="I255" s="133"/>
      <c r="J255" s="133"/>
      <c r="K255" s="133"/>
    </row>
    <row r="256">
      <c r="I256" s="133"/>
      <c r="J256" s="133"/>
      <c r="K256" s="133"/>
    </row>
    <row r="257">
      <c r="I257" s="133"/>
      <c r="J257" s="133"/>
      <c r="K257" s="133"/>
    </row>
    <row r="258">
      <c r="I258" s="133"/>
      <c r="J258" s="133"/>
      <c r="K258" s="133"/>
    </row>
    <row r="259">
      <c r="I259" s="133"/>
      <c r="J259" s="133"/>
      <c r="K259" s="133"/>
    </row>
    <row r="260">
      <c r="I260" s="133"/>
      <c r="J260" s="133"/>
      <c r="K260" s="133"/>
    </row>
    <row r="261">
      <c r="I261" s="133"/>
      <c r="J261" s="133"/>
      <c r="K261" s="133"/>
    </row>
    <row r="262">
      <c r="I262" s="133"/>
      <c r="J262" s="133"/>
      <c r="K262" s="133"/>
    </row>
    <row r="263">
      <c r="I263" s="133"/>
      <c r="J263" s="133"/>
      <c r="K263" s="133"/>
    </row>
    <row r="264">
      <c r="I264" s="133"/>
      <c r="J264" s="133"/>
      <c r="K264" s="133"/>
    </row>
    <row r="265">
      <c r="I265" s="133"/>
      <c r="J265" s="133"/>
      <c r="K265" s="133"/>
    </row>
    <row r="266">
      <c r="I266" s="133"/>
      <c r="J266" s="133"/>
      <c r="K266" s="133"/>
    </row>
    <row r="267">
      <c r="I267" s="133"/>
      <c r="J267" s="133"/>
      <c r="K267" s="133"/>
    </row>
    <row r="268">
      <c r="I268" s="133"/>
      <c r="J268" s="133"/>
      <c r="K268" s="133"/>
    </row>
    <row r="269">
      <c r="I269" s="133"/>
      <c r="J269" s="133"/>
      <c r="K269" s="133"/>
    </row>
    <row r="270">
      <c r="I270" s="133"/>
      <c r="J270" s="133"/>
      <c r="K270" s="133"/>
    </row>
    <row r="271">
      <c r="I271" s="133"/>
      <c r="J271" s="133"/>
      <c r="K271" s="133"/>
    </row>
    <row r="272">
      <c r="I272" s="133"/>
      <c r="J272" s="133"/>
      <c r="K272" s="133"/>
    </row>
    <row r="273">
      <c r="I273" s="133"/>
      <c r="J273" s="133"/>
      <c r="K273" s="133"/>
    </row>
    <row r="274">
      <c r="I274" s="133"/>
      <c r="J274" s="133"/>
      <c r="K274" s="133"/>
    </row>
    <row r="275">
      <c r="I275" s="133"/>
      <c r="J275" s="133"/>
      <c r="K275" s="133"/>
    </row>
    <row r="276">
      <c r="I276" s="133"/>
      <c r="J276" s="133"/>
      <c r="K276" s="133"/>
    </row>
    <row r="277">
      <c r="I277" s="133"/>
      <c r="J277" s="133"/>
      <c r="K277" s="133"/>
    </row>
    <row r="278">
      <c r="I278" s="133"/>
      <c r="J278" s="133"/>
      <c r="K278" s="133"/>
    </row>
    <row r="279">
      <c r="I279" s="133"/>
      <c r="J279" s="133"/>
      <c r="K279" s="133"/>
    </row>
    <row r="280">
      <c r="I280" s="133"/>
      <c r="J280" s="133"/>
      <c r="K280" s="133"/>
    </row>
    <row r="281">
      <c r="I281" s="133"/>
      <c r="J281" s="133"/>
      <c r="K281" s="133"/>
    </row>
    <row r="282">
      <c r="I282" s="133"/>
      <c r="J282" s="133"/>
      <c r="K282" s="133"/>
    </row>
    <row r="283">
      <c r="I283" s="133"/>
      <c r="J283" s="133"/>
      <c r="K283" s="133"/>
    </row>
    <row r="284">
      <c r="I284" s="133"/>
      <c r="J284" s="133"/>
      <c r="K284" s="133"/>
    </row>
    <row r="285">
      <c r="I285" s="133"/>
      <c r="J285" s="133"/>
      <c r="K285" s="133"/>
    </row>
    <row r="286">
      <c r="I286" s="133"/>
      <c r="J286" s="133"/>
      <c r="K286" s="133"/>
    </row>
    <row r="287">
      <c r="I287" s="133"/>
      <c r="J287" s="133"/>
      <c r="K287" s="133"/>
    </row>
    <row r="288">
      <c r="I288" s="133"/>
      <c r="J288" s="133"/>
      <c r="K288" s="133"/>
    </row>
    <row r="289">
      <c r="I289" s="133"/>
      <c r="J289" s="133"/>
      <c r="K289" s="133"/>
    </row>
    <row r="290">
      <c r="I290" s="133"/>
      <c r="J290" s="133"/>
      <c r="K290" s="133"/>
    </row>
    <row r="291">
      <c r="I291" s="133"/>
      <c r="J291" s="133"/>
      <c r="K291" s="133"/>
    </row>
    <row r="292">
      <c r="I292" s="133"/>
      <c r="J292" s="133"/>
      <c r="K292" s="133"/>
    </row>
    <row r="293">
      <c r="I293" s="133"/>
      <c r="J293" s="133"/>
      <c r="K293" s="133"/>
    </row>
    <row r="294">
      <c r="I294" s="133"/>
      <c r="J294" s="133"/>
      <c r="K294" s="133"/>
    </row>
    <row r="295">
      <c r="I295" s="133"/>
      <c r="J295" s="133"/>
      <c r="K295" s="133"/>
    </row>
    <row r="296">
      <c r="I296" s="133"/>
      <c r="J296" s="133"/>
      <c r="K296" s="133"/>
    </row>
    <row r="297">
      <c r="I297" s="133"/>
      <c r="J297" s="133"/>
      <c r="K297" s="133"/>
    </row>
    <row r="298">
      <c r="I298" s="133"/>
      <c r="J298" s="133"/>
      <c r="K298" s="133"/>
    </row>
    <row r="299">
      <c r="I299" s="133"/>
      <c r="J299" s="133"/>
      <c r="K299" s="133"/>
    </row>
    <row r="300">
      <c r="I300" s="133"/>
      <c r="J300" s="133"/>
      <c r="K300" s="133"/>
    </row>
    <row r="301">
      <c r="I301" s="133"/>
      <c r="J301" s="133"/>
      <c r="K301" s="133"/>
    </row>
    <row r="302">
      <c r="I302" s="133"/>
      <c r="J302" s="133"/>
      <c r="K302" s="133"/>
    </row>
    <row r="303">
      <c r="I303" s="133"/>
      <c r="J303" s="133"/>
      <c r="K303" s="133"/>
    </row>
    <row r="304">
      <c r="I304" s="133"/>
      <c r="J304" s="133"/>
      <c r="K304" s="133"/>
    </row>
    <row r="305">
      <c r="I305" s="133"/>
      <c r="J305" s="133"/>
      <c r="K305" s="133"/>
    </row>
    <row r="306">
      <c r="I306" s="133"/>
      <c r="J306" s="133"/>
      <c r="K306" s="133"/>
    </row>
    <row r="307">
      <c r="I307" s="133"/>
      <c r="J307" s="133"/>
      <c r="K307" s="133"/>
    </row>
    <row r="308">
      <c r="I308" s="133"/>
      <c r="J308" s="133"/>
      <c r="K308" s="133"/>
    </row>
    <row r="309">
      <c r="I309" s="133"/>
      <c r="J309" s="133"/>
      <c r="K309" s="133"/>
    </row>
    <row r="310">
      <c r="I310" s="133"/>
      <c r="J310" s="133"/>
      <c r="K310" s="133"/>
    </row>
    <row r="311">
      <c r="I311" s="133"/>
      <c r="J311" s="133"/>
      <c r="K311" s="133"/>
    </row>
    <row r="312">
      <c r="I312" s="133"/>
      <c r="J312" s="133"/>
      <c r="K312" s="133"/>
    </row>
    <row r="313">
      <c r="I313" s="133"/>
      <c r="J313" s="133"/>
      <c r="K313" s="133"/>
    </row>
    <row r="314">
      <c r="I314" s="133"/>
      <c r="J314" s="133"/>
      <c r="K314" s="133"/>
    </row>
    <row r="315">
      <c r="I315" s="133"/>
      <c r="J315" s="133"/>
      <c r="K315" s="133"/>
    </row>
    <row r="316">
      <c r="I316" s="133"/>
      <c r="J316" s="133"/>
      <c r="K316" s="133"/>
    </row>
    <row r="317">
      <c r="I317" s="133"/>
      <c r="J317" s="133"/>
      <c r="K317" s="133"/>
    </row>
    <row r="318">
      <c r="I318" s="133"/>
      <c r="J318" s="133"/>
      <c r="K318" s="133"/>
    </row>
    <row r="319">
      <c r="I319" s="133"/>
      <c r="J319" s="133"/>
      <c r="K319" s="133"/>
    </row>
    <row r="320">
      <c r="I320" s="133"/>
      <c r="J320" s="133"/>
      <c r="K320" s="133"/>
    </row>
    <row r="321">
      <c r="I321" s="133"/>
      <c r="J321" s="133"/>
      <c r="K321" s="133"/>
    </row>
    <row r="322">
      <c r="I322" s="133"/>
      <c r="J322" s="133"/>
      <c r="K322" s="133"/>
    </row>
    <row r="323">
      <c r="I323" s="133"/>
      <c r="J323" s="133"/>
      <c r="K323" s="133"/>
    </row>
    <row r="324">
      <c r="I324" s="133"/>
      <c r="J324" s="133"/>
      <c r="K324" s="133"/>
    </row>
    <row r="325">
      <c r="I325" s="133"/>
      <c r="J325" s="133"/>
      <c r="K325" s="133"/>
    </row>
    <row r="326">
      <c r="I326" s="133"/>
      <c r="J326" s="133"/>
      <c r="K326" s="133"/>
    </row>
    <row r="327">
      <c r="I327" s="133"/>
      <c r="J327" s="133"/>
      <c r="K327" s="133"/>
    </row>
    <row r="328">
      <c r="I328" s="133"/>
      <c r="J328" s="133"/>
      <c r="K328" s="133"/>
    </row>
    <row r="329">
      <c r="I329" s="133"/>
      <c r="J329" s="133"/>
      <c r="K329" s="133"/>
    </row>
    <row r="330">
      <c r="I330" s="133"/>
      <c r="J330" s="133"/>
      <c r="K330" s="133"/>
    </row>
    <row r="331">
      <c r="I331" s="133"/>
      <c r="J331" s="133"/>
      <c r="K331" s="133"/>
    </row>
    <row r="332">
      <c r="I332" s="133"/>
      <c r="J332" s="133"/>
      <c r="K332" s="133"/>
    </row>
    <row r="333">
      <c r="I333" s="133"/>
      <c r="J333" s="133"/>
      <c r="K333" s="133"/>
    </row>
    <row r="334">
      <c r="I334" s="133"/>
      <c r="J334" s="133"/>
      <c r="K334" s="133"/>
    </row>
    <row r="335">
      <c r="I335" s="133"/>
      <c r="J335" s="133"/>
      <c r="K335" s="133"/>
    </row>
    <row r="336">
      <c r="I336" s="133"/>
      <c r="J336" s="133"/>
      <c r="K336" s="133"/>
    </row>
    <row r="337">
      <c r="I337" s="133"/>
      <c r="J337" s="133"/>
      <c r="K337" s="133"/>
    </row>
    <row r="338">
      <c r="I338" s="133"/>
      <c r="J338" s="133"/>
      <c r="K338" s="133"/>
    </row>
    <row r="339">
      <c r="I339" s="133"/>
      <c r="J339" s="133"/>
      <c r="K339" s="133"/>
    </row>
    <row r="340">
      <c r="I340" s="133"/>
      <c r="J340" s="133"/>
      <c r="K340" s="133"/>
    </row>
    <row r="341">
      <c r="I341" s="133"/>
      <c r="J341" s="133"/>
      <c r="K341" s="133"/>
    </row>
    <row r="342">
      <c r="I342" s="133"/>
      <c r="J342" s="133"/>
      <c r="K342" s="133"/>
    </row>
    <row r="343">
      <c r="I343" s="133"/>
      <c r="J343" s="133"/>
      <c r="K343" s="133"/>
    </row>
    <row r="344">
      <c r="I344" s="133"/>
      <c r="J344" s="133"/>
      <c r="K344" s="133"/>
    </row>
    <row r="345">
      <c r="I345" s="133"/>
      <c r="J345" s="133"/>
      <c r="K345" s="133"/>
    </row>
    <row r="346">
      <c r="I346" s="133"/>
      <c r="J346" s="133"/>
      <c r="K346" s="133"/>
    </row>
    <row r="347">
      <c r="I347" s="133"/>
      <c r="J347" s="133"/>
      <c r="K347" s="133"/>
    </row>
    <row r="348">
      <c r="I348" s="133"/>
      <c r="J348" s="133"/>
      <c r="K348" s="133"/>
    </row>
    <row r="349">
      <c r="I349" s="133"/>
      <c r="J349" s="133"/>
      <c r="K349" s="133"/>
    </row>
    <row r="350">
      <c r="I350" s="133"/>
      <c r="J350" s="133"/>
      <c r="K350" s="133"/>
    </row>
    <row r="351">
      <c r="I351" s="133"/>
      <c r="J351" s="133"/>
      <c r="K351" s="133"/>
    </row>
    <row r="352">
      <c r="I352" s="133"/>
      <c r="J352" s="133"/>
      <c r="K352" s="133"/>
    </row>
    <row r="353">
      <c r="I353" s="133"/>
      <c r="J353" s="133"/>
      <c r="K353" s="133"/>
    </row>
    <row r="354">
      <c r="I354" s="133"/>
      <c r="J354" s="133"/>
      <c r="K354" s="133"/>
    </row>
    <row r="355">
      <c r="I355" s="133"/>
      <c r="J355" s="133"/>
      <c r="K355" s="133"/>
    </row>
    <row r="356">
      <c r="I356" s="133"/>
      <c r="J356" s="133"/>
      <c r="K356" s="133"/>
    </row>
    <row r="357">
      <c r="I357" s="133"/>
      <c r="J357" s="133"/>
      <c r="K357" s="133"/>
    </row>
    <row r="358">
      <c r="I358" s="133"/>
      <c r="J358" s="133"/>
      <c r="K358" s="133"/>
    </row>
    <row r="359">
      <c r="I359" s="133"/>
      <c r="J359" s="133"/>
      <c r="K359" s="133"/>
    </row>
    <row r="360">
      <c r="I360" s="133"/>
      <c r="J360" s="133"/>
      <c r="K360" s="133"/>
    </row>
    <row r="361">
      <c r="I361" s="133"/>
      <c r="J361" s="133"/>
      <c r="K361" s="133"/>
    </row>
    <row r="362">
      <c r="I362" s="133"/>
      <c r="J362" s="133"/>
      <c r="K362" s="133"/>
    </row>
    <row r="363">
      <c r="I363" s="133"/>
      <c r="J363" s="133"/>
      <c r="K363" s="133"/>
    </row>
    <row r="364">
      <c r="I364" s="133"/>
      <c r="J364" s="133"/>
      <c r="K364" s="133"/>
    </row>
    <row r="365">
      <c r="I365" s="133"/>
      <c r="J365" s="133"/>
      <c r="K365" s="133"/>
    </row>
    <row r="366">
      <c r="I366" s="133"/>
      <c r="J366" s="133"/>
      <c r="K366" s="133"/>
    </row>
    <row r="367">
      <c r="I367" s="133"/>
      <c r="J367" s="133"/>
      <c r="K367" s="133"/>
    </row>
    <row r="368">
      <c r="I368" s="133"/>
      <c r="J368" s="133"/>
      <c r="K368" s="133"/>
    </row>
    <row r="369">
      <c r="I369" s="133"/>
      <c r="J369" s="133"/>
      <c r="K369" s="133"/>
    </row>
    <row r="370">
      <c r="I370" s="133"/>
      <c r="J370" s="133"/>
      <c r="K370" s="133"/>
    </row>
    <row r="371">
      <c r="I371" s="133"/>
      <c r="J371" s="133"/>
      <c r="K371" s="133"/>
    </row>
    <row r="372">
      <c r="I372" s="133"/>
      <c r="J372" s="133"/>
      <c r="K372" s="133"/>
    </row>
    <row r="373">
      <c r="I373" s="133"/>
      <c r="J373" s="133"/>
      <c r="K373" s="133"/>
    </row>
    <row r="374">
      <c r="I374" s="133"/>
      <c r="J374" s="133"/>
      <c r="K374" s="133"/>
    </row>
    <row r="375">
      <c r="I375" s="133"/>
      <c r="J375" s="133"/>
      <c r="K375" s="133"/>
    </row>
    <row r="376">
      <c r="I376" s="133"/>
      <c r="J376" s="133"/>
      <c r="K376" s="133"/>
    </row>
    <row r="377">
      <c r="I377" s="133"/>
      <c r="J377" s="133"/>
      <c r="K377" s="133"/>
    </row>
    <row r="378">
      <c r="I378" s="133"/>
      <c r="J378" s="133"/>
      <c r="K378" s="133"/>
    </row>
    <row r="379">
      <c r="I379" s="133"/>
      <c r="J379" s="133"/>
      <c r="K379" s="133"/>
    </row>
    <row r="380">
      <c r="I380" s="133"/>
      <c r="J380" s="133"/>
      <c r="K380" s="133"/>
    </row>
    <row r="381">
      <c r="I381" s="133"/>
      <c r="J381" s="133"/>
      <c r="K381" s="133"/>
    </row>
    <row r="382">
      <c r="I382" s="133"/>
      <c r="J382" s="133"/>
      <c r="K382" s="133"/>
    </row>
    <row r="383">
      <c r="I383" s="133"/>
      <c r="J383" s="133"/>
      <c r="K383" s="133"/>
    </row>
    <row r="384">
      <c r="I384" s="133"/>
      <c r="J384" s="133"/>
      <c r="K384" s="133"/>
    </row>
    <row r="385">
      <c r="I385" s="133"/>
      <c r="J385" s="133"/>
      <c r="K385" s="133"/>
    </row>
    <row r="386">
      <c r="I386" s="133"/>
      <c r="J386" s="133"/>
      <c r="K386" s="133"/>
    </row>
    <row r="387">
      <c r="I387" s="133"/>
      <c r="J387" s="133"/>
      <c r="K387" s="133"/>
    </row>
    <row r="388">
      <c r="I388" s="133"/>
      <c r="J388" s="133"/>
      <c r="K388" s="133"/>
    </row>
    <row r="389">
      <c r="I389" s="133"/>
      <c r="J389" s="133"/>
      <c r="K389" s="133"/>
    </row>
    <row r="390">
      <c r="I390" s="133"/>
      <c r="J390" s="133"/>
      <c r="K390" s="133"/>
    </row>
    <row r="391">
      <c r="I391" s="133"/>
      <c r="J391" s="133"/>
      <c r="K391" s="133"/>
    </row>
    <row r="392">
      <c r="I392" s="133"/>
      <c r="J392" s="133"/>
      <c r="K392" s="133"/>
    </row>
    <row r="393">
      <c r="I393" s="133"/>
      <c r="J393" s="133"/>
      <c r="K393" s="133"/>
    </row>
    <row r="394">
      <c r="I394" s="133"/>
      <c r="J394" s="133"/>
      <c r="K394" s="133"/>
    </row>
    <row r="395">
      <c r="I395" s="133"/>
      <c r="J395" s="133"/>
      <c r="K395" s="133"/>
    </row>
    <row r="396">
      <c r="I396" s="133"/>
      <c r="J396" s="133"/>
      <c r="K396" s="133"/>
    </row>
    <row r="397">
      <c r="I397" s="133"/>
      <c r="J397" s="133"/>
      <c r="K397" s="133"/>
    </row>
    <row r="398">
      <c r="I398" s="133"/>
      <c r="J398" s="133"/>
      <c r="K398" s="133"/>
    </row>
    <row r="399">
      <c r="I399" s="133"/>
      <c r="J399" s="133"/>
      <c r="K399" s="133"/>
    </row>
    <row r="400">
      <c r="I400" s="133"/>
      <c r="J400" s="133"/>
      <c r="K400" s="133"/>
    </row>
    <row r="401">
      <c r="I401" s="133"/>
      <c r="J401" s="133"/>
      <c r="K401" s="133"/>
    </row>
    <row r="402">
      <c r="I402" s="133"/>
      <c r="J402" s="133"/>
      <c r="K402" s="133"/>
    </row>
    <row r="403">
      <c r="I403" s="133"/>
      <c r="J403" s="133"/>
      <c r="K403" s="133"/>
    </row>
    <row r="404">
      <c r="I404" s="133"/>
      <c r="J404" s="133"/>
      <c r="K404" s="133"/>
    </row>
    <row r="405">
      <c r="I405" s="133"/>
      <c r="J405" s="133"/>
      <c r="K405" s="133"/>
    </row>
    <row r="406">
      <c r="I406" s="133"/>
      <c r="J406" s="133"/>
      <c r="K406" s="133"/>
    </row>
    <row r="407">
      <c r="I407" s="133"/>
      <c r="J407" s="133"/>
      <c r="K407" s="133"/>
    </row>
    <row r="408">
      <c r="I408" s="133"/>
      <c r="J408" s="133"/>
      <c r="K408" s="133"/>
    </row>
    <row r="409">
      <c r="I409" s="133"/>
      <c r="J409" s="133"/>
      <c r="K409" s="133"/>
    </row>
    <row r="410">
      <c r="I410" s="133"/>
      <c r="J410" s="133"/>
      <c r="K410" s="133"/>
    </row>
    <row r="411">
      <c r="I411" s="133"/>
      <c r="J411" s="133"/>
      <c r="K411" s="133"/>
    </row>
    <row r="412">
      <c r="I412" s="133"/>
      <c r="J412" s="133"/>
      <c r="K412" s="133"/>
    </row>
    <row r="413">
      <c r="I413" s="133"/>
      <c r="J413" s="133"/>
      <c r="K413" s="133"/>
    </row>
    <row r="414">
      <c r="I414" s="133"/>
      <c r="J414" s="133"/>
      <c r="K414" s="133"/>
    </row>
    <row r="415">
      <c r="I415" s="133"/>
      <c r="J415" s="133"/>
      <c r="K415" s="133"/>
    </row>
    <row r="416">
      <c r="I416" s="133"/>
      <c r="J416" s="133"/>
      <c r="K416" s="133"/>
    </row>
    <row r="417">
      <c r="I417" s="133"/>
      <c r="J417" s="133"/>
      <c r="K417" s="133"/>
    </row>
    <row r="418">
      <c r="I418" s="133"/>
      <c r="J418" s="133"/>
      <c r="K418" s="133"/>
    </row>
    <row r="419">
      <c r="I419" s="133"/>
      <c r="J419" s="133"/>
      <c r="K419" s="133"/>
    </row>
    <row r="420">
      <c r="I420" s="133"/>
      <c r="J420" s="133"/>
      <c r="K420" s="133"/>
    </row>
    <row r="421">
      <c r="I421" s="133"/>
      <c r="J421" s="133"/>
      <c r="K421" s="133"/>
    </row>
    <row r="422">
      <c r="I422" s="133"/>
      <c r="J422" s="133"/>
      <c r="K422" s="133"/>
    </row>
    <row r="423">
      <c r="I423" s="133"/>
      <c r="J423" s="133"/>
      <c r="K423" s="133"/>
    </row>
    <row r="424">
      <c r="I424" s="133"/>
      <c r="J424" s="133"/>
      <c r="K424" s="133"/>
    </row>
    <row r="425">
      <c r="I425" s="133"/>
      <c r="J425" s="133"/>
      <c r="K425" s="133"/>
    </row>
    <row r="426">
      <c r="I426" s="133"/>
      <c r="J426" s="133"/>
      <c r="K426" s="133"/>
    </row>
    <row r="427">
      <c r="I427" s="133"/>
      <c r="J427" s="133"/>
      <c r="K427" s="133"/>
    </row>
    <row r="428">
      <c r="I428" s="133"/>
      <c r="J428" s="133"/>
      <c r="K428" s="133"/>
    </row>
    <row r="429">
      <c r="I429" s="133"/>
      <c r="J429" s="133"/>
      <c r="K429" s="133"/>
    </row>
    <row r="430">
      <c r="I430" s="133"/>
      <c r="J430" s="133"/>
      <c r="K430" s="133"/>
    </row>
    <row r="431">
      <c r="I431" s="133"/>
      <c r="J431" s="133"/>
      <c r="K431" s="133"/>
    </row>
    <row r="432">
      <c r="I432" s="133"/>
      <c r="J432" s="133"/>
      <c r="K432" s="133"/>
    </row>
    <row r="433">
      <c r="I433" s="133"/>
      <c r="J433" s="133"/>
      <c r="K433" s="133"/>
    </row>
    <row r="434">
      <c r="I434" s="133"/>
      <c r="J434" s="133"/>
      <c r="K434" s="133"/>
    </row>
    <row r="435">
      <c r="I435" s="133"/>
      <c r="J435" s="133"/>
      <c r="K435" s="133"/>
    </row>
    <row r="436">
      <c r="I436" s="133"/>
      <c r="J436" s="133"/>
      <c r="K436" s="133"/>
    </row>
    <row r="437">
      <c r="I437" s="133"/>
      <c r="J437" s="133"/>
      <c r="K437" s="133"/>
    </row>
    <row r="438">
      <c r="I438" s="133"/>
      <c r="J438" s="133"/>
      <c r="K438" s="133"/>
    </row>
    <row r="439">
      <c r="I439" s="133"/>
      <c r="J439" s="133"/>
      <c r="K439" s="133"/>
    </row>
    <row r="440">
      <c r="I440" s="133"/>
      <c r="J440" s="133"/>
      <c r="K440" s="133"/>
    </row>
    <row r="441">
      <c r="I441" s="133"/>
      <c r="J441" s="133"/>
      <c r="K441" s="133"/>
    </row>
    <row r="442">
      <c r="I442" s="133"/>
      <c r="J442" s="133"/>
      <c r="K442" s="133"/>
    </row>
    <row r="443">
      <c r="I443" s="133"/>
      <c r="J443" s="133"/>
      <c r="K443" s="133"/>
    </row>
    <row r="444">
      <c r="I444" s="133"/>
      <c r="J444" s="133"/>
      <c r="K444" s="133"/>
    </row>
    <row r="445">
      <c r="I445" s="133"/>
      <c r="J445" s="133"/>
      <c r="K445" s="133"/>
    </row>
    <row r="446">
      <c r="I446" s="133"/>
      <c r="J446" s="133"/>
      <c r="K446" s="133"/>
    </row>
    <row r="447">
      <c r="I447" s="133"/>
      <c r="J447" s="133"/>
      <c r="K447" s="133"/>
    </row>
    <row r="448">
      <c r="I448" s="133"/>
      <c r="J448" s="133"/>
      <c r="K448" s="133"/>
    </row>
    <row r="449">
      <c r="I449" s="133"/>
      <c r="J449" s="133"/>
      <c r="K449" s="133"/>
    </row>
    <row r="450">
      <c r="I450" s="133"/>
      <c r="J450" s="133"/>
      <c r="K450" s="133"/>
    </row>
    <row r="451">
      <c r="I451" s="133"/>
      <c r="J451" s="133"/>
      <c r="K451" s="133"/>
    </row>
    <row r="452">
      <c r="I452" s="133"/>
      <c r="J452" s="133"/>
      <c r="K452" s="133"/>
    </row>
    <row r="453">
      <c r="I453" s="133"/>
      <c r="J453" s="133"/>
      <c r="K453" s="133"/>
    </row>
    <row r="454">
      <c r="I454" s="133"/>
      <c r="J454" s="133"/>
      <c r="K454" s="133"/>
    </row>
    <row r="455">
      <c r="I455" s="133"/>
      <c r="J455" s="133"/>
      <c r="K455" s="133"/>
    </row>
    <row r="456">
      <c r="I456" s="133"/>
      <c r="J456" s="133"/>
      <c r="K456" s="133"/>
    </row>
    <row r="457">
      <c r="I457" s="133"/>
      <c r="J457" s="133"/>
      <c r="K457" s="133"/>
    </row>
    <row r="458">
      <c r="I458" s="133"/>
      <c r="J458" s="133"/>
      <c r="K458" s="133"/>
    </row>
    <row r="459">
      <c r="I459" s="133"/>
      <c r="J459" s="133"/>
      <c r="K459" s="133"/>
    </row>
    <row r="460">
      <c r="I460" s="133"/>
      <c r="J460" s="133"/>
      <c r="K460" s="133"/>
    </row>
    <row r="461">
      <c r="I461" s="133"/>
      <c r="J461" s="133"/>
      <c r="K461" s="133"/>
    </row>
    <row r="462">
      <c r="I462" s="133"/>
      <c r="J462" s="133"/>
      <c r="K462" s="133"/>
    </row>
    <row r="463">
      <c r="I463" s="133"/>
      <c r="J463" s="133"/>
      <c r="K463" s="133"/>
    </row>
    <row r="464">
      <c r="I464" s="133"/>
      <c r="J464" s="133"/>
      <c r="K464" s="133"/>
    </row>
    <row r="465">
      <c r="I465" s="133"/>
      <c r="J465" s="133"/>
      <c r="K465" s="133"/>
    </row>
    <row r="466">
      <c r="I466" s="133"/>
      <c r="J466" s="133"/>
      <c r="K466" s="133"/>
    </row>
    <row r="467">
      <c r="I467" s="133"/>
      <c r="J467" s="133"/>
      <c r="K467" s="133"/>
    </row>
    <row r="468">
      <c r="I468" s="133"/>
      <c r="J468" s="133"/>
      <c r="K468" s="133"/>
    </row>
    <row r="469">
      <c r="I469" s="133"/>
      <c r="J469" s="133"/>
      <c r="K469" s="133"/>
    </row>
    <row r="470">
      <c r="I470" s="133"/>
      <c r="J470" s="133"/>
      <c r="K470" s="133"/>
    </row>
    <row r="471">
      <c r="I471" s="133"/>
      <c r="J471" s="133"/>
      <c r="K471" s="133"/>
    </row>
    <row r="472">
      <c r="I472" s="133"/>
      <c r="J472" s="133"/>
      <c r="K472" s="133"/>
    </row>
    <row r="473">
      <c r="I473" s="133"/>
      <c r="J473" s="133"/>
      <c r="K473" s="133"/>
    </row>
    <row r="474">
      <c r="I474" s="133"/>
      <c r="J474" s="133"/>
      <c r="K474" s="133"/>
    </row>
    <row r="475">
      <c r="I475" s="133"/>
      <c r="J475" s="133"/>
      <c r="K475" s="133"/>
    </row>
    <row r="476">
      <c r="I476" s="133"/>
      <c r="J476" s="133"/>
      <c r="K476" s="133"/>
    </row>
    <row r="477">
      <c r="I477" s="133"/>
      <c r="J477" s="133"/>
      <c r="K477" s="133"/>
    </row>
    <row r="478">
      <c r="I478" s="133"/>
      <c r="J478" s="133"/>
      <c r="K478" s="133"/>
    </row>
    <row r="479">
      <c r="I479" s="133"/>
      <c r="J479" s="133"/>
      <c r="K479" s="133"/>
    </row>
    <row r="480">
      <c r="I480" s="133"/>
      <c r="J480" s="133"/>
      <c r="K480" s="133"/>
    </row>
    <row r="481">
      <c r="I481" s="133"/>
      <c r="J481" s="133"/>
      <c r="K481" s="133"/>
    </row>
    <row r="482">
      <c r="I482" s="133"/>
      <c r="J482" s="133"/>
      <c r="K482" s="133"/>
    </row>
    <row r="483">
      <c r="I483" s="133"/>
      <c r="J483" s="133"/>
      <c r="K483" s="133"/>
    </row>
    <row r="484">
      <c r="I484" s="133"/>
      <c r="J484" s="133"/>
      <c r="K484" s="133"/>
    </row>
    <row r="485">
      <c r="I485" s="133"/>
      <c r="J485" s="133"/>
      <c r="K485" s="133"/>
    </row>
    <row r="486">
      <c r="I486" s="133"/>
      <c r="J486" s="133"/>
      <c r="K486" s="133"/>
    </row>
    <row r="487">
      <c r="I487" s="133"/>
      <c r="J487" s="133"/>
      <c r="K487" s="133"/>
    </row>
    <row r="488">
      <c r="I488" s="133"/>
      <c r="J488" s="133"/>
      <c r="K488" s="133"/>
    </row>
    <row r="489">
      <c r="I489" s="133"/>
      <c r="J489" s="133"/>
      <c r="K489" s="133"/>
    </row>
    <row r="490">
      <c r="I490" s="133"/>
      <c r="J490" s="133"/>
      <c r="K490" s="133"/>
    </row>
    <row r="491">
      <c r="I491" s="133"/>
      <c r="J491" s="133"/>
      <c r="K491" s="133"/>
    </row>
    <row r="492">
      <c r="I492" s="133"/>
      <c r="J492" s="133"/>
      <c r="K492" s="133"/>
    </row>
    <row r="493">
      <c r="I493" s="133"/>
      <c r="J493" s="133"/>
      <c r="K493" s="133"/>
    </row>
    <row r="494">
      <c r="I494" s="133"/>
      <c r="J494" s="133"/>
      <c r="K494" s="133"/>
    </row>
    <row r="495">
      <c r="I495" s="133"/>
      <c r="J495" s="133"/>
      <c r="K495" s="133"/>
    </row>
    <row r="496">
      <c r="I496" s="133"/>
      <c r="J496" s="133"/>
      <c r="K496" s="133"/>
    </row>
    <row r="497">
      <c r="I497" s="133"/>
      <c r="J497" s="133"/>
      <c r="K497" s="133"/>
    </row>
    <row r="498">
      <c r="I498" s="133"/>
      <c r="J498" s="133"/>
      <c r="K498" s="133"/>
    </row>
    <row r="499">
      <c r="I499" s="133"/>
      <c r="J499" s="133"/>
      <c r="K499" s="133"/>
    </row>
    <row r="500">
      <c r="I500" s="133"/>
      <c r="J500" s="133"/>
      <c r="K500" s="133"/>
    </row>
    <row r="501">
      <c r="I501" s="133"/>
      <c r="J501" s="133"/>
      <c r="K501" s="133"/>
    </row>
    <row r="502">
      <c r="I502" s="133"/>
      <c r="J502" s="133"/>
      <c r="K502" s="133"/>
    </row>
    <row r="503">
      <c r="I503" s="133"/>
      <c r="J503" s="133"/>
      <c r="K503" s="133"/>
    </row>
    <row r="504">
      <c r="I504" s="133"/>
      <c r="J504" s="133"/>
      <c r="K504" s="133"/>
    </row>
    <row r="505">
      <c r="I505" s="133"/>
      <c r="J505" s="133"/>
      <c r="K505" s="133"/>
    </row>
    <row r="506">
      <c r="I506" s="133"/>
      <c r="J506" s="133"/>
      <c r="K506" s="133"/>
    </row>
    <row r="507">
      <c r="I507" s="133"/>
      <c r="J507" s="133"/>
      <c r="K507" s="133"/>
    </row>
    <row r="508">
      <c r="I508" s="133"/>
      <c r="J508" s="133"/>
      <c r="K508" s="133"/>
    </row>
    <row r="509">
      <c r="I509" s="133"/>
      <c r="J509" s="133"/>
      <c r="K509" s="133"/>
    </row>
    <row r="510">
      <c r="I510" s="133"/>
      <c r="J510" s="133"/>
      <c r="K510" s="133"/>
    </row>
    <row r="511">
      <c r="I511" s="133"/>
      <c r="J511" s="133"/>
      <c r="K511" s="133"/>
    </row>
    <row r="512">
      <c r="I512" s="133"/>
      <c r="J512" s="133"/>
      <c r="K512" s="133"/>
    </row>
    <row r="513">
      <c r="I513" s="133"/>
      <c r="J513" s="133"/>
      <c r="K513" s="133"/>
    </row>
    <row r="514">
      <c r="I514" s="133"/>
      <c r="J514" s="133"/>
      <c r="K514" s="133"/>
    </row>
    <row r="515">
      <c r="I515" s="133"/>
      <c r="J515" s="133"/>
      <c r="K515" s="133"/>
    </row>
    <row r="516">
      <c r="I516" s="133"/>
      <c r="J516" s="133"/>
      <c r="K516" s="133"/>
    </row>
    <row r="517">
      <c r="I517" s="133"/>
      <c r="J517" s="133"/>
      <c r="K517" s="133"/>
    </row>
    <row r="518">
      <c r="I518" s="133"/>
      <c r="J518" s="133"/>
      <c r="K518" s="133"/>
    </row>
    <row r="519">
      <c r="I519" s="133"/>
      <c r="J519" s="133"/>
      <c r="K519" s="133"/>
    </row>
    <row r="520">
      <c r="I520" s="133"/>
      <c r="J520" s="133"/>
      <c r="K520" s="133"/>
    </row>
    <row r="521">
      <c r="I521" s="133"/>
      <c r="J521" s="133"/>
      <c r="K521" s="133"/>
    </row>
    <row r="522">
      <c r="I522" s="133"/>
      <c r="J522" s="133"/>
      <c r="K522" s="133"/>
    </row>
    <row r="523">
      <c r="I523" s="133"/>
      <c r="J523" s="133"/>
      <c r="K523" s="133"/>
    </row>
    <row r="524">
      <c r="I524" s="133"/>
      <c r="J524" s="133"/>
      <c r="K524" s="133"/>
    </row>
    <row r="525">
      <c r="I525" s="133"/>
      <c r="J525" s="133"/>
      <c r="K525" s="133"/>
    </row>
    <row r="526">
      <c r="I526" s="133"/>
      <c r="J526" s="133"/>
      <c r="K526" s="133"/>
    </row>
    <row r="527">
      <c r="I527" s="133"/>
      <c r="J527" s="133"/>
      <c r="K527" s="133"/>
    </row>
    <row r="528">
      <c r="I528" s="133"/>
      <c r="J528" s="133"/>
      <c r="K528" s="133"/>
    </row>
    <row r="529">
      <c r="I529" s="133"/>
      <c r="J529" s="133"/>
      <c r="K529" s="133"/>
    </row>
    <row r="530">
      <c r="I530" s="133"/>
      <c r="J530" s="133"/>
      <c r="K530" s="133"/>
    </row>
    <row r="531">
      <c r="I531" s="133"/>
      <c r="J531" s="133"/>
      <c r="K531" s="133"/>
    </row>
    <row r="532">
      <c r="I532" s="133"/>
      <c r="J532" s="133"/>
      <c r="K532" s="133"/>
    </row>
    <row r="533">
      <c r="I533" s="133"/>
      <c r="J533" s="133"/>
      <c r="K533" s="133"/>
    </row>
    <row r="534">
      <c r="I534" s="133"/>
      <c r="J534" s="133"/>
      <c r="K534" s="133"/>
    </row>
    <row r="535">
      <c r="I535" s="133"/>
      <c r="J535" s="133"/>
      <c r="K535" s="133"/>
    </row>
    <row r="536">
      <c r="I536" s="133"/>
      <c r="J536" s="133"/>
      <c r="K536" s="133"/>
    </row>
    <row r="537">
      <c r="I537" s="133"/>
      <c r="J537" s="133"/>
      <c r="K537" s="133"/>
    </row>
    <row r="538">
      <c r="I538" s="133"/>
      <c r="J538" s="133"/>
      <c r="K538" s="133"/>
    </row>
    <row r="539">
      <c r="I539" s="133"/>
      <c r="J539" s="133"/>
      <c r="K539" s="133"/>
    </row>
    <row r="540">
      <c r="I540" s="133"/>
      <c r="J540" s="133"/>
      <c r="K540" s="133"/>
    </row>
    <row r="541">
      <c r="I541" s="133"/>
      <c r="J541" s="133"/>
      <c r="K541" s="133"/>
    </row>
    <row r="542">
      <c r="I542" s="133"/>
      <c r="J542" s="133"/>
      <c r="K542" s="133"/>
    </row>
    <row r="543">
      <c r="I543" s="133"/>
      <c r="J543" s="133"/>
      <c r="K543" s="133"/>
    </row>
    <row r="544">
      <c r="I544" s="133"/>
      <c r="J544" s="133"/>
      <c r="K544" s="133"/>
    </row>
    <row r="545">
      <c r="I545" s="133"/>
      <c r="J545" s="133"/>
      <c r="K545" s="133"/>
    </row>
    <row r="546">
      <c r="I546" s="133"/>
      <c r="J546" s="133"/>
      <c r="K546" s="133"/>
    </row>
    <row r="547">
      <c r="I547" s="133"/>
      <c r="J547" s="133"/>
      <c r="K547" s="133"/>
    </row>
    <row r="548">
      <c r="I548" s="133"/>
      <c r="J548" s="133"/>
      <c r="K548" s="133"/>
    </row>
    <row r="549">
      <c r="I549" s="133"/>
      <c r="J549" s="133"/>
      <c r="K549" s="133"/>
    </row>
    <row r="550">
      <c r="I550" s="133"/>
      <c r="J550" s="133"/>
      <c r="K550" s="133"/>
    </row>
    <row r="551">
      <c r="I551" s="133"/>
      <c r="J551" s="133"/>
      <c r="K551" s="133"/>
    </row>
    <row r="552">
      <c r="I552" s="133"/>
      <c r="J552" s="133"/>
      <c r="K552" s="133"/>
    </row>
    <row r="553">
      <c r="I553" s="133"/>
      <c r="J553" s="133"/>
      <c r="K553" s="133"/>
    </row>
    <row r="554">
      <c r="I554" s="133"/>
      <c r="J554" s="133"/>
      <c r="K554" s="133"/>
    </row>
    <row r="555">
      <c r="I555" s="133"/>
      <c r="J555" s="133"/>
      <c r="K555" s="133"/>
    </row>
    <row r="556">
      <c r="I556" s="133"/>
      <c r="J556" s="133"/>
      <c r="K556" s="133"/>
    </row>
    <row r="557">
      <c r="I557" s="133"/>
      <c r="J557" s="133"/>
      <c r="K557" s="133"/>
    </row>
    <row r="558">
      <c r="I558" s="133"/>
      <c r="J558" s="133"/>
      <c r="K558" s="133"/>
    </row>
    <row r="559">
      <c r="I559" s="133"/>
      <c r="J559" s="133"/>
      <c r="K559" s="133"/>
    </row>
    <row r="560">
      <c r="I560" s="133"/>
      <c r="J560" s="133"/>
      <c r="K560" s="133"/>
    </row>
    <row r="561">
      <c r="I561" s="133"/>
      <c r="J561" s="133"/>
      <c r="K561" s="133"/>
    </row>
    <row r="562">
      <c r="I562" s="133"/>
      <c r="J562" s="133"/>
      <c r="K562" s="133"/>
    </row>
    <row r="563">
      <c r="I563" s="133"/>
      <c r="J563" s="133"/>
      <c r="K563" s="133"/>
    </row>
    <row r="564">
      <c r="I564" s="133"/>
      <c r="J564" s="133"/>
      <c r="K564" s="133"/>
    </row>
    <row r="565">
      <c r="I565" s="133"/>
      <c r="J565" s="133"/>
      <c r="K565" s="133"/>
    </row>
    <row r="566">
      <c r="I566" s="133"/>
      <c r="J566" s="133"/>
      <c r="K566" s="133"/>
    </row>
    <row r="567">
      <c r="I567" s="133"/>
      <c r="J567" s="133"/>
      <c r="K567" s="133"/>
    </row>
    <row r="568">
      <c r="I568" s="133"/>
      <c r="J568" s="133"/>
      <c r="K568" s="133"/>
    </row>
    <row r="569">
      <c r="I569" s="133"/>
      <c r="J569" s="133"/>
      <c r="K569" s="133"/>
    </row>
    <row r="570">
      <c r="I570" s="133"/>
      <c r="J570" s="133"/>
      <c r="K570" s="133"/>
    </row>
    <row r="571">
      <c r="I571" s="133"/>
      <c r="J571" s="133"/>
      <c r="K571" s="133"/>
    </row>
    <row r="572">
      <c r="I572" s="133"/>
      <c r="J572" s="133"/>
      <c r="K572" s="133"/>
    </row>
    <row r="573">
      <c r="I573" s="133"/>
      <c r="J573" s="133"/>
      <c r="K573" s="133"/>
    </row>
    <row r="574">
      <c r="I574" s="133"/>
      <c r="J574" s="133"/>
      <c r="K574" s="133"/>
    </row>
    <row r="575">
      <c r="I575" s="133"/>
      <c r="J575" s="133"/>
      <c r="K575" s="133"/>
    </row>
    <row r="576">
      <c r="I576" s="133"/>
      <c r="J576" s="133"/>
      <c r="K576" s="133"/>
    </row>
    <row r="577">
      <c r="I577" s="133"/>
      <c r="J577" s="133"/>
      <c r="K577" s="133"/>
    </row>
    <row r="578">
      <c r="I578" s="133"/>
      <c r="J578" s="133"/>
      <c r="K578" s="133"/>
    </row>
    <row r="579">
      <c r="I579" s="133"/>
      <c r="J579" s="133"/>
      <c r="K579" s="133"/>
    </row>
    <row r="580">
      <c r="I580" s="133"/>
      <c r="J580" s="133"/>
      <c r="K580" s="133"/>
    </row>
    <row r="581">
      <c r="I581" s="133"/>
      <c r="J581" s="133"/>
      <c r="K581" s="133"/>
    </row>
    <row r="582">
      <c r="I582" s="133"/>
      <c r="J582" s="133"/>
      <c r="K582" s="133"/>
    </row>
    <row r="583">
      <c r="I583" s="133"/>
      <c r="J583" s="133"/>
      <c r="K583" s="133"/>
    </row>
    <row r="584">
      <c r="I584" s="133"/>
      <c r="J584" s="133"/>
      <c r="K584" s="133"/>
    </row>
    <row r="585">
      <c r="I585" s="133"/>
      <c r="J585" s="133"/>
      <c r="K585" s="133"/>
    </row>
    <row r="586">
      <c r="I586" s="133"/>
      <c r="J586" s="133"/>
      <c r="K586" s="133"/>
    </row>
    <row r="587">
      <c r="I587" s="133"/>
      <c r="J587" s="133"/>
      <c r="K587" s="133"/>
    </row>
    <row r="588">
      <c r="I588" s="133"/>
      <c r="J588" s="133"/>
      <c r="K588" s="133"/>
    </row>
    <row r="589">
      <c r="I589" s="133"/>
      <c r="J589" s="133"/>
      <c r="K589" s="133"/>
    </row>
    <row r="590">
      <c r="I590" s="133"/>
      <c r="J590" s="133"/>
      <c r="K590" s="133"/>
    </row>
    <row r="591">
      <c r="I591" s="133"/>
      <c r="J591" s="133"/>
      <c r="K591" s="133"/>
    </row>
    <row r="592">
      <c r="I592" s="133"/>
      <c r="J592" s="133"/>
      <c r="K592" s="133"/>
    </row>
    <row r="593">
      <c r="I593" s="133"/>
      <c r="J593" s="133"/>
      <c r="K593" s="133"/>
    </row>
    <row r="594">
      <c r="I594" s="133"/>
      <c r="J594" s="133"/>
      <c r="K594" s="133"/>
    </row>
    <row r="595">
      <c r="I595" s="133"/>
      <c r="J595" s="133"/>
      <c r="K595" s="133"/>
    </row>
    <row r="596">
      <c r="I596" s="133"/>
      <c r="J596" s="133"/>
      <c r="K596" s="133"/>
    </row>
    <row r="597">
      <c r="I597" s="133"/>
      <c r="J597" s="133"/>
      <c r="K597" s="133"/>
    </row>
    <row r="598">
      <c r="I598" s="133"/>
      <c r="J598" s="133"/>
      <c r="K598" s="133"/>
    </row>
    <row r="599">
      <c r="I599" s="133"/>
      <c r="J599" s="133"/>
      <c r="K599" s="133"/>
    </row>
    <row r="600">
      <c r="I600" s="133"/>
      <c r="J600" s="133"/>
      <c r="K600" s="133"/>
    </row>
    <row r="601">
      <c r="I601" s="133"/>
      <c r="J601" s="133"/>
      <c r="K601" s="133"/>
    </row>
    <row r="602">
      <c r="I602" s="133"/>
      <c r="J602" s="133"/>
      <c r="K602" s="133"/>
    </row>
    <row r="603">
      <c r="I603" s="133"/>
      <c r="J603" s="133"/>
      <c r="K603" s="133"/>
    </row>
    <row r="604">
      <c r="I604" s="133"/>
      <c r="J604" s="133"/>
      <c r="K604" s="133"/>
    </row>
    <row r="605">
      <c r="I605" s="133"/>
      <c r="J605" s="133"/>
      <c r="K605" s="133"/>
    </row>
    <row r="606">
      <c r="I606" s="133"/>
      <c r="J606" s="133"/>
      <c r="K606" s="133"/>
    </row>
    <row r="607">
      <c r="I607" s="133"/>
      <c r="J607" s="133"/>
      <c r="K607" s="133"/>
    </row>
    <row r="608">
      <c r="I608" s="133"/>
      <c r="J608" s="133"/>
      <c r="K608" s="133"/>
    </row>
    <row r="609">
      <c r="I609" s="133"/>
      <c r="J609" s="133"/>
      <c r="K609" s="133"/>
    </row>
    <row r="610">
      <c r="I610" s="133"/>
      <c r="J610" s="133"/>
      <c r="K610" s="133"/>
    </row>
    <row r="611">
      <c r="I611" s="133"/>
      <c r="J611" s="133"/>
      <c r="K611" s="133"/>
    </row>
    <row r="612">
      <c r="I612" s="133"/>
      <c r="J612" s="133"/>
      <c r="K612" s="133"/>
    </row>
    <row r="613">
      <c r="I613" s="133"/>
      <c r="J613" s="133"/>
      <c r="K613" s="133"/>
    </row>
    <row r="614">
      <c r="I614" s="133"/>
      <c r="J614" s="133"/>
      <c r="K614" s="133"/>
    </row>
    <row r="615">
      <c r="I615" s="133"/>
      <c r="J615" s="133"/>
      <c r="K615" s="133"/>
    </row>
    <row r="616">
      <c r="I616" s="133"/>
      <c r="J616" s="133"/>
      <c r="K616" s="133"/>
    </row>
    <row r="617">
      <c r="I617" s="133"/>
      <c r="J617" s="133"/>
      <c r="K617" s="133"/>
    </row>
    <row r="618">
      <c r="I618" s="133"/>
      <c r="J618" s="133"/>
      <c r="K618" s="133"/>
    </row>
    <row r="619">
      <c r="I619" s="133"/>
      <c r="J619" s="133"/>
      <c r="K619" s="133"/>
    </row>
    <row r="620">
      <c r="I620" s="133"/>
      <c r="J620" s="133"/>
      <c r="K620" s="133"/>
    </row>
    <row r="621">
      <c r="I621" s="133"/>
      <c r="J621" s="133"/>
      <c r="K621" s="133"/>
    </row>
    <row r="622">
      <c r="I622" s="133"/>
      <c r="J622" s="133"/>
      <c r="K622" s="133"/>
    </row>
    <row r="623">
      <c r="I623" s="133"/>
      <c r="J623" s="133"/>
      <c r="K623" s="133"/>
    </row>
    <row r="624">
      <c r="I624" s="133"/>
      <c r="J624" s="133"/>
      <c r="K624" s="133"/>
    </row>
    <row r="625">
      <c r="I625" s="133"/>
      <c r="J625" s="133"/>
      <c r="K625" s="133"/>
    </row>
    <row r="626">
      <c r="I626" s="133"/>
      <c r="J626" s="133"/>
      <c r="K626" s="133"/>
    </row>
    <row r="627">
      <c r="I627" s="133"/>
      <c r="J627" s="133"/>
      <c r="K627" s="133"/>
    </row>
    <row r="628">
      <c r="I628" s="133"/>
      <c r="J628" s="133"/>
      <c r="K628" s="133"/>
    </row>
    <row r="629">
      <c r="I629" s="133"/>
      <c r="J629" s="133"/>
      <c r="K629" s="133"/>
    </row>
    <row r="630">
      <c r="I630" s="133"/>
      <c r="J630" s="133"/>
      <c r="K630" s="133"/>
    </row>
    <row r="631">
      <c r="I631" s="133"/>
      <c r="J631" s="133"/>
      <c r="K631" s="133"/>
    </row>
    <row r="632">
      <c r="I632" s="133"/>
      <c r="J632" s="133"/>
      <c r="K632" s="133"/>
    </row>
    <row r="633">
      <c r="I633" s="133"/>
      <c r="J633" s="133"/>
      <c r="K633" s="133"/>
    </row>
    <row r="634">
      <c r="I634" s="133"/>
      <c r="J634" s="133"/>
      <c r="K634" s="133"/>
    </row>
    <row r="635">
      <c r="I635" s="133"/>
      <c r="J635" s="133"/>
      <c r="K635" s="133"/>
    </row>
    <row r="636">
      <c r="I636" s="133"/>
      <c r="J636" s="133"/>
      <c r="K636" s="133"/>
    </row>
    <row r="637">
      <c r="I637" s="133"/>
      <c r="J637" s="133"/>
      <c r="K637" s="133"/>
    </row>
    <row r="638">
      <c r="I638" s="133"/>
      <c r="J638" s="133"/>
      <c r="K638" s="133"/>
    </row>
    <row r="639">
      <c r="I639" s="133"/>
      <c r="J639" s="133"/>
      <c r="K639" s="133"/>
    </row>
    <row r="640">
      <c r="I640" s="133"/>
      <c r="J640" s="133"/>
      <c r="K640" s="133"/>
    </row>
    <row r="641">
      <c r="I641" s="133"/>
      <c r="J641" s="133"/>
      <c r="K641" s="133"/>
    </row>
    <row r="642">
      <c r="I642" s="133"/>
      <c r="J642" s="133"/>
      <c r="K642" s="133"/>
    </row>
    <row r="643">
      <c r="I643" s="133"/>
      <c r="J643" s="133"/>
      <c r="K643" s="133"/>
    </row>
    <row r="644">
      <c r="I644" s="133"/>
      <c r="J644" s="133"/>
      <c r="K644" s="133"/>
    </row>
    <row r="645">
      <c r="I645" s="133"/>
      <c r="J645" s="133"/>
      <c r="K645" s="133"/>
    </row>
    <row r="646">
      <c r="I646" s="133"/>
      <c r="J646" s="133"/>
      <c r="K646" s="133"/>
    </row>
    <row r="647">
      <c r="I647" s="133"/>
      <c r="J647" s="133"/>
      <c r="K647" s="133"/>
    </row>
    <row r="648">
      <c r="I648" s="133"/>
      <c r="J648" s="133"/>
      <c r="K648" s="133"/>
    </row>
    <row r="649">
      <c r="I649" s="133"/>
      <c r="J649" s="133"/>
      <c r="K649" s="133"/>
    </row>
    <row r="650">
      <c r="I650" s="133"/>
      <c r="J650" s="133"/>
      <c r="K650" s="133"/>
    </row>
    <row r="651">
      <c r="I651" s="133"/>
      <c r="J651" s="133"/>
      <c r="K651" s="133"/>
    </row>
    <row r="652">
      <c r="I652" s="133"/>
      <c r="J652" s="133"/>
      <c r="K652" s="133"/>
    </row>
    <row r="653">
      <c r="I653" s="133"/>
      <c r="J653" s="133"/>
      <c r="K653" s="133"/>
    </row>
    <row r="654">
      <c r="I654" s="133"/>
      <c r="J654" s="133"/>
      <c r="K654" s="133"/>
    </row>
    <row r="655">
      <c r="I655" s="133"/>
      <c r="J655" s="133"/>
      <c r="K655" s="133"/>
    </row>
    <row r="656">
      <c r="I656" s="133"/>
      <c r="J656" s="133"/>
      <c r="K656" s="133"/>
    </row>
    <row r="657">
      <c r="I657" s="133"/>
      <c r="J657" s="133"/>
      <c r="K657" s="133"/>
    </row>
    <row r="658">
      <c r="I658" s="133"/>
      <c r="J658" s="133"/>
      <c r="K658" s="133"/>
    </row>
    <row r="659">
      <c r="I659" s="133"/>
      <c r="J659" s="133"/>
      <c r="K659" s="133"/>
    </row>
    <row r="660">
      <c r="I660" s="133"/>
      <c r="J660" s="133"/>
      <c r="K660" s="133"/>
    </row>
    <row r="661">
      <c r="I661" s="133"/>
      <c r="J661" s="133"/>
      <c r="K661" s="133"/>
    </row>
    <row r="662">
      <c r="I662" s="133"/>
      <c r="J662" s="133"/>
      <c r="K662" s="133"/>
    </row>
    <row r="663">
      <c r="I663" s="133"/>
      <c r="J663" s="133"/>
      <c r="K663" s="133"/>
    </row>
    <row r="664">
      <c r="I664" s="133"/>
      <c r="J664" s="133"/>
      <c r="K664" s="133"/>
    </row>
    <row r="665">
      <c r="I665" s="133"/>
      <c r="J665" s="133"/>
      <c r="K665" s="133"/>
    </row>
    <row r="666">
      <c r="I666" s="133"/>
      <c r="J666" s="133"/>
      <c r="K666" s="133"/>
    </row>
    <row r="667">
      <c r="I667" s="133"/>
      <c r="J667" s="133"/>
      <c r="K667" s="133"/>
    </row>
    <row r="668">
      <c r="I668" s="133"/>
      <c r="J668" s="133"/>
      <c r="K668" s="133"/>
    </row>
    <row r="669">
      <c r="I669" s="133"/>
      <c r="J669" s="133"/>
      <c r="K669" s="133"/>
    </row>
    <row r="670">
      <c r="I670" s="133"/>
      <c r="J670" s="133"/>
      <c r="K670" s="133"/>
    </row>
    <row r="671">
      <c r="I671" s="133"/>
      <c r="J671" s="133"/>
      <c r="K671" s="133"/>
    </row>
    <row r="672">
      <c r="I672" s="133"/>
      <c r="J672" s="133"/>
      <c r="K672" s="133"/>
    </row>
    <row r="673">
      <c r="I673" s="133"/>
      <c r="J673" s="133"/>
      <c r="K673" s="133"/>
    </row>
    <row r="674">
      <c r="I674" s="133"/>
      <c r="J674" s="133"/>
      <c r="K674" s="133"/>
    </row>
    <row r="675">
      <c r="I675" s="133"/>
      <c r="J675" s="133"/>
      <c r="K675" s="133"/>
    </row>
    <row r="676">
      <c r="I676" s="133"/>
      <c r="J676" s="133"/>
      <c r="K676" s="133"/>
    </row>
    <row r="677">
      <c r="I677" s="133"/>
      <c r="J677" s="133"/>
      <c r="K677" s="133"/>
    </row>
    <row r="678">
      <c r="I678" s="133"/>
      <c r="J678" s="133"/>
      <c r="K678" s="133"/>
    </row>
    <row r="679">
      <c r="I679" s="133"/>
      <c r="J679" s="133"/>
      <c r="K679" s="133"/>
    </row>
    <row r="680">
      <c r="I680" s="133"/>
      <c r="J680" s="133"/>
      <c r="K680" s="133"/>
    </row>
    <row r="681">
      <c r="I681" s="133"/>
      <c r="J681" s="133"/>
      <c r="K681" s="133"/>
    </row>
    <row r="682">
      <c r="I682" s="133"/>
      <c r="J682" s="133"/>
      <c r="K682" s="133"/>
    </row>
    <row r="683">
      <c r="I683" s="133"/>
      <c r="J683" s="133"/>
      <c r="K683" s="133"/>
    </row>
    <row r="684">
      <c r="I684" s="133"/>
      <c r="J684" s="133"/>
      <c r="K684" s="133"/>
    </row>
    <row r="685">
      <c r="I685" s="133"/>
      <c r="J685" s="133"/>
      <c r="K685" s="133"/>
    </row>
    <row r="686">
      <c r="I686" s="133"/>
      <c r="J686" s="133"/>
      <c r="K686" s="133"/>
    </row>
    <row r="687">
      <c r="I687" s="133"/>
      <c r="J687" s="133"/>
      <c r="K687" s="133"/>
    </row>
    <row r="688">
      <c r="I688" s="133"/>
      <c r="J688" s="133"/>
      <c r="K688" s="133"/>
    </row>
    <row r="689">
      <c r="I689" s="133"/>
      <c r="J689" s="133"/>
      <c r="K689" s="133"/>
    </row>
    <row r="690">
      <c r="I690" s="133"/>
      <c r="J690" s="133"/>
      <c r="K690" s="133"/>
    </row>
    <row r="691">
      <c r="I691" s="133"/>
      <c r="J691" s="133"/>
      <c r="K691" s="133"/>
    </row>
    <row r="692">
      <c r="I692" s="133"/>
      <c r="J692" s="133"/>
      <c r="K692" s="133"/>
    </row>
    <row r="693">
      <c r="I693" s="133"/>
      <c r="J693" s="133"/>
      <c r="K693" s="133"/>
    </row>
    <row r="694">
      <c r="I694" s="133"/>
      <c r="J694" s="133"/>
      <c r="K694" s="133"/>
    </row>
    <row r="695">
      <c r="I695" s="133"/>
      <c r="J695" s="133"/>
      <c r="K695" s="133"/>
    </row>
    <row r="696">
      <c r="I696" s="133"/>
      <c r="J696" s="133"/>
      <c r="K696" s="133"/>
    </row>
    <row r="697">
      <c r="I697" s="133"/>
      <c r="J697" s="133"/>
      <c r="K697" s="133"/>
    </row>
    <row r="698">
      <c r="I698" s="133"/>
      <c r="J698" s="133"/>
      <c r="K698" s="133"/>
    </row>
    <row r="699">
      <c r="I699" s="133"/>
      <c r="J699" s="133"/>
      <c r="K699" s="133"/>
    </row>
    <row r="700">
      <c r="I700" s="133"/>
      <c r="J700" s="133"/>
      <c r="K700" s="133"/>
    </row>
    <row r="701">
      <c r="I701" s="133"/>
      <c r="J701" s="133"/>
      <c r="K701" s="133"/>
    </row>
    <row r="702">
      <c r="I702" s="133"/>
      <c r="J702" s="133"/>
      <c r="K702" s="133"/>
    </row>
    <row r="703">
      <c r="I703" s="133"/>
      <c r="J703" s="133"/>
      <c r="K703" s="133"/>
    </row>
    <row r="704">
      <c r="I704" s="133"/>
      <c r="J704" s="133"/>
      <c r="K704" s="133"/>
    </row>
    <row r="705">
      <c r="I705" s="133"/>
      <c r="J705" s="133"/>
      <c r="K705" s="133"/>
    </row>
    <row r="706">
      <c r="I706" s="133"/>
      <c r="J706" s="133"/>
      <c r="K706" s="133"/>
    </row>
    <row r="707">
      <c r="I707" s="133"/>
      <c r="J707" s="133"/>
      <c r="K707" s="133"/>
    </row>
    <row r="708">
      <c r="I708" s="133"/>
      <c r="J708" s="133"/>
      <c r="K708" s="133"/>
    </row>
    <row r="709">
      <c r="I709" s="133"/>
      <c r="J709" s="133"/>
      <c r="K709" s="133"/>
    </row>
    <row r="710">
      <c r="I710" s="133"/>
      <c r="J710" s="133"/>
      <c r="K710" s="133"/>
    </row>
    <row r="711">
      <c r="I711" s="133"/>
      <c r="J711" s="133"/>
      <c r="K711" s="133"/>
    </row>
    <row r="712">
      <c r="I712" s="133"/>
      <c r="J712" s="133"/>
      <c r="K712" s="133"/>
    </row>
    <row r="713">
      <c r="I713" s="133"/>
      <c r="J713" s="133"/>
      <c r="K713" s="133"/>
    </row>
    <row r="714">
      <c r="I714" s="133"/>
      <c r="J714" s="133"/>
      <c r="K714" s="133"/>
    </row>
    <row r="715">
      <c r="I715" s="133"/>
      <c r="J715" s="133"/>
      <c r="K715" s="133"/>
    </row>
    <row r="716">
      <c r="I716" s="133"/>
      <c r="J716" s="133"/>
      <c r="K716" s="133"/>
    </row>
    <row r="717">
      <c r="I717" s="133"/>
      <c r="J717" s="133"/>
      <c r="K717" s="133"/>
    </row>
    <row r="718">
      <c r="I718" s="133"/>
      <c r="J718" s="133"/>
      <c r="K718" s="133"/>
    </row>
    <row r="719">
      <c r="I719" s="133"/>
      <c r="J719" s="133"/>
      <c r="K719" s="133"/>
    </row>
    <row r="720">
      <c r="I720" s="133"/>
      <c r="J720" s="133"/>
      <c r="K720" s="133"/>
    </row>
    <row r="721">
      <c r="I721" s="133"/>
      <c r="J721" s="133"/>
      <c r="K721" s="133"/>
    </row>
    <row r="722">
      <c r="I722" s="133"/>
      <c r="J722" s="133"/>
      <c r="K722" s="133"/>
    </row>
    <row r="723">
      <c r="I723" s="133"/>
      <c r="J723" s="133"/>
      <c r="K723" s="133"/>
    </row>
    <row r="724">
      <c r="I724" s="133"/>
      <c r="J724" s="133"/>
      <c r="K724" s="133"/>
    </row>
    <row r="725">
      <c r="I725" s="133"/>
      <c r="J725" s="133"/>
      <c r="K725" s="133"/>
    </row>
    <row r="726">
      <c r="I726" s="133"/>
      <c r="J726" s="133"/>
      <c r="K726" s="133"/>
    </row>
    <row r="727">
      <c r="I727" s="133"/>
      <c r="J727" s="133"/>
      <c r="K727" s="133"/>
    </row>
    <row r="728">
      <c r="I728" s="133"/>
      <c r="J728" s="133"/>
      <c r="K728" s="133"/>
    </row>
    <row r="729">
      <c r="I729" s="133"/>
      <c r="J729" s="133"/>
      <c r="K729" s="133"/>
    </row>
    <row r="730">
      <c r="I730" s="133"/>
      <c r="J730" s="133"/>
      <c r="K730" s="133"/>
    </row>
    <row r="731">
      <c r="I731" s="133"/>
      <c r="J731" s="133"/>
      <c r="K731" s="133"/>
    </row>
    <row r="732">
      <c r="I732" s="133"/>
      <c r="J732" s="133"/>
      <c r="K732" s="133"/>
    </row>
    <row r="733">
      <c r="I733" s="133"/>
      <c r="J733" s="133"/>
      <c r="K733" s="133"/>
    </row>
    <row r="734">
      <c r="I734" s="133"/>
      <c r="J734" s="133"/>
      <c r="K734" s="133"/>
    </row>
    <row r="735">
      <c r="I735" s="133"/>
      <c r="J735" s="133"/>
      <c r="K735" s="133"/>
    </row>
    <row r="736">
      <c r="I736" s="133"/>
      <c r="J736" s="133"/>
      <c r="K736" s="133"/>
    </row>
    <row r="737">
      <c r="I737" s="133"/>
      <c r="J737" s="133"/>
      <c r="K737" s="133"/>
    </row>
    <row r="738">
      <c r="I738" s="133"/>
      <c r="J738" s="133"/>
      <c r="K738" s="133"/>
    </row>
    <row r="739">
      <c r="I739" s="133"/>
      <c r="J739" s="133"/>
      <c r="K739" s="133"/>
    </row>
    <row r="740">
      <c r="I740" s="133"/>
      <c r="J740" s="133"/>
      <c r="K740" s="133"/>
    </row>
    <row r="741">
      <c r="I741" s="133"/>
      <c r="J741" s="133"/>
      <c r="K741" s="133"/>
    </row>
    <row r="742">
      <c r="I742" s="133"/>
      <c r="J742" s="133"/>
      <c r="K742" s="133"/>
    </row>
    <row r="743">
      <c r="I743" s="133"/>
      <c r="J743" s="133"/>
      <c r="K743" s="133"/>
    </row>
    <row r="744">
      <c r="I744" s="133"/>
      <c r="J744" s="133"/>
      <c r="K744" s="133"/>
    </row>
    <row r="745">
      <c r="I745" s="133"/>
      <c r="J745" s="133"/>
      <c r="K745" s="133"/>
    </row>
    <row r="746">
      <c r="I746" s="133"/>
      <c r="J746" s="133"/>
      <c r="K746" s="133"/>
    </row>
    <row r="747">
      <c r="I747" s="133"/>
      <c r="J747" s="133"/>
      <c r="K747" s="133"/>
    </row>
    <row r="748">
      <c r="I748" s="133"/>
      <c r="J748" s="133"/>
      <c r="K748" s="133"/>
    </row>
    <row r="749">
      <c r="I749" s="133"/>
      <c r="J749" s="133"/>
      <c r="K749" s="133"/>
    </row>
    <row r="750">
      <c r="I750" s="133"/>
      <c r="J750" s="133"/>
      <c r="K750" s="133"/>
    </row>
    <row r="751">
      <c r="I751" s="133"/>
      <c r="J751" s="133"/>
      <c r="K751" s="133"/>
    </row>
    <row r="752">
      <c r="I752" s="133"/>
      <c r="J752" s="133"/>
      <c r="K752" s="133"/>
    </row>
    <row r="753">
      <c r="I753" s="133"/>
      <c r="J753" s="133"/>
      <c r="K753" s="133"/>
    </row>
    <row r="754">
      <c r="I754" s="133"/>
      <c r="J754" s="133"/>
      <c r="K754" s="133"/>
    </row>
    <row r="755">
      <c r="I755" s="133"/>
      <c r="J755" s="133"/>
      <c r="K755" s="133"/>
    </row>
    <row r="756">
      <c r="I756" s="133"/>
      <c r="J756" s="133"/>
      <c r="K756" s="133"/>
    </row>
    <row r="757">
      <c r="I757" s="133"/>
      <c r="J757" s="133"/>
      <c r="K757" s="133"/>
    </row>
    <row r="758">
      <c r="I758" s="133"/>
      <c r="J758" s="133"/>
      <c r="K758" s="133"/>
    </row>
    <row r="759">
      <c r="I759" s="133"/>
      <c r="J759" s="133"/>
      <c r="K759" s="133"/>
    </row>
    <row r="760">
      <c r="I760" s="133"/>
      <c r="J760" s="133"/>
      <c r="K760" s="133"/>
    </row>
    <row r="761">
      <c r="I761" s="133"/>
      <c r="J761" s="133"/>
      <c r="K761" s="133"/>
    </row>
    <row r="762">
      <c r="I762" s="133"/>
      <c r="J762" s="133"/>
      <c r="K762" s="133"/>
    </row>
    <row r="763">
      <c r="I763" s="133"/>
      <c r="J763" s="133"/>
      <c r="K763" s="133"/>
    </row>
    <row r="764">
      <c r="I764" s="133"/>
      <c r="J764" s="133"/>
      <c r="K764" s="133"/>
    </row>
    <row r="765">
      <c r="I765" s="133"/>
      <c r="J765" s="133"/>
      <c r="K765" s="133"/>
    </row>
    <row r="766">
      <c r="I766" s="133"/>
      <c r="J766" s="133"/>
      <c r="K766" s="133"/>
    </row>
    <row r="767">
      <c r="I767" s="133"/>
      <c r="J767" s="133"/>
      <c r="K767" s="133"/>
    </row>
    <row r="768">
      <c r="I768" s="133"/>
      <c r="J768" s="133"/>
      <c r="K768" s="133"/>
    </row>
    <row r="769">
      <c r="I769" s="133"/>
      <c r="J769" s="133"/>
      <c r="K769" s="133"/>
    </row>
    <row r="770">
      <c r="I770" s="133"/>
      <c r="J770" s="133"/>
      <c r="K770" s="133"/>
    </row>
    <row r="771">
      <c r="I771" s="133"/>
      <c r="J771" s="133"/>
      <c r="K771" s="133"/>
    </row>
    <row r="772">
      <c r="I772" s="133"/>
      <c r="J772" s="133"/>
      <c r="K772" s="133"/>
    </row>
    <row r="773">
      <c r="I773" s="133"/>
      <c r="J773" s="133"/>
      <c r="K773" s="133"/>
    </row>
    <row r="774">
      <c r="I774" s="133"/>
      <c r="J774" s="133"/>
      <c r="K774" s="133"/>
    </row>
    <row r="775">
      <c r="I775" s="133"/>
      <c r="J775" s="133"/>
      <c r="K775" s="133"/>
    </row>
    <row r="776">
      <c r="I776" s="133"/>
      <c r="J776" s="133"/>
      <c r="K776" s="133"/>
    </row>
    <row r="777">
      <c r="I777" s="133"/>
      <c r="J777" s="133"/>
      <c r="K777" s="133"/>
    </row>
    <row r="778">
      <c r="I778" s="133"/>
      <c r="J778" s="133"/>
      <c r="K778" s="133"/>
    </row>
    <row r="779">
      <c r="I779" s="133"/>
      <c r="J779" s="133"/>
      <c r="K779" s="133"/>
    </row>
    <row r="780">
      <c r="I780" s="133"/>
      <c r="J780" s="133"/>
      <c r="K780" s="133"/>
    </row>
    <row r="781">
      <c r="I781" s="133"/>
      <c r="J781" s="133"/>
      <c r="K781" s="133"/>
    </row>
    <row r="782">
      <c r="I782" s="133"/>
      <c r="J782" s="133"/>
      <c r="K782" s="133"/>
    </row>
    <row r="783">
      <c r="I783" s="133"/>
      <c r="J783" s="133"/>
      <c r="K783" s="133"/>
    </row>
    <row r="784">
      <c r="I784" s="133"/>
      <c r="J784" s="133"/>
      <c r="K784" s="133"/>
    </row>
    <row r="785">
      <c r="I785" s="133"/>
      <c r="J785" s="133"/>
      <c r="K785" s="133"/>
    </row>
    <row r="786">
      <c r="I786" s="133"/>
      <c r="J786" s="133"/>
      <c r="K786" s="133"/>
    </row>
    <row r="787">
      <c r="I787" s="133"/>
      <c r="J787" s="133"/>
      <c r="K787" s="133"/>
    </row>
    <row r="788">
      <c r="I788" s="133"/>
      <c r="J788" s="133"/>
      <c r="K788" s="133"/>
    </row>
    <row r="789">
      <c r="I789" s="133"/>
      <c r="J789" s="133"/>
      <c r="K789" s="133"/>
    </row>
    <row r="790">
      <c r="I790" s="133"/>
      <c r="J790" s="133"/>
      <c r="K790" s="133"/>
    </row>
    <row r="791">
      <c r="I791" s="133"/>
      <c r="J791" s="133"/>
      <c r="K791" s="133"/>
    </row>
    <row r="792">
      <c r="I792" s="133"/>
      <c r="J792" s="133"/>
      <c r="K792" s="133"/>
    </row>
    <row r="793">
      <c r="I793" s="133"/>
      <c r="J793" s="133"/>
      <c r="K793" s="133"/>
    </row>
    <row r="794">
      <c r="I794" s="133"/>
      <c r="J794" s="133"/>
      <c r="K794" s="133"/>
    </row>
    <row r="795">
      <c r="I795" s="133"/>
      <c r="J795" s="133"/>
      <c r="K795" s="133"/>
    </row>
    <row r="796">
      <c r="I796" s="133"/>
      <c r="J796" s="133"/>
      <c r="K796" s="133"/>
    </row>
    <row r="797">
      <c r="I797" s="133"/>
      <c r="J797" s="133"/>
      <c r="K797" s="133"/>
    </row>
    <row r="798">
      <c r="I798" s="133"/>
      <c r="J798" s="133"/>
      <c r="K798" s="133"/>
    </row>
    <row r="799">
      <c r="I799" s="133"/>
      <c r="J799" s="133"/>
      <c r="K799" s="133"/>
    </row>
    <row r="800">
      <c r="I800" s="133"/>
      <c r="J800" s="133"/>
      <c r="K800" s="133"/>
    </row>
    <row r="801">
      <c r="I801" s="133"/>
      <c r="J801" s="133"/>
      <c r="K801" s="133"/>
    </row>
    <row r="802">
      <c r="I802" s="133"/>
      <c r="J802" s="133"/>
      <c r="K802" s="133"/>
    </row>
    <row r="803">
      <c r="I803" s="133"/>
      <c r="J803" s="133"/>
      <c r="K803" s="133"/>
    </row>
    <row r="804">
      <c r="I804" s="133"/>
      <c r="J804" s="133"/>
      <c r="K804" s="133"/>
    </row>
    <row r="805">
      <c r="I805" s="133"/>
      <c r="J805" s="133"/>
      <c r="K805" s="133"/>
    </row>
    <row r="806">
      <c r="I806" s="133"/>
      <c r="J806" s="133"/>
      <c r="K806" s="133"/>
    </row>
    <row r="807">
      <c r="I807" s="133"/>
      <c r="J807" s="133"/>
      <c r="K807" s="133"/>
    </row>
    <row r="808">
      <c r="I808" s="133"/>
      <c r="J808" s="133"/>
      <c r="K808" s="133"/>
    </row>
    <row r="809">
      <c r="I809" s="133"/>
      <c r="J809" s="133"/>
      <c r="K809" s="133"/>
    </row>
    <row r="810">
      <c r="I810" s="133"/>
      <c r="J810" s="133"/>
      <c r="K810" s="133"/>
    </row>
    <row r="811">
      <c r="I811" s="133"/>
      <c r="J811" s="133"/>
      <c r="K811" s="133"/>
    </row>
    <row r="812">
      <c r="I812" s="133"/>
      <c r="J812" s="133"/>
      <c r="K812" s="133"/>
    </row>
    <row r="813">
      <c r="I813" s="133"/>
      <c r="J813" s="133"/>
      <c r="K813" s="133"/>
    </row>
    <row r="814">
      <c r="I814" s="133"/>
      <c r="J814" s="133"/>
      <c r="K814" s="133"/>
    </row>
    <row r="815">
      <c r="I815" s="133"/>
      <c r="J815" s="133"/>
      <c r="K815" s="133"/>
    </row>
    <row r="816">
      <c r="I816" s="133"/>
      <c r="J816" s="133"/>
      <c r="K816" s="133"/>
    </row>
    <row r="817">
      <c r="I817" s="133"/>
      <c r="J817" s="133"/>
      <c r="K817" s="133"/>
    </row>
    <row r="818">
      <c r="I818" s="133"/>
      <c r="J818" s="133"/>
      <c r="K818" s="133"/>
    </row>
    <row r="819">
      <c r="I819" s="133"/>
      <c r="J819" s="133"/>
      <c r="K819" s="133"/>
    </row>
    <row r="820">
      <c r="I820" s="133"/>
      <c r="J820" s="133"/>
      <c r="K820" s="133"/>
    </row>
    <row r="821">
      <c r="I821" s="133"/>
      <c r="J821" s="133"/>
      <c r="K821" s="133"/>
    </row>
    <row r="822">
      <c r="I822" s="133"/>
      <c r="J822" s="133"/>
      <c r="K822" s="133"/>
    </row>
    <row r="823">
      <c r="I823" s="133"/>
      <c r="J823" s="133"/>
      <c r="K823" s="133"/>
    </row>
    <row r="824">
      <c r="I824" s="133"/>
      <c r="J824" s="133"/>
      <c r="K824" s="133"/>
    </row>
    <row r="825">
      <c r="I825" s="133"/>
      <c r="J825" s="133"/>
      <c r="K825" s="133"/>
    </row>
    <row r="826">
      <c r="I826" s="133"/>
      <c r="J826" s="133"/>
      <c r="K826" s="133"/>
    </row>
    <row r="827">
      <c r="I827" s="133"/>
      <c r="J827" s="133"/>
      <c r="K827" s="133"/>
    </row>
    <row r="828">
      <c r="I828" s="133"/>
      <c r="J828" s="133"/>
      <c r="K828" s="133"/>
    </row>
    <row r="829">
      <c r="I829" s="133"/>
      <c r="J829" s="133"/>
      <c r="K829" s="133"/>
    </row>
    <row r="830">
      <c r="I830" s="133"/>
      <c r="J830" s="133"/>
      <c r="K830" s="133"/>
    </row>
    <row r="831">
      <c r="I831" s="133"/>
      <c r="J831" s="133"/>
      <c r="K831" s="133"/>
    </row>
    <row r="832">
      <c r="I832" s="133"/>
      <c r="J832" s="133"/>
      <c r="K832" s="133"/>
    </row>
    <row r="833">
      <c r="I833" s="133"/>
      <c r="J833" s="133"/>
      <c r="K833" s="133"/>
    </row>
    <row r="834">
      <c r="I834" s="133"/>
      <c r="J834" s="133"/>
      <c r="K834" s="133"/>
    </row>
    <row r="835">
      <c r="I835" s="133"/>
      <c r="J835" s="133"/>
      <c r="K835" s="133"/>
    </row>
    <row r="836">
      <c r="I836" s="133"/>
      <c r="J836" s="133"/>
      <c r="K836" s="133"/>
    </row>
    <row r="837">
      <c r="I837" s="133"/>
      <c r="J837" s="133"/>
      <c r="K837" s="133"/>
    </row>
    <row r="838">
      <c r="I838" s="133"/>
      <c r="J838" s="133"/>
      <c r="K838" s="133"/>
    </row>
    <row r="839">
      <c r="I839" s="133"/>
      <c r="J839" s="133"/>
      <c r="K839" s="133"/>
    </row>
    <row r="840">
      <c r="I840" s="133"/>
      <c r="J840" s="133"/>
      <c r="K840" s="133"/>
    </row>
    <row r="841">
      <c r="I841" s="133"/>
      <c r="J841" s="133"/>
      <c r="K841" s="133"/>
    </row>
    <row r="842">
      <c r="I842" s="133"/>
      <c r="J842" s="133"/>
      <c r="K842" s="133"/>
    </row>
    <row r="843">
      <c r="I843" s="133"/>
      <c r="J843" s="133"/>
      <c r="K843" s="133"/>
    </row>
    <row r="844">
      <c r="I844" s="133"/>
      <c r="J844" s="133"/>
      <c r="K844" s="133"/>
    </row>
    <row r="845">
      <c r="I845" s="133"/>
      <c r="J845" s="133"/>
      <c r="K845" s="133"/>
    </row>
    <row r="846">
      <c r="I846" s="133"/>
      <c r="J846" s="133"/>
      <c r="K846" s="133"/>
    </row>
    <row r="847">
      <c r="I847" s="133"/>
      <c r="J847" s="133"/>
      <c r="K847" s="133"/>
    </row>
    <row r="848">
      <c r="I848" s="133"/>
      <c r="J848" s="133"/>
      <c r="K848" s="133"/>
    </row>
    <row r="849">
      <c r="I849" s="133"/>
      <c r="J849" s="133"/>
      <c r="K849" s="133"/>
    </row>
    <row r="850">
      <c r="I850" s="133"/>
      <c r="J850" s="133"/>
      <c r="K850" s="133"/>
    </row>
    <row r="851">
      <c r="I851" s="133"/>
      <c r="J851" s="133"/>
      <c r="K851" s="133"/>
    </row>
    <row r="852">
      <c r="I852" s="133"/>
      <c r="J852" s="133"/>
      <c r="K852" s="133"/>
    </row>
    <row r="853">
      <c r="I853" s="133"/>
      <c r="J853" s="133"/>
      <c r="K853" s="133"/>
    </row>
    <row r="854">
      <c r="I854" s="133"/>
      <c r="J854" s="133"/>
      <c r="K854" s="133"/>
    </row>
    <row r="855">
      <c r="I855" s="133"/>
      <c r="J855" s="133"/>
      <c r="K855" s="133"/>
    </row>
    <row r="856">
      <c r="I856" s="133"/>
      <c r="J856" s="133"/>
      <c r="K856" s="133"/>
    </row>
    <row r="857">
      <c r="I857" s="133"/>
      <c r="J857" s="133"/>
      <c r="K857" s="133"/>
    </row>
    <row r="858">
      <c r="I858" s="133"/>
      <c r="J858" s="133"/>
      <c r="K858" s="133"/>
    </row>
    <row r="859">
      <c r="I859" s="133"/>
      <c r="J859" s="133"/>
      <c r="K859" s="133"/>
    </row>
    <row r="860">
      <c r="I860" s="133"/>
      <c r="J860" s="133"/>
      <c r="K860" s="133"/>
    </row>
    <row r="861">
      <c r="I861" s="133"/>
      <c r="J861" s="133"/>
      <c r="K861" s="133"/>
    </row>
    <row r="862">
      <c r="I862" s="133"/>
      <c r="J862" s="133"/>
      <c r="K862" s="133"/>
    </row>
    <row r="863">
      <c r="I863" s="133"/>
      <c r="J863" s="133"/>
      <c r="K863" s="133"/>
    </row>
    <row r="864">
      <c r="I864" s="133"/>
      <c r="J864" s="133"/>
      <c r="K864" s="133"/>
    </row>
    <row r="865">
      <c r="I865" s="133"/>
      <c r="J865" s="133"/>
      <c r="K865" s="133"/>
    </row>
    <row r="866">
      <c r="I866" s="133"/>
      <c r="J866" s="133"/>
      <c r="K866" s="133"/>
    </row>
    <row r="867">
      <c r="I867" s="133"/>
      <c r="J867" s="133"/>
      <c r="K867" s="133"/>
    </row>
    <row r="868">
      <c r="I868" s="133"/>
      <c r="J868" s="133"/>
      <c r="K868" s="133"/>
    </row>
    <row r="869">
      <c r="I869" s="133"/>
      <c r="J869" s="133"/>
      <c r="K869" s="133"/>
    </row>
    <row r="870">
      <c r="I870" s="133"/>
      <c r="J870" s="133"/>
      <c r="K870" s="133"/>
    </row>
    <row r="871">
      <c r="I871" s="133"/>
      <c r="J871" s="133"/>
      <c r="K871" s="133"/>
    </row>
    <row r="872">
      <c r="I872" s="133"/>
      <c r="J872" s="133"/>
      <c r="K872" s="133"/>
    </row>
    <row r="873">
      <c r="I873" s="133"/>
      <c r="J873" s="133"/>
      <c r="K873" s="133"/>
    </row>
    <row r="874">
      <c r="I874" s="133"/>
      <c r="J874" s="133"/>
      <c r="K874" s="133"/>
    </row>
    <row r="875">
      <c r="I875" s="133"/>
      <c r="J875" s="133"/>
      <c r="K875" s="133"/>
    </row>
    <row r="876">
      <c r="I876" s="133"/>
      <c r="J876" s="133"/>
      <c r="K876" s="133"/>
    </row>
    <row r="877">
      <c r="I877" s="133"/>
      <c r="J877" s="133"/>
      <c r="K877" s="133"/>
    </row>
    <row r="878">
      <c r="I878" s="133"/>
      <c r="J878" s="133"/>
      <c r="K878" s="133"/>
    </row>
    <row r="879">
      <c r="I879" s="133"/>
      <c r="J879" s="133"/>
      <c r="K879" s="133"/>
    </row>
    <row r="880">
      <c r="I880" s="133"/>
      <c r="J880" s="133"/>
      <c r="K880" s="133"/>
    </row>
    <row r="881">
      <c r="I881" s="133"/>
      <c r="J881" s="133"/>
      <c r="K881" s="133"/>
    </row>
    <row r="882">
      <c r="I882" s="133"/>
      <c r="J882" s="133"/>
      <c r="K882" s="133"/>
    </row>
    <row r="883">
      <c r="I883" s="133"/>
      <c r="J883" s="133"/>
      <c r="K883" s="133"/>
    </row>
    <row r="884">
      <c r="I884" s="133"/>
      <c r="J884" s="133"/>
      <c r="K884" s="133"/>
    </row>
    <row r="885">
      <c r="I885" s="133"/>
      <c r="J885" s="133"/>
      <c r="K885" s="133"/>
    </row>
    <row r="886">
      <c r="I886" s="133"/>
      <c r="J886" s="133"/>
      <c r="K886" s="133"/>
    </row>
    <row r="887">
      <c r="I887" s="133"/>
      <c r="J887" s="133"/>
      <c r="K887" s="133"/>
    </row>
    <row r="888">
      <c r="I888" s="133"/>
      <c r="J888" s="133"/>
      <c r="K888" s="133"/>
    </row>
    <row r="889">
      <c r="I889" s="133"/>
      <c r="J889" s="133"/>
      <c r="K889" s="133"/>
    </row>
    <row r="890">
      <c r="I890" s="133"/>
      <c r="J890" s="133"/>
      <c r="K890" s="133"/>
    </row>
    <row r="891">
      <c r="I891" s="133"/>
      <c r="J891" s="133"/>
      <c r="K891" s="133"/>
    </row>
    <row r="892">
      <c r="I892" s="133"/>
      <c r="J892" s="133"/>
      <c r="K892" s="133"/>
    </row>
    <row r="893">
      <c r="I893" s="133"/>
      <c r="J893" s="133"/>
      <c r="K893" s="133"/>
    </row>
    <row r="894">
      <c r="I894" s="133"/>
      <c r="J894" s="133"/>
      <c r="K894" s="133"/>
    </row>
    <row r="895">
      <c r="I895" s="133"/>
      <c r="J895" s="133"/>
      <c r="K895" s="133"/>
    </row>
    <row r="896">
      <c r="I896" s="133"/>
      <c r="J896" s="133"/>
      <c r="K896" s="133"/>
    </row>
    <row r="897">
      <c r="I897" s="133"/>
      <c r="J897" s="133"/>
      <c r="K897" s="133"/>
    </row>
    <row r="898">
      <c r="I898" s="133"/>
      <c r="J898" s="133"/>
      <c r="K898" s="133"/>
    </row>
    <row r="899">
      <c r="I899" s="133"/>
      <c r="J899" s="133"/>
      <c r="K899" s="133"/>
    </row>
    <row r="900">
      <c r="I900" s="133"/>
      <c r="J900" s="133"/>
      <c r="K900" s="133"/>
    </row>
    <row r="901">
      <c r="I901" s="133"/>
      <c r="J901" s="133"/>
      <c r="K901" s="133"/>
    </row>
    <row r="902">
      <c r="I902" s="133"/>
      <c r="J902" s="133"/>
      <c r="K902" s="133"/>
    </row>
    <row r="903">
      <c r="I903" s="133"/>
      <c r="J903" s="133"/>
      <c r="K903" s="133"/>
    </row>
    <row r="904">
      <c r="I904" s="133"/>
      <c r="J904" s="133"/>
      <c r="K904" s="133"/>
    </row>
    <row r="905">
      <c r="I905" s="133"/>
      <c r="J905" s="133"/>
      <c r="K905" s="133"/>
    </row>
    <row r="906">
      <c r="I906" s="133"/>
      <c r="J906" s="133"/>
      <c r="K906" s="133"/>
    </row>
    <row r="907">
      <c r="I907" s="133"/>
      <c r="J907" s="133"/>
      <c r="K907" s="133"/>
    </row>
    <row r="908">
      <c r="I908" s="133"/>
      <c r="J908" s="133"/>
      <c r="K908" s="133"/>
    </row>
    <row r="909">
      <c r="I909" s="133"/>
      <c r="J909" s="133"/>
      <c r="K909" s="133"/>
    </row>
    <row r="910">
      <c r="I910" s="133"/>
      <c r="J910" s="133"/>
      <c r="K910" s="133"/>
    </row>
    <row r="911">
      <c r="I911" s="133"/>
      <c r="J911" s="133"/>
      <c r="K911" s="133"/>
    </row>
    <row r="912">
      <c r="I912" s="133"/>
      <c r="J912" s="133"/>
      <c r="K912" s="133"/>
    </row>
    <row r="913">
      <c r="I913" s="133"/>
      <c r="J913" s="133"/>
      <c r="K913" s="133"/>
    </row>
    <row r="914">
      <c r="I914" s="133"/>
      <c r="J914" s="133"/>
      <c r="K914" s="133"/>
    </row>
    <row r="915">
      <c r="I915" s="133"/>
      <c r="J915" s="133"/>
      <c r="K915" s="133"/>
    </row>
    <row r="916">
      <c r="I916" s="133"/>
      <c r="J916" s="133"/>
      <c r="K916" s="133"/>
    </row>
    <row r="917">
      <c r="I917" s="133"/>
      <c r="J917" s="133"/>
      <c r="K917" s="133"/>
    </row>
    <row r="918">
      <c r="I918" s="133"/>
      <c r="J918" s="133"/>
      <c r="K918" s="133"/>
    </row>
    <row r="919">
      <c r="I919" s="133"/>
      <c r="J919" s="133"/>
      <c r="K919" s="133"/>
    </row>
    <row r="920">
      <c r="I920" s="133"/>
      <c r="J920" s="133"/>
      <c r="K920" s="133"/>
    </row>
    <row r="921">
      <c r="I921" s="133"/>
      <c r="J921" s="133"/>
      <c r="K921" s="133"/>
    </row>
    <row r="922">
      <c r="I922" s="133"/>
      <c r="J922" s="133"/>
      <c r="K922" s="133"/>
    </row>
    <row r="923">
      <c r="I923" s="133"/>
      <c r="J923" s="133"/>
      <c r="K923" s="133"/>
    </row>
    <row r="924">
      <c r="I924" s="133"/>
      <c r="J924" s="133"/>
      <c r="K924" s="133"/>
    </row>
    <row r="925">
      <c r="I925" s="133"/>
      <c r="J925" s="133"/>
      <c r="K925" s="133"/>
    </row>
    <row r="926">
      <c r="I926" s="133"/>
      <c r="J926" s="133"/>
      <c r="K926" s="133"/>
    </row>
    <row r="927">
      <c r="I927" s="133"/>
      <c r="J927" s="133"/>
      <c r="K927" s="133"/>
    </row>
    <row r="928">
      <c r="I928" s="133"/>
      <c r="J928" s="133"/>
      <c r="K928" s="133"/>
    </row>
    <row r="929">
      <c r="I929" s="133"/>
      <c r="J929" s="133"/>
      <c r="K929" s="133"/>
    </row>
    <row r="930">
      <c r="I930" s="133"/>
      <c r="J930" s="133"/>
      <c r="K930" s="133"/>
    </row>
    <row r="931">
      <c r="I931" s="133"/>
      <c r="J931" s="133"/>
      <c r="K931" s="133"/>
    </row>
    <row r="932">
      <c r="I932" s="133"/>
      <c r="J932" s="133"/>
      <c r="K932" s="133"/>
    </row>
    <row r="933">
      <c r="I933" s="133"/>
      <c r="J933" s="133"/>
      <c r="K933" s="133"/>
    </row>
    <row r="934">
      <c r="I934" s="133"/>
      <c r="J934" s="133"/>
      <c r="K934" s="133"/>
    </row>
    <row r="935">
      <c r="I935" s="133"/>
      <c r="J935" s="133"/>
      <c r="K935" s="133"/>
    </row>
    <row r="936">
      <c r="I936" s="133"/>
      <c r="J936" s="133"/>
      <c r="K936" s="133"/>
    </row>
    <row r="937">
      <c r="I937" s="133"/>
      <c r="J937" s="133"/>
      <c r="K937" s="133"/>
    </row>
    <row r="938">
      <c r="I938" s="133"/>
      <c r="J938" s="133"/>
      <c r="K938" s="133"/>
    </row>
    <row r="939">
      <c r="I939" s="133"/>
      <c r="J939" s="133"/>
      <c r="K939" s="133"/>
    </row>
    <row r="940">
      <c r="I940" s="133"/>
      <c r="J940" s="133"/>
      <c r="K940" s="133"/>
    </row>
    <row r="941">
      <c r="I941" s="133"/>
      <c r="J941" s="133"/>
      <c r="K941" s="133"/>
    </row>
    <row r="942">
      <c r="I942" s="133"/>
      <c r="J942" s="133"/>
      <c r="K942" s="133"/>
    </row>
    <row r="943">
      <c r="I943" s="133"/>
      <c r="J943" s="133"/>
      <c r="K943" s="133"/>
    </row>
    <row r="944">
      <c r="I944" s="133"/>
      <c r="J944" s="133"/>
      <c r="K944" s="133"/>
    </row>
    <row r="945">
      <c r="I945" s="133"/>
      <c r="J945" s="133"/>
      <c r="K945" s="133"/>
    </row>
    <row r="946">
      <c r="I946" s="133"/>
      <c r="J946" s="133"/>
      <c r="K946" s="133"/>
    </row>
    <row r="947">
      <c r="I947" s="133"/>
      <c r="J947" s="133"/>
      <c r="K947" s="133"/>
    </row>
    <row r="948">
      <c r="I948" s="133"/>
      <c r="J948" s="133"/>
      <c r="K948" s="133"/>
    </row>
    <row r="949">
      <c r="I949" s="133"/>
      <c r="J949" s="133"/>
      <c r="K949" s="133"/>
    </row>
    <row r="950">
      <c r="I950" s="133"/>
      <c r="J950" s="133"/>
      <c r="K950" s="133"/>
    </row>
    <row r="951">
      <c r="I951" s="133"/>
      <c r="J951" s="133"/>
      <c r="K951" s="133"/>
    </row>
    <row r="952">
      <c r="I952" s="133"/>
      <c r="J952" s="133"/>
      <c r="K952" s="133"/>
    </row>
    <row r="953">
      <c r="I953" s="133"/>
      <c r="J953" s="133"/>
      <c r="K953" s="133"/>
    </row>
    <row r="954">
      <c r="I954" s="133"/>
      <c r="J954" s="133"/>
      <c r="K954" s="133"/>
    </row>
    <row r="955">
      <c r="I955" s="133"/>
      <c r="J955" s="133"/>
      <c r="K955" s="133"/>
    </row>
    <row r="956">
      <c r="I956" s="133"/>
      <c r="J956" s="133"/>
      <c r="K956" s="133"/>
    </row>
    <row r="957">
      <c r="I957" s="133"/>
      <c r="J957" s="133"/>
      <c r="K957" s="133"/>
    </row>
    <row r="958">
      <c r="I958" s="133"/>
      <c r="J958" s="133"/>
      <c r="K958" s="133"/>
    </row>
    <row r="959">
      <c r="I959" s="133"/>
      <c r="J959" s="133"/>
      <c r="K959" s="133"/>
    </row>
    <row r="960">
      <c r="I960" s="133"/>
      <c r="J960" s="133"/>
      <c r="K960" s="133"/>
    </row>
    <row r="961">
      <c r="I961" s="133"/>
      <c r="J961" s="133"/>
      <c r="K961" s="133"/>
    </row>
    <row r="962">
      <c r="I962" s="133"/>
      <c r="J962" s="133"/>
      <c r="K962" s="133"/>
    </row>
    <row r="963">
      <c r="I963" s="133"/>
      <c r="J963" s="133"/>
      <c r="K963" s="133"/>
    </row>
    <row r="964">
      <c r="I964" s="133"/>
      <c r="J964" s="133"/>
      <c r="K964" s="133"/>
    </row>
    <row r="965">
      <c r="I965" s="133"/>
      <c r="J965" s="133"/>
      <c r="K965" s="133"/>
    </row>
    <row r="966">
      <c r="I966" s="133"/>
      <c r="J966" s="133"/>
      <c r="K966" s="133"/>
    </row>
    <row r="967">
      <c r="I967" s="133"/>
      <c r="J967" s="133"/>
      <c r="K967" s="133"/>
    </row>
    <row r="968">
      <c r="I968" s="133"/>
      <c r="J968" s="133"/>
      <c r="K968" s="133"/>
    </row>
    <row r="969">
      <c r="I969" s="133"/>
      <c r="J969" s="133"/>
      <c r="K969" s="133"/>
    </row>
    <row r="970">
      <c r="I970" s="133"/>
      <c r="J970" s="133"/>
      <c r="K970" s="133"/>
    </row>
    <row r="971">
      <c r="I971" s="133"/>
      <c r="J971" s="133"/>
      <c r="K971" s="133"/>
    </row>
    <row r="972">
      <c r="I972" s="133"/>
      <c r="J972" s="133"/>
      <c r="K972" s="133"/>
    </row>
    <row r="973">
      <c r="I973" s="133"/>
      <c r="J973" s="133"/>
      <c r="K973" s="133"/>
    </row>
    <row r="974">
      <c r="I974" s="133"/>
      <c r="J974" s="133"/>
      <c r="K974" s="133"/>
    </row>
    <row r="975">
      <c r="I975" s="133"/>
      <c r="J975" s="133"/>
      <c r="K975" s="133"/>
    </row>
    <row r="976">
      <c r="I976" s="133"/>
      <c r="J976" s="133"/>
      <c r="K976" s="133"/>
    </row>
    <row r="977">
      <c r="I977" s="133"/>
      <c r="J977" s="133"/>
      <c r="K977" s="133"/>
    </row>
    <row r="978">
      <c r="I978" s="133"/>
      <c r="J978" s="133"/>
      <c r="K978" s="133"/>
    </row>
    <row r="979">
      <c r="I979" s="133"/>
      <c r="J979" s="133"/>
      <c r="K979" s="133"/>
    </row>
    <row r="980">
      <c r="I980" s="133"/>
      <c r="J980" s="133"/>
      <c r="K980" s="133"/>
    </row>
    <row r="981">
      <c r="I981" s="133"/>
      <c r="J981" s="133"/>
      <c r="K981" s="133"/>
    </row>
    <row r="982">
      <c r="I982" s="133"/>
      <c r="J982" s="133"/>
      <c r="K982" s="133"/>
    </row>
    <row r="983">
      <c r="I983" s="133"/>
      <c r="J983" s="133"/>
      <c r="K983" s="133"/>
    </row>
    <row r="984">
      <c r="I984" s="133"/>
      <c r="J984" s="133"/>
      <c r="K984" s="133"/>
    </row>
    <row r="985">
      <c r="I985" s="133"/>
      <c r="J985" s="133"/>
      <c r="K985" s="133"/>
    </row>
    <row r="986">
      <c r="I986" s="133"/>
      <c r="J986" s="133"/>
      <c r="K986" s="133"/>
    </row>
    <row r="987">
      <c r="I987" s="133"/>
      <c r="J987" s="133"/>
      <c r="K987" s="133"/>
    </row>
    <row r="988">
      <c r="I988" s="133"/>
      <c r="J988" s="133"/>
      <c r="K988" s="133"/>
    </row>
    <row r="989">
      <c r="I989" s="133"/>
      <c r="J989" s="133"/>
      <c r="K989" s="133"/>
    </row>
    <row r="990">
      <c r="I990" s="133"/>
      <c r="J990" s="133"/>
      <c r="K990" s="133"/>
    </row>
    <row r="991">
      <c r="I991" s="133"/>
      <c r="J991" s="133"/>
      <c r="K991" s="133"/>
    </row>
    <row r="992">
      <c r="I992" s="133"/>
      <c r="J992" s="133"/>
      <c r="K992" s="133"/>
    </row>
    <row r="993">
      <c r="I993" s="133"/>
      <c r="J993" s="133"/>
      <c r="K993" s="133"/>
    </row>
    <row r="994">
      <c r="I994" s="133"/>
      <c r="J994" s="133"/>
      <c r="K994" s="133"/>
    </row>
    <row r="995">
      <c r="I995" s="133"/>
      <c r="J995" s="133"/>
      <c r="K995" s="133"/>
    </row>
    <row r="996">
      <c r="I996" s="133"/>
      <c r="J996" s="133"/>
      <c r="K996" s="133"/>
    </row>
    <row r="997">
      <c r="I997" s="133"/>
      <c r="J997" s="133"/>
      <c r="K997" s="133"/>
    </row>
    <row r="998">
      <c r="I998" s="133"/>
      <c r="J998" s="133"/>
      <c r="K998" s="133"/>
    </row>
    <row r="999">
      <c r="I999" s="133"/>
      <c r="J999" s="133"/>
      <c r="K999" s="133"/>
    </row>
    <row r="1000">
      <c r="I1000" s="133"/>
      <c r="J1000" s="133"/>
      <c r="K1000" s="133"/>
    </row>
    <row r="1001">
      <c r="I1001" s="133"/>
      <c r="J1001" s="133"/>
      <c r="K1001" s="133"/>
    </row>
    <row r="1002">
      <c r="I1002" s="133"/>
      <c r="J1002" s="133"/>
      <c r="K1002" s="133"/>
    </row>
    <row r="1003">
      <c r="I1003" s="133"/>
      <c r="J1003" s="133"/>
      <c r="K1003" s="133"/>
    </row>
    <row r="1004">
      <c r="I1004" s="133"/>
      <c r="J1004" s="133"/>
      <c r="K1004" s="133"/>
    </row>
    <row r="1005">
      <c r="I1005" s="133"/>
      <c r="J1005" s="133"/>
      <c r="K1005" s="133"/>
    </row>
    <row r="1006">
      <c r="I1006" s="133"/>
      <c r="J1006" s="133"/>
      <c r="K1006" s="133"/>
    </row>
    <row r="1007">
      <c r="I1007" s="133"/>
      <c r="J1007" s="133"/>
      <c r="K1007" s="133"/>
    </row>
    <row r="1008">
      <c r="I1008" s="133"/>
      <c r="J1008" s="133"/>
      <c r="K1008" s="133"/>
    </row>
    <row r="1009">
      <c r="I1009" s="133"/>
      <c r="J1009" s="133"/>
      <c r="K1009" s="133"/>
    </row>
    <row r="1010">
      <c r="I1010" s="133"/>
      <c r="J1010" s="133"/>
      <c r="K1010" s="133"/>
    </row>
    <row r="1011">
      <c r="I1011" s="133"/>
      <c r="J1011" s="133"/>
      <c r="K1011" s="133"/>
    </row>
    <row r="1012">
      <c r="I1012" s="133"/>
      <c r="J1012" s="133"/>
      <c r="K1012" s="133"/>
    </row>
    <row r="1013">
      <c r="I1013" s="133"/>
      <c r="J1013" s="133"/>
      <c r="K1013" s="133"/>
    </row>
    <row r="1014">
      <c r="I1014" s="133"/>
      <c r="J1014" s="133"/>
      <c r="K1014" s="133"/>
    </row>
    <row r="1015">
      <c r="I1015" s="133"/>
      <c r="J1015" s="133"/>
      <c r="K1015" s="133"/>
    </row>
    <row r="1016">
      <c r="I1016" s="133"/>
      <c r="J1016" s="133"/>
      <c r="K1016" s="133"/>
    </row>
    <row r="1017">
      <c r="I1017" s="133"/>
      <c r="J1017" s="133"/>
      <c r="K1017" s="133"/>
    </row>
    <row r="1018">
      <c r="I1018" s="133"/>
      <c r="J1018" s="133"/>
      <c r="K1018" s="133"/>
    </row>
    <row r="1019">
      <c r="I1019" s="133"/>
      <c r="J1019" s="133"/>
      <c r="K1019" s="133"/>
    </row>
    <row r="1020">
      <c r="I1020" s="133"/>
      <c r="J1020" s="133"/>
      <c r="K1020" s="133"/>
    </row>
    <row r="1021">
      <c r="I1021" s="133"/>
      <c r="J1021" s="133"/>
      <c r="K1021" s="133"/>
    </row>
    <row r="1022">
      <c r="I1022" s="133"/>
      <c r="J1022" s="133"/>
      <c r="K1022" s="133"/>
    </row>
    <row r="1023">
      <c r="I1023" s="133"/>
      <c r="J1023" s="133"/>
      <c r="K1023" s="133"/>
    </row>
    <row r="1024">
      <c r="I1024" s="133"/>
      <c r="J1024" s="133"/>
      <c r="K1024" s="133"/>
    </row>
    <row r="1025">
      <c r="I1025" s="133"/>
      <c r="J1025" s="133"/>
      <c r="K1025" s="133"/>
    </row>
    <row r="1026">
      <c r="I1026" s="133"/>
      <c r="J1026" s="133"/>
      <c r="K1026" s="133"/>
    </row>
    <row r="1027">
      <c r="I1027" s="133"/>
      <c r="J1027" s="133"/>
      <c r="K1027" s="133"/>
    </row>
    <row r="1028">
      <c r="I1028" s="133"/>
      <c r="J1028" s="133"/>
      <c r="K1028" s="133"/>
    </row>
    <row r="1029">
      <c r="I1029" s="133"/>
      <c r="J1029" s="133"/>
      <c r="K1029" s="133"/>
    </row>
    <row r="1030">
      <c r="I1030" s="133"/>
      <c r="J1030" s="133"/>
      <c r="K1030" s="133"/>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101.75"/>
  </cols>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2" width="6.88"/>
    <col customWidth="1" min="3" max="3" width="4.88"/>
    <col customWidth="1" min="9" max="10" width="13.5"/>
    <col customWidth="1" min="13" max="13" width="88.75"/>
  </cols>
  <sheetData>
    <row r="1">
      <c r="D1" s="100" t="s">
        <v>514</v>
      </c>
      <c r="E1" s="100" t="s">
        <v>97</v>
      </c>
      <c r="F1" s="100" t="s">
        <v>515</v>
      </c>
      <c r="G1" s="100" t="s">
        <v>516</v>
      </c>
      <c r="H1" s="100" t="s">
        <v>517</v>
      </c>
      <c r="I1" s="100" t="s">
        <v>96</v>
      </c>
      <c r="J1" s="100" t="s">
        <v>518</v>
      </c>
      <c r="K1" s="100" t="s">
        <v>91</v>
      </c>
      <c r="L1" s="100" t="s">
        <v>95</v>
      </c>
      <c r="M1" s="100" t="s">
        <v>5</v>
      </c>
    </row>
    <row r="2">
      <c r="A2" s="2" t="s">
        <v>520</v>
      </c>
      <c r="B2" s="2">
        <v>1.0</v>
      </c>
      <c r="C2" s="1" t="s">
        <v>521</v>
      </c>
      <c r="D2" s="139" t="str">
        <f>VLOOKUP($A2,Units!$1:$1098,10,false)</f>
        <v>#N/A</v>
      </c>
      <c r="E2" s="139" t="str">
        <f>int(VLOOKUP($A2,Units!$1:$1098,15,false))</f>
        <v>#N/A</v>
      </c>
      <c r="F2" s="139" t="str">
        <f>int(VLOOKUP($A2,Units!$1:$1098,16,false))</f>
        <v>#N/A</v>
      </c>
      <c r="G2" s="139" t="str">
        <f>int(VLOOKUP($A2,Units!$1:$1098,17,false))</f>
        <v>#N/A</v>
      </c>
      <c r="H2" s="139">
        <f>if(iserror(E2),if(iserror(F2),7,F2),if(iserror(F2),E2-G3,MIN(E2-G3,F2)))</f>
        <v>7</v>
      </c>
      <c r="I2" s="139" t="str">
        <f>int(VLOOKUP($A2,Units!$1:$1098,14,false))</f>
        <v>#N/A</v>
      </c>
      <c r="J2" s="139" t="str">
        <f>int(VLOOKUP($A2,Units!$1:$1098,12,false))</f>
        <v>#N/A</v>
      </c>
      <c r="K2" s="139" t="str">
        <f>if(B2=1,int(VLOOKUP($A2,Units!$1:$1098,7,false)),int(VLOOKUP($A2,Units!$1:$1098,8,false)))</f>
        <v>#N/A</v>
      </c>
      <c r="L2" s="139" t="str">
        <f>int(VLOOKUP($A2,Units!$1:$1098,13,false))</f>
        <v>#N/A</v>
      </c>
      <c r="M2" s="139" t="str">
        <f>VLOOKUP($A2,Units!$1:$1098,18,false)</f>
        <v>#N/A</v>
      </c>
    </row>
    <row r="3">
      <c r="A3" s="2" t="s">
        <v>524</v>
      </c>
      <c r="B3" s="2">
        <v>1.0</v>
      </c>
      <c r="C3" s="1" t="s">
        <v>525</v>
      </c>
      <c r="D3" s="139" t="str">
        <f>VLOOKUP($A3,Units!$1:$1098,10,false)</f>
        <v>#N/A</v>
      </c>
      <c r="E3" s="139" t="str">
        <f>int(VLOOKUP($A3,Units!$1:$1098,15,false))</f>
        <v>#N/A</v>
      </c>
      <c r="F3" s="139" t="str">
        <f>int(VLOOKUP($A3,Units!$1:$1098,16,false))</f>
        <v>#N/A</v>
      </c>
      <c r="G3" s="139" t="str">
        <f>int(VLOOKUP($A3,Units!$1:$1098,17,false))</f>
        <v>#N/A</v>
      </c>
      <c r="H3" s="139">
        <f>if(iserror(E3),if(iserror(F3),7,F3),if(iserror(F3),E3-G2,MIN(E3-G2,F3)))</f>
        <v>7</v>
      </c>
      <c r="I3" s="139" t="str">
        <f>int(VLOOKUP($A3,Units!$1:$1098,14,false))</f>
        <v>#N/A</v>
      </c>
      <c r="J3" s="139" t="str">
        <f>int(VLOOKUP($A3,Units!$1:$1098,12,false))</f>
        <v>#N/A</v>
      </c>
      <c r="K3" s="139" t="str">
        <f>if(B3=1,int(VLOOKUP($A3,Units!$1:$1098,7,false)),int(VLOOKUP($A3,Units!$1:$1098,8,false)))</f>
        <v>#N/A</v>
      </c>
      <c r="L3" s="139" t="str">
        <f>int(VLOOKUP($A3,Units!$1:$1098,13,false))</f>
        <v>#N/A</v>
      </c>
      <c r="M3" s="139" t="str">
        <f>VLOOKUP($A3,Units!$1:$1098,18,false)</f>
        <v>#N/A</v>
      </c>
    </row>
    <row r="5" ht="105.0" customHeight="1">
      <c r="A5" s="140" t="s">
        <v>532</v>
      </c>
      <c r="B5" s="140" t="str">
        <f>Concatenate(if(Combat!AA11="Combat","Stalemate",if(Combat!AA11="TOTAL DESTRUCTION",Combat!AA11,if(Combat!K11=0,"P2 won combat after P1 was wiped out",if(Combat!U11=0,"P1 won combat after P2 was wiped out", concatenate("P",Combat!AA11, " won combat after P",3-Combat!AA11," fled"))))), " in ", countif(A6:A16,"&gt;0"&amp;"*"), " turn", if(A7="","","s"),CHAR(10),Combat!F12,"/",Combat!F2," vs ",Combat!P12,"/",Combat!P2)</f>
        <v>#N/A</v>
      </c>
    </row>
    <row r="6" ht="45.75" customHeight="1">
      <c r="A6" s="141" t="str">
        <f>if(B6="","",concatenate("Round ",Combat!A2))</f>
        <v>#N/A</v>
      </c>
      <c r="B6" s="142" t="str">
        <f>if(Combat!AA1="Combat",concatenate("P1's ",Combat!F2," troop",if(Combat!F2&gt;1,"s","")," did ",Combat!T2," wound",if(Combat!T2=1,"","s"),if(Combat!U2=0," wiping them out",""),CHAR(10),"P2's ",Combat!P2," troop",if(Combat!P2&gt;1,"s","")," did ",Combat!J2," wound",if(Combat!J2=1,"","s"),if(Combat!K2=0," wiping them out",""),CHAR(10),if(Combat!AA2="TOTAL DESTRUCTION","Everyone died",if(Combat!V2=0,"Tied combat",concatenate("P",Combat!V2," Won", if(Combat!X2=0,concatenate(" and wiped out P",3-Combat!V2),if(Combat!Z2,concatenate(" and P",3-Combat!V2," fled"),concatenate(", but P",3-Combat!V2," held"))))))),"")</f>
        <v>#N/A</v>
      </c>
    </row>
    <row r="7" ht="45.75" customHeight="1">
      <c r="A7" s="141" t="str">
        <f>if(B7="","",concatenate("Round ",Combat!A3))</f>
        <v>#N/A</v>
      </c>
      <c r="B7" s="142" t="str">
        <f>if(Combat!AA2="Combat",concatenate("P1's ",Combat!F3," troop",if(Combat!F3&gt;1,"s","")," did ",Combat!T3," wound",if(Combat!T3=1,"","s"),if(Combat!U3=0," wiping them out",""),CHAR(10),"P2's ",Combat!P3," troop",if(Combat!P3&gt;1,"s","")," did ",Combat!J3," wound",if(Combat!J3=1,"","s"),if(Combat!K3=0," wiping them out",""),CHAR(10),if(Combat!AA3="TOTAL DESTRUCTION","Everyone died",if(Combat!V3=0,"Tied combat",concatenate("P",Combat!V3," Won", if(Combat!X3=0,concatenate(" and wiped out P",3-Combat!V3),if(Combat!Z3,concatenate(" and P",3-Combat!V3," fled"),concatenate(", but P",3-Combat!V3," held"))))))),"")</f>
        <v>#N/A</v>
      </c>
    </row>
    <row r="8" ht="45.75" customHeight="1">
      <c r="A8" s="141" t="str">
        <f>if(B8="","",concatenate("Round ",Combat!A4))</f>
        <v>#N/A</v>
      </c>
      <c r="B8" s="142" t="str">
        <f>if(Combat!AA3="Combat",concatenate("P1's ",Combat!F4," troop",if(Combat!F4&gt;1,"s","")," did ",Combat!T4," wound",if(Combat!T4=1,"","s"),if(Combat!U4=0," wiping them out",""),CHAR(10),"P2's ",Combat!P4," troop",if(Combat!P4&gt;1,"s","")," did ",Combat!J4," wound",if(Combat!J4=1,"","s"),if(Combat!K4=0," wiping them out",""),CHAR(10),if(Combat!AA4="TOTAL DESTRUCTION","Everyone died",if(Combat!V4=0,"Tied combat",concatenate("P",Combat!V4," Won", if(Combat!X4=0,concatenate(" and wiped out P",3-Combat!V4),if(Combat!Z4,concatenate(" and P",3-Combat!V4," fled"),concatenate(", but P",3-Combat!V4," held"))))))),"")</f>
        <v>#N/A</v>
      </c>
    </row>
    <row r="9" ht="45.75" customHeight="1">
      <c r="A9" s="141" t="str">
        <f>if(B9="","",concatenate("Round ",Combat!A5))</f>
        <v>#N/A</v>
      </c>
      <c r="B9" s="142" t="str">
        <f>if(Combat!AA4="Combat",concatenate("P1's ",Combat!F5," troop",if(Combat!F5&gt;1,"s","")," did ",Combat!T5," wound",if(Combat!T5=1,"","s"),if(Combat!U5=0," wiping them out",""),CHAR(10),"P2's ",Combat!P5," troop",if(Combat!P5&gt;1,"s","")," did ",Combat!J5," wound",if(Combat!J5=1,"","s"),if(Combat!K5=0," wiping them out",""),CHAR(10),if(Combat!AA5="TOTAL DESTRUCTION","Everyone died",if(Combat!V5=0,"Tied combat",concatenate("P",Combat!V5," Won", if(Combat!X5=0,concatenate(" and wiped out P",3-Combat!V5),if(Combat!Z5,concatenate(" and P",3-Combat!V5," fled"),concatenate(", but P",3-Combat!V5," held"))))))),"")</f>
        <v>#N/A</v>
      </c>
    </row>
    <row r="10" ht="45.75" customHeight="1">
      <c r="A10" s="141" t="str">
        <f>if(B10="","",concatenate("Round ",Combat!A6))</f>
        <v>#N/A</v>
      </c>
      <c r="B10" s="142" t="str">
        <f>if(Combat!AA5="Combat",concatenate("P1's ",Combat!F6," troop",if(Combat!F6&gt;1,"s","")," did ",Combat!T6," wound",if(Combat!T6=1,"","s"),if(Combat!U6=0," wiping them out",""),CHAR(10),"P2's ",Combat!P6," troop",if(Combat!P6&gt;1,"s","")," did ",Combat!J6," wound",if(Combat!J6=1,"","s"),if(Combat!K6=0," wiping them out",""),CHAR(10),if(Combat!AA6="TOTAL DESTRUCTION","Everyone died",if(Combat!V6=0,"Tied combat",concatenate("P",Combat!V6," Won", if(Combat!X6=0,concatenate(" and wiped out P",3-Combat!V6),if(Combat!Z6,concatenate(" and P",3-Combat!V6," fled"),concatenate(", but P",3-Combat!V6," held"))))))),"")</f>
        <v>#N/A</v>
      </c>
    </row>
    <row r="11" ht="45.75" customHeight="1">
      <c r="A11" s="141" t="str">
        <f>if(B11="","",concatenate("Round ",Combat!A7))</f>
        <v>#N/A</v>
      </c>
      <c r="B11" s="142" t="str">
        <f>if(Combat!AA6="Combat",concatenate("P1's ",Combat!F7," troop",if(Combat!F7&gt;1,"s","")," did ",Combat!T7," wound",if(Combat!T7=1,"","s"),if(Combat!U7=0," wiping them out",""),CHAR(10),"P2's ",Combat!P7," troop",if(Combat!P7&gt;1,"s","")," did ",Combat!J7," wound",if(Combat!J7=1,"","s"),if(Combat!K7=0," wiping them out",""),CHAR(10),if(Combat!AA7="TOTAL DESTRUCTION","Everyone died",if(Combat!V7=0,"Tied combat",concatenate("P",Combat!V7," Won", if(Combat!X7=0,concatenate(" and wiped out P",3-Combat!V7),if(Combat!Z7,concatenate(" and P",3-Combat!V7," fled"),concatenate(", but P",3-Combat!V7," held"))))))),"")</f>
        <v>#N/A</v>
      </c>
    </row>
    <row r="12" ht="45.75" customHeight="1">
      <c r="A12" s="141" t="str">
        <f>if(B12="","",concatenate("Round ",Combat!A8))</f>
        <v>#N/A</v>
      </c>
      <c r="B12" s="142" t="str">
        <f>if(Combat!AA7="Combat",concatenate("P1's ",Combat!F8," troop",if(Combat!F8&gt;1,"s","")," did ",Combat!T8," wound",if(Combat!T8=1,"","s"),if(Combat!U8=0," wiping them out",""),CHAR(10),"P2's ",Combat!P8," troop",if(Combat!P8&gt;1,"s","")," did ",Combat!J8," wound",if(Combat!J8=1,"","s"),if(Combat!K8=0," wiping them out",""),CHAR(10),if(Combat!AA8="TOTAL DESTRUCTION","Everyone died",if(Combat!V8=0,"Tied combat",concatenate("P",Combat!V8," Won", if(Combat!X8=0,concatenate(" and wiped out P",3-Combat!V8),if(Combat!Z8,concatenate(" and P",3-Combat!V8," fled"),concatenate(", but P",3-Combat!V8," held"))))))),"")</f>
        <v>#N/A</v>
      </c>
    </row>
    <row r="13" ht="45.75" customHeight="1">
      <c r="A13" s="141" t="str">
        <f>if(B13="","",concatenate("Round ",Combat!A9))</f>
        <v>#N/A</v>
      </c>
      <c r="B13" s="142" t="str">
        <f>if(Combat!AA8="Combat",concatenate("P1's ",Combat!F9," troop",if(Combat!F9&gt;1,"s","")," did ",Combat!T9," wound",if(Combat!T9=1,"","s"),if(Combat!U9=0," wiping them out",""),CHAR(10),"P2's ",Combat!P9," troop",if(Combat!P9&gt;1,"s","")," did ",Combat!J9," wound",if(Combat!J9=1,"","s"),if(Combat!K9=0," wiping them out",""),CHAR(10),if(Combat!AA9="TOTAL DESTRUCTION","Everyone died",if(Combat!V9=0,"Tied combat",concatenate("P",Combat!V9," Won", if(Combat!X9=0,concatenate(" and wiped out P",3-Combat!V9),if(Combat!Z9,concatenate(" and P",3-Combat!V9," fled"),concatenate(", but P",3-Combat!V9," held"))))))),"")</f>
        <v>#N/A</v>
      </c>
    </row>
    <row r="14" ht="45.75" customHeight="1">
      <c r="A14" s="141" t="str">
        <f>if(B14="","",concatenate("Round ",Combat!A10))</f>
        <v>#N/A</v>
      </c>
      <c r="B14" s="142" t="str">
        <f>if(Combat!AA9="Combat",concatenate("P1's ",Combat!F10," troop",if(Combat!F10&gt;1,"s","")," did ",Combat!T10," wound",if(Combat!T10=1,"","s"),if(Combat!U10=0," wiping them out",""),CHAR(10),"P2's ",Combat!P10," troop",if(Combat!P10&gt;1,"s","")," did ",Combat!J10," wound",if(Combat!J10=1,"","s"),if(Combat!K10=0," wiping them out",""),CHAR(10),if(Combat!AA10="TOTAL DESTRUCTION","Everyone died",if(Combat!V10=0,"Tied combat",concatenate("P",Combat!V10," Won", if(Combat!X10=0,concatenate(" and wiped out P",3-Combat!V10),if(Combat!Z10,concatenate(" and P",3-Combat!V10," fled"),concatenate(", but P",3-Combat!V10," held"))))))),"")</f>
        <v>#N/A</v>
      </c>
    </row>
    <row r="15" ht="45.75" customHeight="1">
      <c r="A15" s="141" t="str">
        <f>if(B15="","",concatenate("Round ",Combat!A11))</f>
        <v>#N/A</v>
      </c>
      <c r="B15" s="142" t="str">
        <f>if(Combat!AA10="Combat",concatenate("P1's ",Combat!F11," troop",if(Combat!F11&gt;1,"s","")," did ",Combat!T11," wound",if(Combat!T11=1,"","s"),if(Combat!U11=0," wiping them out",""),CHAR(10),"P2's ",Combat!P11," troop",if(Combat!P11&gt;1,"s","")," did ",Combat!J11," wound",if(Combat!J11=1,"","s"),if(Combat!K11=0," wiping them out",""),CHAR(10),if(Combat!AA11="TOTAL DESTRUCTION","Everyone died",if(Combat!V11=0,"Tied combat",concatenate("P",Combat!V11," Won", if(Combat!X11=0,concatenate(" and wiped out P",3-Combat!V11),if(Combat!Z11,concatenate(" and P",3-Combat!V11," fled"),concatenate(", but P",3-Combat!V11," held"))))))),"")</f>
        <v>#N/A</v>
      </c>
    </row>
    <row r="16" ht="45.75" customHeight="1">
      <c r="A16" s="141" t="str">
        <f>if(B16="","",concatenate("Round ",A4))</f>
        <v>#N/A</v>
      </c>
      <c r="B16" s="142" t="str">
        <f>if(Combat!AA11="Combat",concatenate("P1's ",J4," troop",if(J4&gt;1,"s","")," did ",W4," wound",if(W4=1,"","s"),if(X4=0," wiping them out",""),CHAR(10),"P2's ",S4," troop",if(S4&gt;1,"s","")," did ",N4," wound",if(N4=1,"","s"),if(O4=0," wiping them out",""),CHAR(10),if(AD4="TOTAL DESTRUCTION","Everyone died",if(Y4=0,"Tied combat",concatenate("P",Y4," Won", if(AA4=0,concatenate(" and wiped out P",3-Y4),if(AC4,concatenate(" and P",3-Y4," fled"),concatenate(", but P",3-Y4," held"))))))),"")</f>
        <v>#N/A</v>
      </c>
    </row>
    <row r="17" ht="45.75" customHeight="1"/>
    <row r="18" ht="45.75" customHeight="1"/>
    <row r="19" ht="45.75" customHeight="1"/>
    <row r="20" ht="45.75" customHeight="1"/>
    <row r="21" ht="45.75" customHeight="1"/>
    <row r="22" ht="45.75" customHeight="1"/>
    <row r="23" ht="45.75" customHeight="1"/>
    <row r="24" ht="45.75" customHeight="1"/>
    <row r="25" ht="45.75" customHeight="1"/>
    <row r="26" ht="45.75" customHeight="1"/>
    <row r="27" ht="45.75" customHeight="1"/>
    <row r="28" ht="45.75" customHeight="1"/>
    <row r="29" ht="45.75" customHeight="1"/>
    <row r="30" ht="45.75" customHeight="1"/>
    <row r="31" ht="45.75" customHeight="1"/>
    <row r="32" ht="45.75" customHeight="1"/>
    <row r="33" ht="45.75" customHeight="1"/>
    <row r="34" ht="45.75" customHeight="1"/>
    <row r="35" ht="45.75" customHeight="1"/>
    <row r="36" ht="45.75" customHeight="1"/>
    <row r="37" ht="45.75" customHeight="1"/>
    <row r="38" ht="45.75" customHeight="1"/>
    <row r="39" ht="45.75" customHeight="1"/>
    <row r="40" ht="45.75" customHeight="1"/>
    <row r="41" ht="45.75" customHeight="1"/>
    <row r="42" ht="45.75" customHeight="1"/>
  </sheetData>
  <mergeCells count="12">
    <mergeCell ref="B12:P12"/>
    <mergeCell ref="B13:P13"/>
    <mergeCell ref="B14:P14"/>
    <mergeCell ref="B15:P15"/>
    <mergeCell ref="B16:P16"/>
    <mergeCell ref="B5:P5"/>
    <mergeCell ref="B6:P6"/>
    <mergeCell ref="B7:P7"/>
    <mergeCell ref="B8:P8"/>
    <mergeCell ref="B9:P9"/>
    <mergeCell ref="B10:P10"/>
    <mergeCell ref="B11:P11"/>
  </mergeCells>
  <conditionalFormatting sqref="K1 I4:J4 S4:S993 I17:J993">
    <cfRule type="cellIs" dxfId="13" priority="1" operator="lessThan">
      <formula>1</formula>
    </cfRule>
  </conditionalFormatting>
  <dataValidations>
    <dataValidation type="list" allowBlank="1" showErrorMessage="1" sqref="A2:A3">
      <formula1>Units!$C$2:$C$2098</formula1>
    </dataValidation>
    <dataValidation type="list" allowBlank="1" showErrorMessage="1" sqref="B2:B3">
      <formula1>"1,2"</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582</v>
      </c>
      <c r="B1" s="1" t="s">
        <v>583</v>
      </c>
      <c r="C1" s="1" t="s">
        <v>584</v>
      </c>
      <c r="D1" s="1" t="s">
        <v>585</v>
      </c>
      <c r="E1" s="1" t="s">
        <v>586</v>
      </c>
      <c r="F1" s="1" t="s">
        <v>587</v>
      </c>
      <c r="G1" s="1" t="s">
        <v>588</v>
      </c>
      <c r="H1" s="1" t="s">
        <v>589</v>
      </c>
      <c r="I1" s="1" t="s">
        <v>590</v>
      </c>
      <c r="J1" s="1" t="s">
        <v>591</v>
      </c>
      <c r="K1" s="1" t="s">
        <v>592</v>
      </c>
      <c r="L1" s="1" t="s">
        <v>593</v>
      </c>
      <c r="M1" s="1" t="s">
        <v>594</v>
      </c>
      <c r="N1" s="1" t="s">
        <v>595</v>
      </c>
      <c r="O1" s="1" t="s">
        <v>596</v>
      </c>
      <c r="P1" s="1" t="s">
        <v>597</v>
      </c>
      <c r="Q1" s="1" t="s">
        <v>598</v>
      </c>
      <c r="R1" s="1" t="s">
        <v>599</v>
      </c>
      <c r="S1" s="1" t="s">
        <v>600</v>
      </c>
      <c r="T1" s="1" t="s">
        <v>601</v>
      </c>
      <c r="U1" s="1" t="s">
        <v>602</v>
      </c>
      <c r="V1" s="1" t="s">
        <v>603</v>
      </c>
      <c r="W1" s="1" t="s">
        <v>605</v>
      </c>
      <c r="X1" s="1" t="s">
        <v>606</v>
      </c>
      <c r="Y1" s="1" t="s">
        <v>607</v>
      </c>
      <c r="Z1" s="1" t="s">
        <v>608</v>
      </c>
      <c r="AA1" s="1" t="s">
        <v>609</v>
      </c>
      <c r="AB1" s="105"/>
      <c r="AC1" s="105"/>
      <c r="AD1" s="105"/>
      <c r="AE1" s="105"/>
      <c r="AF1" s="105"/>
      <c r="AG1" s="105"/>
      <c r="AH1" s="105"/>
      <c r="AI1" s="105"/>
      <c r="AJ1" s="105"/>
    </row>
    <row r="2">
      <c r="A2" s="2">
        <v>1.0</v>
      </c>
      <c r="B2" s="145" t="str">
        <f>View!D2</f>
        <v>#N/A</v>
      </c>
      <c r="C2" s="145">
        <f>View!H2</f>
        <v>7</v>
      </c>
      <c r="D2" s="145" t="str">
        <f>View!I2</f>
        <v>#N/A</v>
      </c>
      <c r="E2" s="145" t="str">
        <f>View!J2</f>
        <v>#N/A</v>
      </c>
      <c r="F2" s="145" t="str">
        <f>View!K2</f>
        <v>#N/A</v>
      </c>
      <c r="G2" s="145" t="str">
        <f>View!L2</f>
        <v>#N/A</v>
      </c>
      <c r="H2" s="92" t="str">
        <f>min(E2,F2)*G2</f>
        <v>#N/A</v>
      </c>
      <c r="I2" s="92">
        <f t="array" ref="I2">COUNTIF(INT(RANDARRAY(H2,1)*6), "&gt;=" &amp; B2-1)</f>
        <v>1</v>
      </c>
      <c r="J2" s="92">
        <f t="array" ref="J2">COUNTIF(INT(RANDARRAY(S2,1)*6), "&lt;" &amp; C2-1)</f>
        <v>1</v>
      </c>
      <c r="K2" s="2" t="str">
        <f>max(0,F2*D2-J2)</f>
        <v>#N/A</v>
      </c>
      <c r="L2" s="145" t="str">
        <f>View!D3</f>
        <v>#N/A</v>
      </c>
      <c r="M2" s="145">
        <f>View!H3</f>
        <v>7</v>
      </c>
      <c r="N2" s="145" t="str">
        <f>View!I3</f>
        <v>#N/A</v>
      </c>
      <c r="O2" s="145" t="str">
        <f>View!J3</f>
        <v>#N/A</v>
      </c>
      <c r="P2" s="145" t="str">
        <f>View!K3</f>
        <v>#N/A</v>
      </c>
      <c r="Q2" s="145" t="str">
        <f>View!L3</f>
        <v>#N/A</v>
      </c>
      <c r="R2" s="92" t="str">
        <f>min(O2,P2)*Q2</f>
        <v>#N/A</v>
      </c>
      <c r="S2" s="92">
        <f t="array" ref="S2">COUNTIF(INT(RANDARRAY(R2,1)*6), "&gt;=" &amp; L2-1)</f>
        <v>1</v>
      </c>
      <c r="T2" s="92">
        <f t="array" ref="T2">COUNTIF(INT(RANDARRAY(I2,1)*6), "&lt;" &amp; M2-1)</f>
        <v>1</v>
      </c>
      <c r="U2" s="2" t="str">
        <f t="shared" ref="U2:U11" si="3">max(0,P2-T2)</f>
        <v>#N/A</v>
      </c>
      <c r="V2" s="92">
        <f t="shared" ref="V2:V11" si="4">if(J2&lt;T2,1,if(T2&lt;J2,2,0))</f>
        <v>0</v>
      </c>
      <c r="W2" s="92" t="str">
        <f t="shared" ref="W2:W11" si="5">if(or(V2=0,min(K2,U2)&lt;0),6,randbetween(1,6))</f>
        <v>#N/A</v>
      </c>
      <c r="X2" s="92" t="str">
        <f t="shared" ref="X2:X11" si="6">if(min(K2,U2)=0,0,if(V2=2,K2/F$2,if(V2=1,U2/P$2,1)))</f>
        <v>#N/A</v>
      </c>
      <c r="Y2" s="92" t="str">
        <f t="shared" ref="Y2:Y11" si="7">if(X2&lt;=0.25,6,if(X2&lt;=0.5,4,2))</f>
        <v>#N/A</v>
      </c>
      <c r="Z2" s="92" t="str">
        <f t="shared" ref="Z2:Z11" si="8">W2&lt;Y2</f>
        <v>#N/A</v>
      </c>
      <c r="AA2" s="92" t="str">
        <f t="shared" ref="AA2:AA11" si="9">if(AA1="Combat",if(max(K2,U2)=0,"TOTAL DESTRUCTION",if(min(K2,U2)=0,V2,if(Z2,V2,"Combat"))),AA1)</f>
        <v>#N/A</v>
      </c>
    </row>
    <row r="3">
      <c r="A3" s="2">
        <v>2.0</v>
      </c>
      <c r="B3" s="92" t="str">
        <f t="shared" ref="B3:E3" si="1">B2</f>
        <v>#N/A</v>
      </c>
      <c r="C3" s="92">
        <f t="shared" si="1"/>
        <v>7</v>
      </c>
      <c r="D3" s="92" t="str">
        <f t="shared" si="1"/>
        <v>#N/A</v>
      </c>
      <c r="E3" s="92" t="str">
        <f t="shared" si="1"/>
        <v>#N/A</v>
      </c>
      <c r="F3" s="92" t="str">
        <f t="shared" ref="F3:F11" si="11">ceiling(K2/D3,1)</f>
        <v>#N/A</v>
      </c>
      <c r="G3" s="92" t="str">
        <f t="shared" ref="G3:G11" si="12">G2</f>
        <v>#N/A</v>
      </c>
      <c r="H3" s="92" t="str">
        <f t="shared" ref="H3:H11" si="13">if($AA2="Combat",min(E3,F3)*G3,0)</f>
        <v>#N/A</v>
      </c>
      <c r="I3" s="92">
        <f t="array" ref="I3">COUNTIF(INT(RANDARRAY(H3,1)*6), "&gt;=" &amp; B3-1)</f>
        <v>1</v>
      </c>
      <c r="J3" s="92">
        <f t="array" ref="J3">COUNTIF(INT(RANDARRAY(S3,1)*6), "&lt;" &amp; C3-1)</f>
        <v>1</v>
      </c>
      <c r="K3" s="2" t="str">
        <f t="shared" ref="K3:K11" si="14">max(0,K2-J3)</f>
        <v>#N/A</v>
      </c>
      <c r="L3" s="92" t="str">
        <f t="shared" ref="L3:O3" si="2">L2</f>
        <v>#N/A</v>
      </c>
      <c r="M3" s="92">
        <f t="shared" si="2"/>
        <v>7</v>
      </c>
      <c r="N3" s="92" t="str">
        <f t="shared" si="2"/>
        <v>#N/A</v>
      </c>
      <c r="O3" s="92" t="str">
        <f t="shared" si="2"/>
        <v>#N/A</v>
      </c>
      <c r="P3" s="92" t="str">
        <f t="shared" ref="P3:P11" si="16">ceiling(U2/N3,1)</f>
        <v>#N/A</v>
      </c>
      <c r="Q3" s="92" t="str">
        <f t="shared" ref="Q3:Q11" si="17">Q2</f>
        <v>#N/A</v>
      </c>
      <c r="R3" s="92" t="str">
        <f t="shared" ref="R3:R11" si="18">if($AA2="Combat",min(O3,P3)*Q3,0)</f>
        <v>#N/A</v>
      </c>
      <c r="S3" s="92">
        <f t="array" ref="S3">COUNTIF(INT(RANDARRAY(R3,1)*6), "&gt;=" &amp; L3-1)</f>
        <v>1</v>
      </c>
      <c r="T3" s="92">
        <f t="array" ref="T3">COUNTIF(INT(RANDARRAY(I3,1)*6), "&lt;" &amp; M3-1)</f>
        <v>1</v>
      </c>
      <c r="U3" s="2" t="str">
        <f t="shared" si="3"/>
        <v>#N/A</v>
      </c>
      <c r="V3" s="92">
        <f t="shared" si="4"/>
        <v>0</v>
      </c>
      <c r="W3" s="92" t="str">
        <f t="shared" si="5"/>
        <v>#N/A</v>
      </c>
      <c r="X3" s="92" t="str">
        <f t="shared" si="6"/>
        <v>#N/A</v>
      </c>
      <c r="Y3" s="92" t="str">
        <f t="shared" si="7"/>
        <v>#N/A</v>
      </c>
      <c r="Z3" s="92" t="str">
        <f t="shared" si="8"/>
        <v>#N/A</v>
      </c>
      <c r="AA3" s="92" t="str">
        <f t="shared" si="9"/>
        <v>#N/A</v>
      </c>
    </row>
    <row r="4">
      <c r="A4" s="2">
        <v>3.0</v>
      </c>
      <c r="B4" s="92" t="str">
        <f t="shared" ref="B4:E4" si="10">B3</f>
        <v>#N/A</v>
      </c>
      <c r="C4" s="92">
        <f t="shared" si="10"/>
        <v>7</v>
      </c>
      <c r="D4" s="92" t="str">
        <f t="shared" si="10"/>
        <v>#N/A</v>
      </c>
      <c r="E4" s="92" t="str">
        <f t="shared" si="10"/>
        <v>#N/A</v>
      </c>
      <c r="F4" s="92" t="str">
        <f t="shared" si="11"/>
        <v>#N/A</v>
      </c>
      <c r="G4" s="92" t="str">
        <f t="shared" si="12"/>
        <v>#N/A</v>
      </c>
      <c r="H4" s="92" t="str">
        <f t="shared" si="13"/>
        <v>#N/A</v>
      </c>
      <c r="I4" s="92">
        <f t="array" ref="I4">COUNTIF(INT(RANDARRAY(H4,1)*6), "&gt;=" &amp; B4-1)</f>
        <v>1</v>
      </c>
      <c r="J4" s="92">
        <f t="array" ref="J4">COUNTIF(INT(RANDARRAY(S4,1)*6), "&lt;" &amp; C4-1)</f>
        <v>1</v>
      </c>
      <c r="K4" s="2" t="str">
        <f t="shared" si="14"/>
        <v>#N/A</v>
      </c>
      <c r="L4" s="92" t="str">
        <f t="shared" ref="L4:O4" si="15">L3</f>
        <v>#N/A</v>
      </c>
      <c r="M4" s="92">
        <f t="shared" si="15"/>
        <v>7</v>
      </c>
      <c r="N4" s="92" t="str">
        <f t="shared" si="15"/>
        <v>#N/A</v>
      </c>
      <c r="O4" s="92" t="str">
        <f t="shared" si="15"/>
        <v>#N/A</v>
      </c>
      <c r="P4" s="92" t="str">
        <f t="shared" si="16"/>
        <v>#N/A</v>
      </c>
      <c r="Q4" s="92" t="str">
        <f t="shared" si="17"/>
        <v>#N/A</v>
      </c>
      <c r="R4" s="92" t="str">
        <f t="shared" si="18"/>
        <v>#N/A</v>
      </c>
      <c r="S4" s="92">
        <f t="array" ref="S4">COUNTIF(INT(RANDARRAY(R4,1)*6), "&gt;=" &amp; L4-1)</f>
        <v>1</v>
      </c>
      <c r="T4" s="92">
        <f t="array" ref="T4">COUNTIF(INT(RANDARRAY(I4,1)*6), "&lt;" &amp; M4-1)</f>
        <v>1</v>
      </c>
      <c r="U4" s="2" t="str">
        <f t="shared" si="3"/>
        <v>#N/A</v>
      </c>
      <c r="V4" s="92">
        <f t="shared" si="4"/>
        <v>0</v>
      </c>
      <c r="W4" s="92" t="str">
        <f t="shared" si="5"/>
        <v>#N/A</v>
      </c>
      <c r="X4" s="92" t="str">
        <f t="shared" si="6"/>
        <v>#N/A</v>
      </c>
      <c r="Y4" s="92" t="str">
        <f t="shared" si="7"/>
        <v>#N/A</v>
      </c>
      <c r="Z4" s="92" t="str">
        <f t="shared" si="8"/>
        <v>#N/A</v>
      </c>
      <c r="AA4" s="92" t="str">
        <f t="shared" si="9"/>
        <v>#N/A</v>
      </c>
    </row>
    <row r="5">
      <c r="A5" s="2">
        <v>4.0</v>
      </c>
      <c r="B5" s="92" t="str">
        <f t="shared" ref="B5:E5" si="19">B4</f>
        <v>#N/A</v>
      </c>
      <c r="C5" s="92">
        <f t="shared" si="19"/>
        <v>7</v>
      </c>
      <c r="D5" s="92" t="str">
        <f t="shared" si="19"/>
        <v>#N/A</v>
      </c>
      <c r="E5" s="92" t="str">
        <f t="shared" si="19"/>
        <v>#N/A</v>
      </c>
      <c r="F5" s="92" t="str">
        <f t="shared" si="11"/>
        <v>#N/A</v>
      </c>
      <c r="G5" s="92" t="str">
        <f t="shared" si="12"/>
        <v>#N/A</v>
      </c>
      <c r="H5" s="92" t="str">
        <f t="shared" si="13"/>
        <v>#N/A</v>
      </c>
      <c r="I5" s="92">
        <f t="array" ref="I5">COUNTIF(INT(RANDARRAY(H5,1)*6), "&gt;=" &amp; B5-1)</f>
        <v>1</v>
      </c>
      <c r="J5" s="92">
        <f t="array" ref="J5">COUNTIF(INT(RANDARRAY(S5,1)*6), "&lt;" &amp; C5-1)</f>
        <v>1</v>
      </c>
      <c r="K5" s="2" t="str">
        <f t="shared" si="14"/>
        <v>#N/A</v>
      </c>
      <c r="L5" s="92" t="str">
        <f t="shared" ref="L5:O5" si="20">L4</f>
        <v>#N/A</v>
      </c>
      <c r="M5" s="92">
        <f t="shared" si="20"/>
        <v>7</v>
      </c>
      <c r="N5" s="92" t="str">
        <f t="shared" si="20"/>
        <v>#N/A</v>
      </c>
      <c r="O5" s="92" t="str">
        <f t="shared" si="20"/>
        <v>#N/A</v>
      </c>
      <c r="P5" s="92" t="str">
        <f t="shared" si="16"/>
        <v>#N/A</v>
      </c>
      <c r="Q5" s="92" t="str">
        <f t="shared" si="17"/>
        <v>#N/A</v>
      </c>
      <c r="R5" s="92" t="str">
        <f t="shared" si="18"/>
        <v>#N/A</v>
      </c>
      <c r="S5" s="92">
        <f t="array" ref="S5">COUNTIF(INT(RANDARRAY(R5,1)*6), "&gt;=" &amp; L5-1)</f>
        <v>1</v>
      </c>
      <c r="T5" s="92">
        <f t="array" ref="T5">COUNTIF(INT(RANDARRAY(I5,1)*6), "&lt;" &amp; M5-1)</f>
        <v>1</v>
      </c>
      <c r="U5" s="2" t="str">
        <f t="shared" si="3"/>
        <v>#N/A</v>
      </c>
      <c r="V5" s="92">
        <f t="shared" si="4"/>
        <v>0</v>
      </c>
      <c r="W5" s="92" t="str">
        <f t="shared" si="5"/>
        <v>#N/A</v>
      </c>
      <c r="X5" s="92" t="str">
        <f t="shared" si="6"/>
        <v>#N/A</v>
      </c>
      <c r="Y5" s="92" t="str">
        <f t="shared" si="7"/>
        <v>#N/A</v>
      </c>
      <c r="Z5" s="92" t="str">
        <f t="shared" si="8"/>
        <v>#N/A</v>
      </c>
      <c r="AA5" s="92" t="str">
        <f t="shared" si="9"/>
        <v>#N/A</v>
      </c>
    </row>
    <row r="6">
      <c r="A6" s="2">
        <v>5.0</v>
      </c>
      <c r="B6" s="92" t="str">
        <f t="shared" ref="B6:E6" si="21">B5</f>
        <v>#N/A</v>
      </c>
      <c r="C6" s="92">
        <f t="shared" si="21"/>
        <v>7</v>
      </c>
      <c r="D6" s="92" t="str">
        <f t="shared" si="21"/>
        <v>#N/A</v>
      </c>
      <c r="E6" s="92" t="str">
        <f t="shared" si="21"/>
        <v>#N/A</v>
      </c>
      <c r="F6" s="92" t="str">
        <f t="shared" si="11"/>
        <v>#N/A</v>
      </c>
      <c r="G6" s="92" t="str">
        <f t="shared" si="12"/>
        <v>#N/A</v>
      </c>
      <c r="H6" s="92" t="str">
        <f t="shared" si="13"/>
        <v>#N/A</v>
      </c>
      <c r="I6" s="92">
        <f t="array" ref="I6">COUNTIF(INT(RANDARRAY(H6,1)*6), "&gt;=" &amp; B6-1)</f>
        <v>1</v>
      </c>
      <c r="J6" s="92">
        <f t="array" ref="J6">COUNTIF(INT(RANDARRAY(S6,1)*6), "&lt;" &amp; C6-1)</f>
        <v>1</v>
      </c>
      <c r="K6" s="2" t="str">
        <f t="shared" si="14"/>
        <v>#N/A</v>
      </c>
      <c r="L6" s="92" t="str">
        <f t="shared" ref="L6:O6" si="22">L5</f>
        <v>#N/A</v>
      </c>
      <c r="M6" s="92">
        <f t="shared" si="22"/>
        <v>7</v>
      </c>
      <c r="N6" s="92" t="str">
        <f t="shared" si="22"/>
        <v>#N/A</v>
      </c>
      <c r="O6" s="92" t="str">
        <f t="shared" si="22"/>
        <v>#N/A</v>
      </c>
      <c r="P6" s="92" t="str">
        <f t="shared" si="16"/>
        <v>#N/A</v>
      </c>
      <c r="Q6" s="92" t="str">
        <f t="shared" si="17"/>
        <v>#N/A</v>
      </c>
      <c r="R6" s="92" t="str">
        <f t="shared" si="18"/>
        <v>#N/A</v>
      </c>
      <c r="S6" s="92">
        <f t="array" ref="S6">COUNTIF(INT(RANDARRAY(R6,1)*6), "&gt;=" &amp; L6-1)</f>
        <v>1</v>
      </c>
      <c r="T6" s="92">
        <f t="array" ref="T6">COUNTIF(INT(RANDARRAY(I6,1)*6), "&lt;" &amp; M6-1)</f>
        <v>1</v>
      </c>
      <c r="U6" s="2" t="str">
        <f t="shared" si="3"/>
        <v>#N/A</v>
      </c>
      <c r="V6" s="92">
        <f t="shared" si="4"/>
        <v>0</v>
      </c>
      <c r="W6" s="92" t="str">
        <f t="shared" si="5"/>
        <v>#N/A</v>
      </c>
      <c r="X6" s="92" t="str">
        <f t="shared" si="6"/>
        <v>#N/A</v>
      </c>
      <c r="Y6" s="92" t="str">
        <f t="shared" si="7"/>
        <v>#N/A</v>
      </c>
      <c r="Z6" s="92" t="str">
        <f t="shared" si="8"/>
        <v>#N/A</v>
      </c>
      <c r="AA6" s="92" t="str">
        <f t="shared" si="9"/>
        <v>#N/A</v>
      </c>
    </row>
    <row r="7">
      <c r="A7" s="2">
        <v>6.0</v>
      </c>
      <c r="B7" s="92" t="str">
        <f t="shared" ref="B7:E7" si="23">B6</f>
        <v>#N/A</v>
      </c>
      <c r="C7" s="92">
        <f t="shared" si="23"/>
        <v>7</v>
      </c>
      <c r="D7" s="92" t="str">
        <f t="shared" si="23"/>
        <v>#N/A</v>
      </c>
      <c r="E7" s="92" t="str">
        <f t="shared" si="23"/>
        <v>#N/A</v>
      </c>
      <c r="F7" s="92" t="str">
        <f t="shared" si="11"/>
        <v>#N/A</v>
      </c>
      <c r="G7" s="92" t="str">
        <f t="shared" si="12"/>
        <v>#N/A</v>
      </c>
      <c r="H7" s="92" t="str">
        <f t="shared" si="13"/>
        <v>#N/A</v>
      </c>
      <c r="I7" s="92">
        <f t="array" ref="I7">COUNTIF(INT(RANDARRAY(H7,1)*6), "&gt;=" &amp; B7-1)</f>
        <v>1</v>
      </c>
      <c r="J7" s="92">
        <f t="array" ref="J7">COUNTIF(INT(RANDARRAY(S7,1)*6), "&lt;" &amp; C7-1)</f>
        <v>1</v>
      </c>
      <c r="K7" s="2" t="str">
        <f t="shared" si="14"/>
        <v>#N/A</v>
      </c>
      <c r="L7" s="92" t="str">
        <f t="shared" ref="L7:O7" si="24">L6</f>
        <v>#N/A</v>
      </c>
      <c r="M7" s="92">
        <f t="shared" si="24"/>
        <v>7</v>
      </c>
      <c r="N7" s="92" t="str">
        <f t="shared" si="24"/>
        <v>#N/A</v>
      </c>
      <c r="O7" s="92" t="str">
        <f t="shared" si="24"/>
        <v>#N/A</v>
      </c>
      <c r="P7" s="92" t="str">
        <f t="shared" si="16"/>
        <v>#N/A</v>
      </c>
      <c r="Q7" s="92" t="str">
        <f t="shared" si="17"/>
        <v>#N/A</v>
      </c>
      <c r="R7" s="92" t="str">
        <f t="shared" si="18"/>
        <v>#N/A</v>
      </c>
      <c r="S7" s="92">
        <f t="array" ref="S7">COUNTIF(INT(RANDARRAY(R7,1)*6), "&gt;=" &amp; L7-1)</f>
        <v>1</v>
      </c>
      <c r="T7" s="92">
        <f t="array" ref="T7">COUNTIF(INT(RANDARRAY(I7,1)*6), "&lt;" &amp; M7-1)</f>
        <v>1</v>
      </c>
      <c r="U7" s="2" t="str">
        <f t="shared" si="3"/>
        <v>#N/A</v>
      </c>
      <c r="V7" s="92">
        <f t="shared" si="4"/>
        <v>0</v>
      </c>
      <c r="W7" s="92" t="str">
        <f t="shared" si="5"/>
        <v>#N/A</v>
      </c>
      <c r="X7" s="92" t="str">
        <f t="shared" si="6"/>
        <v>#N/A</v>
      </c>
      <c r="Y7" s="92" t="str">
        <f t="shared" si="7"/>
        <v>#N/A</v>
      </c>
      <c r="Z7" s="92" t="str">
        <f t="shared" si="8"/>
        <v>#N/A</v>
      </c>
      <c r="AA7" s="92" t="str">
        <f t="shared" si="9"/>
        <v>#N/A</v>
      </c>
    </row>
    <row r="8">
      <c r="A8" s="2">
        <v>7.0</v>
      </c>
      <c r="B8" s="92" t="str">
        <f t="shared" ref="B8:E8" si="25">B7</f>
        <v>#N/A</v>
      </c>
      <c r="C8" s="92">
        <f t="shared" si="25"/>
        <v>7</v>
      </c>
      <c r="D8" s="92" t="str">
        <f t="shared" si="25"/>
        <v>#N/A</v>
      </c>
      <c r="E8" s="92" t="str">
        <f t="shared" si="25"/>
        <v>#N/A</v>
      </c>
      <c r="F8" s="92" t="str">
        <f t="shared" si="11"/>
        <v>#N/A</v>
      </c>
      <c r="G8" s="92" t="str">
        <f t="shared" si="12"/>
        <v>#N/A</v>
      </c>
      <c r="H8" s="92" t="str">
        <f t="shared" si="13"/>
        <v>#N/A</v>
      </c>
      <c r="I8" s="92">
        <f t="array" ref="I8">COUNTIF(INT(RANDARRAY(H8,1)*6), "&gt;=" &amp; B8-1)</f>
        <v>1</v>
      </c>
      <c r="J8" s="92">
        <f t="array" ref="J8">COUNTIF(INT(RANDARRAY(S8,1)*6), "&lt;" &amp; C8-1)</f>
        <v>1</v>
      </c>
      <c r="K8" s="2" t="str">
        <f t="shared" si="14"/>
        <v>#N/A</v>
      </c>
      <c r="L8" s="92" t="str">
        <f t="shared" ref="L8:O8" si="26">L7</f>
        <v>#N/A</v>
      </c>
      <c r="M8" s="92">
        <f t="shared" si="26"/>
        <v>7</v>
      </c>
      <c r="N8" s="92" t="str">
        <f t="shared" si="26"/>
        <v>#N/A</v>
      </c>
      <c r="O8" s="92" t="str">
        <f t="shared" si="26"/>
        <v>#N/A</v>
      </c>
      <c r="P8" s="92" t="str">
        <f t="shared" si="16"/>
        <v>#N/A</v>
      </c>
      <c r="Q8" s="92" t="str">
        <f t="shared" si="17"/>
        <v>#N/A</v>
      </c>
      <c r="R8" s="92" t="str">
        <f t="shared" si="18"/>
        <v>#N/A</v>
      </c>
      <c r="S8" s="92">
        <f t="array" ref="S8">COUNTIF(INT(RANDARRAY(R8,1)*6), "&gt;=" &amp; L8-1)</f>
        <v>1</v>
      </c>
      <c r="T8" s="92">
        <f t="array" ref="T8">COUNTIF(INT(RANDARRAY(I8,1)*6), "&lt;" &amp; M8-1)</f>
        <v>1</v>
      </c>
      <c r="U8" s="2" t="str">
        <f t="shared" si="3"/>
        <v>#N/A</v>
      </c>
      <c r="V8" s="92">
        <f t="shared" si="4"/>
        <v>0</v>
      </c>
      <c r="W8" s="92" t="str">
        <f t="shared" si="5"/>
        <v>#N/A</v>
      </c>
      <c r="X8" s="92" t="str">
        <f t="shared" si="6"/>
        <v>#N/A</v>
      </c>
      <c r="Y8" s="92" t="str">
        <f t="shared" si="7"/>
        <v>#N/A</v>
      </c>
      <c r="Z8" s="92" t="str">
        <f t="shared" si="8"/>
        <v>#N/A</v>
      </c>
      <c r="AA8" s="92" t="str">
        <f t="shared" si="9"/>
        <v>#N/A</v>
      </c>
    </row>
    <row r="9">
      <c r="A9" s="2">
        <v>8.0</v>
      </c>
      <c r="B9" s="92" t="str">
        <f t="shared" ref="B9:E9" si="27">B8</f>
        <v>#N/A</v>
      </c>
      <c r="C9" s="92">
        <f t="shared" si="27"/>
        <v>7</v>
      </c>
      <c r="D9" s="92" t="str">
        <f t="shared" si="27"/>
        <v>#N/A</v>
      </c>
      <c r="E9" s="92" t="str">
        <f t="shared" si="27"/>
        <v>#N/A</v>
      </c>
      <c r="F9" s="92" t="str">
        <f t="shared" si="11"/>
        <v>#N/A</v>
      </c>
      <c r="G9" s="92" t="str">
        <f t="shared" si="12"/>
        <v>#N/A</v>
      </c>
      <c r="H9" s="92" t="str">
        <f t="shared" si="13"/>
        <v>#N/A</v>
      </c>
      <c r="I9" s="92">
        <f t="array" ref="I9">COUNTIF(INT(RANDARRAY(H9,1)*6), "&gt;=" &amp; B9-1)</f>
        <v>1</v>
      </c>
      <c r="J9" s="92">
        <f t="array" ref="J9">COUNTIF(INT(RANDARRAY(S9,1)*6), "&lt;" &amp; C9-1)</f>
        <v>1</v>
      </c>
      <c r="K9" s="2" t="str">
        <f t="shared" si="14"/>
        <v>#N/A</v>
      </c>
      <c r="L9" s="92" t="str">
        <f t="shared" ref="L9:O9" si="28">L8</f>
        <v>#N/A</v>
      </c>
      <c r="M9" s="92">
        <f t="shared" si="28"/>
        <v>7</v>
      </c>
      <c r="N9" s="92" t="str">
        <f t="shared" si="28"/>
        <v>#N/A</v>
      </c>
      <c r="O9" s="92" t="str">
        <f t="shared" si="28"/>
        <v>#N/A</v>
      </c>
      <c r="P9" s="92" t="str">
        <f t="shared" si="16"/>
        <v>#N/A</v>
      </c>
      <c r="Q9" s="92" t="str">
        <f t="shared" si="17"/>
        <v>#N/A</v>
      </c>
      <c r="R9" s="92" t="str">
        <f t="shared" si="18"/>
        <v>#N/A</v>
      </c>
      <c r="S9" s="92">
        <f t="array" ref="S9">COUNTIF(INT(RANDARRAY(R9,1)*6), "&gt;=" &amp; L9-1)</f>
        <v>1</v>
      </c>
      <c r="T9" s="92">
        <f t="array" ref="T9">COUNTIF(INT(RANDARRAY(I9,1)*6), "&lt;" &amp; M9-1)</f>
        <v>1</v>
      </c>
      <c r="U9" s="2" t="str">
        <f t="shared" si="3"/>
        <v>#N/A</v>
      </c>
      <c r="V9" s="92">
        <f t="shared" si="4"/>
        <v>0</v>
      </c>
      <c r="W9" s="92" t="str">
        <f t="shared" si="5"/>
        <v>#N/A</v>
      </c>
      <c r="X9" s="92" t="str">
        <f t="shared" si="6"/>
        <v>#N/A</v>
      </c>
      <c r="Y9" s="92" t="str">
        <f t="shared" si="7"/>
        <v>#N/A</v>
      </c>
      <c r="Z9" s="92" t="str">
        <f t="shared" si="8"/>
        <v>#N/A</v>
      </c>
      <c r="AA9" s="92" t="str">
        <f t="shared" si="9"/>
        <v>#N/A</v>
      </c>
    </row>
    <row r="10">
      <c r="A10" s="2">
        <v>9.0</v>
      </c>
      <c r="B10" s="92" t="str">
        <f t="shared" ref="B10:E10" si="29">B9</f>
        <v>#N/A</v>
      </c>
      <c r="C10" s="92">
        <f t="shared" si="29"/>
        <v>7</v>
      </c>
      <c r="D10" s="92" t="str">
        <f t="shared" si="29"/>
        <v>#N/A</v>
      </c>
      <c r="E10" s="92" t="str">
        <f t="shared" si="29"/>
        <v>#N/A</v>
      </c>
      <c r="F10" s="92" t="str">
        <f t="shared" si="11"/>
        <v>#N/A</v>
      </c>
      <c r="G10" s="92" t="str">
        <f t="shared" si="12"/>
        <v>#N/A</v>
      </c>
      <c r="H10" s="92" t="str">
        <f t="shared" si="13"/>
        <v>#N/A</v>
      </c>
      <c r="I10" s="92">
        <f t="array" ref="I10">COUNTIF(INT(RANDARRAY(H10,1)*6), "&gt;=" &amp; B10-1)</f>
        <v>1</v>
      </c>
      <c r="J10" s="92">
        <f t="array" ref="J10">COUNTIF(INT(RANDARRAY(S10,1)*6), "&lt;" &amp; C10-1)</f>
        <v>1</v>
      </c>
      <c r="K10" s="2" t="str">
        <f t="shared" si="14"/>
        <v>#N/A</v>
      </c>
      <c r="L10" s="92" t="str">
        <f t="shared" ref="L10:O10" si="30">L9</f>
        <v>#N/A</v>
      </c>
      <c r="M10" s="92">
        <f t="shared" si="30"/>
        <v>7</v>
      </c>
      <c r="N10" s="92" t="str">
        <f t="shared" si="30"/>
        <v>#N/A</v>
      </c>
      <c r="O10" s="92" t="str">
        <f t="shared" si="30"/>
        <v>#N/A</v>
      </c>
      <c r="P10" s="92" t="str">
        <f t="shared" si="16"/>
        <v>#N/A</v>
      </c>
      <c r="Q10" s="92" t="str">
        <f t="shared" si="17"/>
        <v>#N/A</v>
      </c>
      <c r="R10" s="92" t="str">
        <f t="shared" si="18"/>
        <v>#N/A</v>
      </c>
      <c r="S10" s="92">
        <f t="array" ref="S10">COUNTIF(INT(RANDARRAY(R10,1)*6), "&gt;=" &amp; L10-1)</f>
        <v>1</v>
      </c>
      <c r="T10" s="92">
        <f t="array" ref="T10">COUNTIF(INT(RANDARRAY(I10,1)*6), "&lt;" &amp; M10-1)</f>
        <v>1</v>
      </c>
      <c r="U10" s="2" t="str">
        <f t="shared" si="3"/>
        <v>#N/A</v>
      </c>
      <c r="V10" s="92">
        <f t="shared" si="4"/>
        <v>0</v>
      </c>
      <c r="W10" s="92" t="str">
        <f t="shared" si="5"/>
        <v>#N/A</v>
      </c>
      <c r="X10" s="92" t="str">
        <f t="shared" si="6"/>
        <v>#N/A</v>
      </c>
      <c r="Y10" s="92" t="str">
        <f t="shared" si="7"/>
        <v>#N/A</v>
      </c>
      <c r="Z10" s="92" t="str">
        <f t="shared" si="8"/>
        <v>#N/A</v>
      </c>
      <c r="AA10" s="92" t="str">
        <f t="shared" si="9"/>
        <v>#N/A</v>
      </c>
    </row>
    <row r="11">
      <c r="A11" s="2">
        <v>10.0</v>
      </c>
      <c r="B11" s="92" t="str">
        <f t="shared" ref="B11:E11" si="31">B10</f>
        <v>#N/A</v>
      </c>
      <c r="C11" s="92">
        <f t="shared" si="31"/>
        <v>7</v>
      </c>
      <c r="D11" s="92" t="str">
        <f t="shared" si="31"/>
        <v>#N/A</v>
      </c>
      <c r="E11" s="92" t="str">
        <f t="shared" si="31"/>
        <v>#N/A</v>
      </c>
      <c r="F11" s="92" t="str">
        <f t="shared" si="11"/>
        <v>#N/A</v>
      </c>
      <c r="G11" s="92" t="str">
        <f t="shared" si="12"/>
        <v>#N/A</v>
      </c>
      <c r="H11" s="92" t="str">
        <f t="shared" si="13"/>
        <v>#N/A</v>
      </c>
      <c r="I11" s="92">
        <f t="array" ref="I11">COUNTIF(INT(RANDARRAY(H11,1)*6), "&gt;=" &amp; B11-1)</f>
        <v>1</v>
      </c>
      <c r="J11" s="92">
        <f t="array" ref="J11">COUNTIF(INT(RANDARRAY(S11,1)*6), "&lt;" &amp; C11-1)</f>
        <v>1</v>
      </c>
      <c r="K11" s="2" t="str">
        <f t="shared" si="14"/>
        <v>#N/A</v>
      </c>
      <c r="L11" s="92" t="str">
        <f t="shared" ref="L11:O11" si="32">L10</f>
        <v>#N/A</v>
      </c>
      <c r="M11" s="92">
        <f t="shared" si="32"/>
        <v>7</v>
      </c>
      <c r="N11" s="92" t="str">
        <f t="shared" si="32"/>
        <v>#N/A</v>
      </c>
      <c r="O11" s="92" t="str">
        <f t="shared" si="32"/>
        <v>#N/A</v>
      </c>
      <c r="P11" s="92" t="str">
        <f t="shared" si="16"/>
        <v>#N/A</v>
      </c>
      <c r="Q11" s="92" t="str">
        <f t="shared" si="17"/>
        <v>#N/A</v>
      </c>
      <c r="R11" s="92" t="str">
        <f t="shared" si="18"/>
        <v>#N/A</v>
      </c>
      <c r="S11" s="92">
        <f t="array" ref="S11">COUNTIF(INT(RANDARRAY(R11,1)*6), "&gt;=" &amp; L11-1)</f>
        <v>1</v>
      </c>
      <c r="T11" s="92">
        <f t="array" ref="T11">COUNTIF(INT(RANDARRAY(I11,1)*6), "&lt;" &amp; M11-1)</f>
        <v>1</v>
      </c>
      <c r="U11" s="2" t="str">
        <f t="shared" si="3"/>
        <v>#N/A</v>
      </c>
      <c r="V11" s="92">
        <f t="shared" si="4"/>
        <v>0</v>
      </c>
      <c r="W11" s="92" t="str">
        <f t="shared" si="5"/>
        <v>#N/A</v>
      </c>
      <c r="X11" s="92" t="str">
        <f t="shared" si="6"/>
        <v>#N/A</v>
      </c>
      <c r="Y11" s="92" t="str">
        <f t="shared" si="7"/>
        <v>#N/A</v>
      </c>
      <c r="Z11" s="92" t="str">
        <f t="shared" si="8"/>
        <v>#N/A</v>
      </c>
      <c r="AA11" s="92" t="str">
        <f t="shared" si="9"/>
        <v>#N/A</v>
      </c>
    </row>
    <row r="12">
      <c r="F12" s="92" t="str">
        <f>ceiling(K11/D11,1)</f>
        <v>#N/A</v>
      </c>
      <c r="P12" s="92" t="str">
        <f>ceiling(U11/N11,1)</f>
        <v>#N/A</v>
      </c>
    </row>
  </sheetData>
  <conditionalFormatting sqref="D1 F1 P1 D3:D11 F3:F12 P3:P12">
    <cfRule type="cellIs" dxfId="13" priority="1" operator="lessThan">
      <formula>1</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16.5"/>
    <col customWidth="1" min="3" max="4" width="18.0"/>
    <col customWidth="1" min="16" max="16" width="92.88"/>
    <col customWidth="1" min="25" max="25" width="57.63"/>
  </cols>
  <sheetData>
    <row r="1">
      <c r="A1" s="146" t="s">
        <v>706</v>
      </c>
      <c r="B1" s="147" t="s">
        <v>708</v>
      </c>
      <c r="C1" s="147"/>
      <c r="D1" s="147" t="s">
        <v>709</v>
      </c>
      <c r="E1" s="148" t="s">
        <v>710</v>
      </c>
      <c r="F1" s="147" t="s">
        <v>711</v>
      </c>
      <c r="G1" s="147" t="s">
        <v>712</v>
      </c>
      <c r="H1" s="147" t="s">
        <v>713</v>
      </c>
      <c r="I1" s="149" t="s">
        <v>714</v>
      </c>
      <c r="P1" s="147" t="s">
        <v>715</v>
      </c>
      <c r="Q1" s="148" t="s">
        <v>716</v>
      </c>
      <c r="Y1" s="150"/>
    </row>
    <row r="2" ht="22.5" customHeight="1">
      <c r="A2" s="104" t="s">
        <v>84</v>
      </c>
      <c r="B2" s="103" t="s">
        <v>68</v>
      </c>
      <c r="C2" s="11" t="s">
        <v>719</v>
      </c>
      <c r="D2" s="103" t="s">
        <v>720</v>
      </c>
      <c r="E2" s="152" t="s">
        <v>88</v>
      </c>
      <c r="F2" s="64" t="s">
        <v>70</v>
      </c>
      <c r="G2" s="64" t="s">
        <v>174</v>
      </c>
      <c r="H2" s="64" t="s">
        <v>721</v>
      </c>
      <c r="I2" s="64" t="s">
        <v>92</v>
      </c>
      <c r="J2" s="64" t="s">
        <v>93</v>
      </c>
      <c r="K2" s="64" t="s">
        <v>94</v>
      </c>
      <c r="L2" s="64" t="s">
        <v>722</v>
      </c>
      <c r="M2" s="64" t="s">
        <v>95</v>
      </c>
      <c r="N2" s="64" t="s">
        <v>96</v>
      </c>
      <c r="O2" s="64" t="s">
        <v>97</v>
      </c>
      <c r="P2" s="10" t="s">
        <v>98</v>
      </c>
      <c r="Q2" s="153" t="s">
        <v>102</v>
      </c>
      <c r="R2" s="153" t="s">
        <v>103</v>
      </c>
      <c r="S2" s="153" t="s">
        <v>104</v>
      </c>
      <c r="T2" s="153" t="s">
        <v>105</v>
      </c>
      <c r="U2" s="153" t="s">
        <v>107</v>
      </c>
      <c r="V2" s="153" t="s">
        <v>108</v>
      </c>
      <c r="W2" s="153" t="s">
        <v>109</v>
      </c>
      <c r="X2" s="153" t="s">
        <v>110</v>
      </c>
      <c r="Y2" s="153" t="s">
        <v>723</v>
      </c>
    </row>
    <row r="3" ht="22.5" customHeight="1">
      <c r="A3" s="154" t="s">
        <v>724</v>
      </c>
      <c r="B3" s="155" t="s">
        <v>138</v>
      </c>
      <c r="C3" s="156"/>
      <c r="D3" s="157" t="s">
        <v>725</v>
      </c>
      <c r="E3" s="158">
        <v>6.0</v>
      </c>
      <c r="F3" s="158">
        <v>1.0</v>
      </c>
      <c r="G3" s="158">
        <v>2.0</v>
      </c>
      <c r="H3" s="158">
        <v>6.0</v>
      </c>
      <c r="I3" s="158">
        <v>1.0</v>
      </c>
      <c r="J3" s="158">
        <v>4.0</v>
      </c>
      <c r="K3" s="158" t="s">
        <v>147</v>
      </c>
      <c r="L3" s="159">
        <v>6.0</v>
      </c>
      <c r="M3" s="159" t="s">
        <v>150</v>
      </c>
      <c r="N3" s="158">
        <v>1.0</v>
      </c>
      <c r="O3" s="159" t="s">
        <v>153</v>
      </c>
      <c r="P3" s="160" t="s">
        <v>155</v>
      </c>
      <c r="Q3" s="161"/>
      <c r="R3" s="161"/>
      <c r="S3" s="162">
        <v>1.0</v>
      </c>
      <c r="T3" s="162">
        <v>1.0</v>
      </c>
      <c r="U3" s="162">
        <v>1.0</v>
      </c>
      <c r="V3" s="162">
        <v>1.0</v>
      </c>
      <c r="W3" s="162">
        <v>1.0</v>
      </c>
    </row>
    <row r="4" ht="22.5" customHeight="1">
      <c r="A4" s="163" t="s">
        <v>726</v>
      </c>
      <c r="B4" s="57" t="s">
        <v>10</v>
      </c>
      <c r="C4" s="164" t="s">
        <v>727</v>
      </c>
      <c r="D4" s="165" t="s">
        <v>729</v>
      </c>
      <c r="E4" s="166">
        <v>6.0</v>
      </c>
      <c r="F4" s="166">
        <v>1.0</v>
      </c>
      <c r="G4" s="167"/>
      <c r="H4" s="168">
        <v>4.0</v>
      </c>
      <c r="I4" s="166">
        <v>1.0</v>
      </c>
      <c r="J4" s="169">
        <v>4.0</v>
      </c>
      <c r="K4" s="170" t="s">
        <v>731</v>
      </c>
      <c r="L4" s="171"/>
      <c r="M4" s="172" t="s">
        <v>150</v>
      </c>
      <c r="N4" s="169">
        <v>1.0</v>
      </c>
      <c r="O4" s="173" t="s">
        <v>194</v>
      </c>
      <c r="P4" s="174" t="s">
        <v>733</v>
      </c>
      <c r="Q4" s="175"/>
      <c r="R4" s="175"/>
      <c r="S4" s="176"/>
      <c r="T4" s="176"/>
      <c r="U4" s="176"/>
      <c r="V4" s="176"/>
      <c r="W4" s="176"/>
      <c r="X4" s="76"/>
      <c r="Y4" s="76"/>
    </row>
    <row r="5" ht="22.5" customHeight="1">
      <c r="A5" s="163" t="s">
        <v>143</v>
      </c>
      <c r="B5" s="57" t="s">
        <v>10</v>
      </c>
      <c r="C5" s="164" t="s">
        <v>734</v>
      </c>
      <c r="D5" s="165" t="s">
        <v>729</v>
      </c>
      <c r="E5" s="166">
        <v>6.0</v>
      </c>
      <c r="F5" s="166">
        <v>1.0</v>
      </c>
      <c r="G5" s="167"/>
      <c r="H5" s="168">
        <v>6.0</v>
      </c>
      <c r="I5" s="166">
        <v>1.0</v>
      </c>
      <c r="J5" s="169">
        <v>5.0</v>
      </c>
      <c r="K5" s="170" t="s">
        <v>731</v>
      </c>
      <c r="L5" s="171"/>
      <c r="M5" s="172" t="s">
        <v>150</v>
      </c>
      <c r="N5" s="169">
        <v>1.0</v>
      </c>
      <c r="O5" s="173" t="s">
        <v>153</v>
      </c>
      <c r="P5" s="174" t="s">
        <v>735</v>
      </c>
      <c r="Q5" s="175"/>
      <c r="R5" s="175"/>
      <c r="S5" s="176"/>
      <c r="T5" s="176"/>
      <c r="U5" s="176"/>
      <c r="V5" s="176"/>
      <c r="W5" s="176"/>
      <c r="X5" s="76"/>
      <c r="Y5" s="76"/>
    </row>
    <row r="6" ht="22.5" customHeight="1">
      <c r="A6" s="163" t="s">
        <v>736</v>
      </c>
      <c r="B6" s="57" t="s">
        <v>10</v>
      </c>
      <c r="C6" s="164" t="s">
        <v>736</v>
      </c>
      <c r="D6" s="165" t="s">
        <v>729</v>
      </c>
      <c r="E6" s="166">
        <v>6.0</v>
      </c>
      <c r="F6" s="166">
        <v>1.0</v>
      </c>
      <c r="G6" s="167"/>
      <c r="H6" s="168">
        <v>10.0</v>
      </c>
      <c r="I6" s="166">
        <v>1.0</v>
      </c>
      <c r="J6" s="169">
        <v>5.0</v>
      </c>
      <c r="K6" s="170">
        <v>5.0</v>
      </c>
      <c r="L6" s="171"/>
      <c r="M6" s="172" t="s">
        <v>150</v>
      </c>
      <c r="N6" s="169">
        <v>1.0</v>
      </c>
      <c r="O6" s="173" t="s">
        <v>731</v>
      </c>
      <c r="P6" s="174" t="s">
        <v>739</v>
      </c>
      <c r="Q6" s="175"/>
      <c r="R6" s="175"/>
      <c r="S6" s="176"/>
      <c r="T6" s="176"/>
      <c r="U6" s="176"/>
      <c r="V6" s="176"/>
      <c r="W6" s="176"/>
      <c r="X6" s="76"/>
      <c r="Y6" s="76"/>
    </row>
    <row r="7" ht="22.5" customHeight="1">
      <c r="A7" s="44" t="s">
        <v>741</v>
      </c>
      <c r="B7" s="57" t="s">
        <v>10</v>
      </c>
      <c r="C7" s="164" t="s">
        <v>55</v>
      </c>
      <c r="D7" s="165" t="s">
        <v>729</v>
      </c>
      <c r="E7" s="166">
        <v>6.0</v>
      </c>
      <c r="F7" s="166">
        <v>1.0</v>
      </c>
      <c r="G7" s="167"/>
      <c r="H7" s="168">
        <v>6.0</v>
      </c>
      <c r="I7" s="166">
        <v>1.0</v>
      </c>
      <c r="J7" s="169">
        <v>5.0</v>
      </c>
      <c r="K7" s="170">
        <v>4.0</v>
      </c>
      <c r="L7" s="171"/>
      <c r="M7" s="172" t="s">
        <v>150</v>
      </c>
      <c r="N7" s="169">
        <v>1.0</v>
      </c>
      <c r="O7" s="173" t="s">
        <v>217</v>
      </c>
      <c r="P7" s="174" t="s">
        <v>735</v>
      </c>
      <c r="Q7" s="175"/>
      <c r="R7" s="175"/>
      <c r="S7" s="176"/>
      <c r="T7" s="176"/>
      <c r="U7" s="176"/>
      <c r="V7" s="176"/>
      <c r="W7" s="176"/>
      <c r="X7" s="76"/>
      <c r="Y7" s="76"/>
    </row>
    <row r="8" ht="22.5" customHeight="1">
      <c r="A8" s="44" t="s">
        <v>428</v>
      </c>
      <c r="B8" s="57" t="s">
        <v>10</v>
      </c>
      <c r="C8" s="164" t="s">
        <v>742</v>
      </c>
      <c r="D8" s="165" t="s">
        <v>729</v>
      </c>
      <c r="E8" s="166">
        <v>6.0</v>
      </c>
      <c r="F8" s="166">
        <v>1.0</v>
      </c>
      <c r="G8" s="167"/>
      <c r="H8" s="168">
        <v>6.0</v>
      </c>
      <c r="I8" s="166">
        <v>1.0</v>
      </c>
      <c r="J8" s="169">
        <v>5.0</v>
      </c>
      <c r="K8" s="170">
        <v>4.0</v>
      </c>
      <c r="L8" s="171"/>
      <c r="M8" s="172" t="s">
        <v>150</v>
      </c>
      <c r="N8" s="169">
        <v>1.0</v>
      </c>
      <c r="O8" s="173" t="s">
        <v>217</v>
      </c>
      <c r="P8" s="174" t="s">
        <v>735</v>
      </c>
      <c r="Q8" s="175"/>
      <c r="R8" s="175"/>
      <c r="S8" s="176"/>
      <c r="T8" s="176"/>
      <c r="U8" s="176"/>
      <c r="V8" s="176"/>
      <c r="W8" s="176"/>
      <c r="X8" s="76"/>
      <c r="Y8" s="76"/>
    </row>
    <row r="9" ht="22.5" customHeight="1">
      <c r="A9" s="177" t="s">
        <v>745</v>
      </c>
      <c r="B9" s="57" t="s">
        <v>10</v>
      </c>
      <c r="C9" s="164"/>
      <c r="D9" s="165" t="s">
        <v>729</v>
      </c>
      <c r="E9" s="178">
        <v>6.0</v>
      </c>
      <c r="F9" s="178">
        <v>1.0</v>
      </c>
      <c r="G9" s="179"/>
      <c r="H9" s="178">
        <v>6.0</v>
      </c>
      <c r="I9" s="178">
        <v>1.0</v>
      </c>
      <c r="J9" s="178">
        <v>4.0</v>
      </c>
      <c r="K9" s="178" t="s">
        <v>731</v>
      </c>
      <c r="L9" s="179"/>
      <c r="M9" s="180" t="s">
        <v>150</v>
      </c>
      <c r="N9" s="178">
        <v>1.0</v>
      </c>
      <c r="O9" s="180" t="s">
        <v>153</v>
      </c>
      <c r="P9" s="181" t="s">
        <v>747</v>
      </c>
      <c r="Q9" s="175"/>
      <c r="R9" s="175"/>
      <c r="S9" s="176"/>
      <c r="T9" s="176"/>
      <c r="U9" s="176"/>
      <c r="V9" s="176"/>
      <c r="W9" s="176"/>
      <c r="X9" s="76"/>
      <c r="Y9" s="76"/>
    </row>
    <row r="10" ht="22.5" customHeight="1">
      <c r="A10" s="163" t="s">
        <v>748</v>
      </c>
      <c r="B10" s="57" t="s">
        <v>10</v>
      </c>
      <c r="C10" s="164" t="s">
        <v>749</v>
      </c>
      <c r="D10" s="165" t="s">
        <v>156</v>
      </c>
      <c r="E10" s="60">
        <v>5.0</v>
      </c>
      <c r="F10" s="135">
        <v>2.0</v>
      </c>
      <c r="G10" s="137"/>
      <c r="H10" s="135">
        <v>1.0</v>
      </c>
      <c r="I10" s="135">
        <v>1.0</v>
      </c>
      <c r="J10" s="135">
        <v>1.0</v>
      </c>
      <c r="K10" s="135">
        <v>3.0</v>
      </c>
      <c r="L10" s="60"/>
      <c r="M10" s="136" t="s">
        <v>372</v>
      </c>
      <c r="N10" s="135">
        <v>4.0</v>
      </c>
      <c r="O10" s="136" t="s">
        <v>153</v>
      </c>
      <c r="P10" s="67" t="s">
        <v>750</v>
      </c>
      <c r="Q10" s="175"/>
      <c r="R10" s="175"/>
      <c r="S10" s="176"/>
      <c r="T10" s="176"/>
      <c r="U10" s="176"/>
      <c r="V10" s="176"/>
      <c r="W10" s="176"/>
    </row>
    <row r="11" ht="22.5" customHeight="1">
      <c r="A11" s="163" t="s">
        <v>751</v>
      </c>
      <c r="B11" s="57" t="s">
        <v>10</v>
      </c>
      <c r="C11" s="164" t="s">
        <v>752</v>
      </c>
      <c r="D11" s="165" t="s">
        <v>156</v>
      </c>
      <c r="E11" s="60">
        <v>5.0</v>
      </c>
      <c r="F11" s="135">
        <v>2.0</v>
      </c>
      <c r="G11" s="137"/>
      <c r="H11" s="135">
        <v>1.0</v>
      </c>
      <c r="I11" s="135">
        <v>1.0</v>
      </c>
      <c r="J11" s="135">
        <v>1.0</v>
      </c>
      <c r="K11" s="135">
        <v>5.0</v>
      </c>
      <c r="L11" s="135"/>
      <c r="M11" s="136" t="s">
        <v>372</v>
      </c>
      <c r="N11" s="135">
        <v>4.0</v>
      </c>
      <c r="O11" s="136" t="s">
        <v>153</v>
      </c>
      <c r="P11" s="67" t="s">
        <v>753</v>
      </c>
      <c r="Q11" s="175"/>
      <c r="R11" s="175"/>
      <c r="S11" s="176"/>
      <c r="T11" s="176"/>
      <c r="U11" s="176"/>
      <c r="V11" s="176"/>
      <c r="W11" s="176"/>
      <c r="X11" s="76"/>
      <c r="Y11" s="76"/>
    </row>
    <row r="12" ht="22.5" customHeight="1">
      <c r="A12" s="163" t="s">
        <v>755</v>
      </c>
      <c r="B12" s="57" t="s">
        <v>10</v>
      </c>
      <c r="C12" s="164" t="s">
        <v>757</v>
      </c>
      <c r="D12" s="165" t="s">
        <v>156</v>
      </c>
      <c r="E12" s="60">
        <v>5.0</v>
      </c>
      <c r="F12" s="135">
        <v>2.0</v>
      </c>
      <c r="G12" s="137"/>
      <c r="H12" s="135">
        <v>1.0</v>
      </c>
      <c r="I12" s="135">
        <v>1.0</v>
      </c>
      <c r="J12" s="135">
        <v>1.0</v>
      </c>
      <c r="K12" s="135">
        <v>5.0</v>
      </c>
      <c r="L12" s="135"/>
      <c r="M12" s="136" t="s">
        <v>372</v>
      </c>
      <c r="N12" s="135">
        <v>4.0</v>
      </c>
      <c r="O12" s="136" t="s">
        <v>153</v>
      </c>
      <c r="P12" s="67" t="s">
        <v>759</v>
      </c>
      <c r="Q12" s="175"/>
      <c r="R12" s="175"/>
      <c r="S12" s="176"/>
      <c r="T12" s="176"/>
      <c r="U12" s="176"/>
      <c r="V12" s="176"/>
      <c r="W12" s="176"/>
      <c r="X12" s="76"/>
      <c r="Y12" s="76"/>
    </row>
    <row r="13" ht="22.5" customHeight="1">
      <c r="A13" s="163" t="s">
        <v>761</v>
      </c>
      <c r="B13" s="57" t="s">
        <v>10</v>
      </c>
      <c r="C13" s="164"/>
      <c r="D13" s="165" t="s">
        <v>762</v>
      </c>
      <c r="E13" s="166">
        <v>4.0</v>
      </c>
      <c r="F13" s="171">
        <v>2.0</v>
      </c>
      <c r="G13" s="167"/>
      <c r="H13" s="168">
        <v>2.0</v>
      </c>
      <c r="I13" s="166">
        <v>2.0</v>
      </c>
      <c r="J13" s="169">
        <v>3.0</v>
      </c>
      <c r="K13" s="170" t="s">
        <v>731</v>
      </c>
      <c r="L13" s="171"/>
      <c r="M13" s="172" t="s">
        <v>380</v>
      </c>
      <c r="N13" s="169">
        <v>3.0</v>
      </c>
      <c r="O13" s="173" t="s">
        <v>380</v>
      </c>
      <c r="P13" s="174" t="s">
        <v>763</v>
      </c>
      <c r="Q13" s="175"/>
      <c r="R13" s="175"/>
      <c r="S13" s="176"/>
      <c r="T13" s="176"/>
      <c r="U13" s="176"/>
      <c r="V13" s="176"/>
      <c r="W13" s="176"/>
      <c r="X13" s="76"/>
      <c r="Y13" s="76"/>
    </row>
    <row r="14" ht="22.5" customHeight="1">
      <c r="A14" s="44" t="s">
        <v>764</v>
      </c>
      <c r="B14" s="57" t="s">
        <v>10</v>
      </c>
      <c r="C14" s="164" t="s">
        <v>762</v>
      </c>
      <c r="D14" s="165" t="s">
        <v>762</v>
      </c>
      <c r="E14" s="166">
        <v>5.0</v>
      </c>
      <c r="F14" s="171">
        <v>2.0</v>
      </c>
      <c r="G14" s="167"/>
      <c r="H14" s="168">
        <v>5.0</v>
      </c>
      <c r="I14" s="166">
        <v>2.0</v>
      </c>
      <c r="J14" s="169">
        <v>4.0</v>
      </c>
      <c r="K14" s="187">
        <v>5.0</v>
      </c>
      <c r="L14" s="188"/>
      <c r="M14" s="172" t="s">
        <v>372</v>
      </c>
      <c r="N14" s="169">
        <v>1.0</v>
      </c>
      <c r="O14" s="173" t="s">
        <v>153</v>
      </c>
      <c r="P14" s="174" t="s">
        <v>765</v>
      </c>
      <c r="Q14" s="175"/>
      <c r="R14" s="175"/>
      <c r="S14" s="176"/>
      <c r="T14" s="176"/>
      <c r="U14" s="176"/>
      <c r="V14" s="176"/>
      <c r="W14" s="176"/>
      <c r="X14" s="76"/>
      <c r="Y14" s="76"/>
    </row>
    <row r="15" ht="22.5" customHeight="1">
      <c r="A15" s="163" t="s">
        <v>766</v>
      </c>
      <c r="B15" s="57" t="s">
        <v>10</v>
      </c>
      <c r="C15" s="164" t="s">
        <v>767</v>
      </c>
      <c r="D15" s="165" t="s">
        <v>762</v>
      </c>
      <c r="E15" s="166">
        <v>5.0</v>
      </c>
      <c r="F15" s="171">
        <v>2.0</v>
      </c>
      <c r="G15" s="167"/>
      <c r="H15" s="168">
        <v>5.0</v>
      </c>
      <c r="I15" s="166">
        <v>2.0</v>
      </c>
      <c r="J15" s="169">
        <v>4.0</v>
      </c>
      <c r="K15" s="187">
        <v>5.0</v>
      </c>
      <c r="L15" s="171"/>
      <c r="M15" s="172" t="s">
        <v>372</v>
      </c>
      <c r="N15" s="169">
        <v>1.0</v>
      </c>
      <c r="O15" s="173" t="s">
        <v>153</v>
      </c>
      <c r="P15" s="174" t="s">
        <v>770</v>
      </c>
      <c r="Q15" s="175"/>
      <c r="R15" s="175"/>
      <c r="S15" s="176"/>
      <c r="T15" s="176"/>
      <c r="U15" s="176"/>
      <c r="V15" s="176"/>
      <c r="W15" s="176"/>
      <c r="X15" s="76"/>
      <c r="Y15" s="76"/>
    </row>
    <row r="16" ht="22.5" customHeight="1">
      <c r="A16" s="163" t="s">
        <v>772</v>
      </c>
      <c r="B16" s="57" t="s">
        <v>10</v>
      </c>
      <c r="C16" s="164" t="s">
        <v>773</v>
      </c>
      <c r="D16" s="165" t="s">
        <v>774</v>
      </c>
      <c r="E16" s="166">
        <v>4.0</v>
      </c>
      <c r="F16" s="171">
        <v>2.0</v>
      </c>
      <c r="G16" s="167"/>
      <c r="H16" s="168">
        <v>8.0</v>
      </c>
      <c r="I16" s="166">
        <v>1.0</v>
      </c>
      <c r="J16" s="169">
        <v>4.0</v>
      </c>
      <c r="K16" s="170" t="s">
        <v>731</v>
      </c>
      <c r="L16" s="171"/>
      <c r="M16" s="172" t="s">
        <v>150</v>
      </c>
      <c r="N16" s="169">
        <v>1.0</v>
      </c>
      <c r="O16" s="173" t="s">
        <v>380</v>
      </c>
      <c r="P16" s="174" t="s">
        <v>775</v>
      </c>
      <c r="Q16" s="175"/>
      <c r="R16" s="175"/>
      <c r="S16" s="176"/>
      <c r="T16" s="176"/>
      <c r="U16" s="176"/>
      <c r="V16" s="176"/>
      <c r="W16" s="176"/>
      <c r="X16" s="76"/>
      <c r="Y16" s="76"/>
    </row>
    <row r="17" ht="22.5" customHeight="1">
      <c r="A17" s="163"/>
      <c r="B17" s="57" t="s">
        <v>10</v>
      </c>
      <c r="C17" s="164"/>
      <c r="D17" s="165" t="s">
        <v>774</v>
      </c>
      <c r="E17" s="166"/>
      <c r="F17" s="171"/>
      <c r="G17" s="167"/>
      <c r="H17" s="168"/>
      <c r="I17" s="166"/>
      <c r="J17" s="169"/>
      <c r="K17" s="170"/>
      <c r="L17" s="171"/>
      <c r="M17" s="172"/>
      <c r="N17" s="169"/>
      <c r="O17" s="173"/>
      <c r="P17" s="174"/>
      <c r="Q17" s="175"/>
      <c r="R17" s="175"/>
      <c r="S17" s="176"/>
      <c r="T17" s="176"/>
      <c r="U17" s="176"/>
      <c r="V17" s="176"/>
      <c r="W17" s="176"/>
      <c r="X17" s="76"/>
      <c r="Y17" s="76"/>
    </row>
    <row r="18" ht="22.5" customHeight="1">
      <c r="A18" s="163" t="s">
        <v>726</v>
      </c>
      <c r="B18" s="57" t="s">
        <v>10</v>
      </c>
      <c r="C18" s="164"/>
      <c r="D18" s="165" t="s">
        <v>774</v>
      </c>
      <c r="E18" s="166">
        <v>4.0</v>
      </c>
      <c r="F18" s="166">
        <v>2.0</v>
      </c>
      <c r="G18" s="167"/>
      <c r="H18" s="168">
        <v>5.0</v>
      </c>
      <c r="I18" s="166">
        <v>2.0</v>
      </c>
      <c r="J18" s="169">
        <v>4.0</v>
      </c>
      <c r="K18" s="170" t="s">
        <v>731</v>
      </c>
      <c r="L18" s="171"/>
      <c r="M18" s="172" t="s">
        <v>372</v>
      </c>
      <c r="N18" s="169">
        <v>1.0</v>
      </c>
      <c r="O18" s="173" t="s">
        <v>194</v>
      </c>
      <c r="P18" s="174" t="s">
        <v>733</v>
      </c>
      <c r="Q18" s="175"/>
      <c r="R18" s="175"/>
      <c r="S18" s="176"/>
      <c r="T18" s="176"/>
      <c r="U18" s="176"/>
      <c r="V18" s="176"/>
      <c r="W18" s="176"/>
      <c r="X18" s="76"/>
      <c r="Y18" s="76"/>
    </row>
    <row r="19" ht="22.5" customHeight="1">
      <c r="A19" s="163" t="s">
        <v>790</v>
      </c>
      <c r="B19" s="57" t="s">
        <v>10</v>
      </c>
      <c r="C19" s="164"/>
      <c r="D19" s="165" t="s">
        <v>791</v>
      </c>
      <c r="E19" s="179"/>
      <c r="F19" s="178">
        <v>3.0</v>
      </c>
      <c r="G19" s="179"/>
      <c r="H19" s="178">
        <v>1.0</v>
      </c>
      <c r="I19" s="179"/>
      <c r="J19" s="179"/>
      <c r="K19" s="179"/>
      <c r="L19" s="195"/>
      <c r="M19" s="195"/>
      <c r="N19" s="179"/>
      <c r="O19" s="195"/>
      <c r="P19" s="181"/>
      <c r="Q19" s="175"/>
      <c r="R19" s="175"/>
      <c r="S19" s="176"/>
      <c r="T19" s="176"/>
      <c r="U19" s="176"/>
      <c r="V19" s="176"/>
      <c r="W19" s="176"/>
      <c r="X19" s="76"/>
      <c r="Y19" s="76"/>
    </row>
    <row r="20" ht="22.5" customHeight="1">
      <c r="A20" s="163" t="s">
        <v>794</v>
      </c>
      <c r="B20" s="57" t="s">
        <v>10</v>
      </c>
      <c r="C20" s="164"/>
      <c r="D20" s="165" t="s">
        <v>791</v>
      </c>
      <c r="E20" s="179"/>
      <c r="F20" s="178">
        <v>3.0</v>
      </c>
      <c r="G20" s="179"/>
      <c r="H20" s="178">
        <v>1.0</v>
      </c>
      <c r="I20" s="179"/>
      <c r="J20" s="179"/>
      <c r="K20" s="179"/>
      <c r="L20" s="195"/>
      <c r="M20" s="195"/>
      <c r="N20" s="179"/>
      <c r="O20" s="195"/>
      <c r="P20" s="181"/>
      <c r="Q20" s="175"/>
      <c r="R20" s="175"/>
      <c r="S20" s="176"/>
      <c r="T20" s="176"/>
      <c r="U20" s="176"/>
      <c r="V20" s="176"/>
      <c r="W20" s="176"/>
      <c r="X20" s="76"/>
      <c r="Y20" s="76"/>
    </row>
    <row r="21" ht="22.5" customHeight="1">
      <c r="A21" s="163" t="s">
        <v>798</v>
      </c>
      <c r="B21" s="57" t="s">
        <v>10</v>
      </c>
      <c r="C21" s="164"/>
      <c r="D21" s="165" t="s">
        <v>791</v>
      </c>
      <c r="E21" s="179"/>
      <c r="F21" s="178">
        <v>3.0</v>
      </c>
      <c r="G21" s="179"/>
      <c r="H21" s="178">
        <v>1.0</v>
      </c>
      <c r="I21" s="178">
        <v>1.0</v>
      </c>
      <c r="J21" s="178">
        <v>5.0</v>
      </c>
      <c r="K21" s="178">
        <v>3.0</v>
      </c>
      <c r="L21" s="195"/>
      <c r="M21" s="180" t="s">
        <v>150</v>
      </c>
      <c r="N21" s="178">
        <v>4.0</v>
      </c>
      <c r="O21" s="180" t="s">
        <v>217</v>
      </c>
      <c r="P21" s="174" t="s">
        <v>801</v>
      </c>
      <c r="Q21" s="175"/>
      <c r="R21" s="175"/>
      <c r="S21" s="176"/>
      <c r="T21" s="176"/>
      <c r="U21" s="176"/>
      <c r="V21" s="176"/>
      <c r="W21" s="176"/>
      <c r="X21" s="76"/>
      <c r="Y21" s="76"/>
    </row>
    <row r="22" ht="22.5" customHeight="1">
      <c r="A22" s="44" t="s">
        <v>802</v>
      </c>
      <c r="B22" s="57" t="s">
        <v>10</v>
      </c>
      <c r="C22" s="164"/>
      <c r="D22" s="165" t="s">
        <v>791</v>
      </c>
      <c r="E22" s="179"/>
      <c r="F22" s="178">
        <v>3.0</v>
      </c>
      <c r="G22" s="179"/>
      <c r="H22" s="178">
        <v>1.0</v>
      </c>
      <c r="I22" s="179"/>
      <c r="J22" s="179"/>
      <c r="K22" s="179"/>
      <c r="L22" s="195"/>
      <c r="M22" s="195"/>
      <c r="N22" s="179"/>
      <c r="O22" s="195"/>
      <c r="P22" s="181"/>
      <c r="Q22" s="197">
        <v>2.0</v>
      </c>
      <c r="R22" s="175"/>
      <c r="S22" s="176"/>
      <c r="T22" s="176"/>
      <c r="U22" s="176"/>
      <c r="V22" s="176"/>
      <c r="W22" s="176"/>
      <c r="X22" s="76"/>
      <c r="Y22" s="76"/>
    </row>
    <row r="23" ht="22.5" customHeight="1">
      <c r="A23" s="163" t="s">
        <v>805</v>
      </c>
      <c r="B23" s="57" t="s">
        <v>10</v>
      </c>
      <c r="C23" s="164"/>
      <c r="D23" s="165" t="s">
        <v>791</v>
      </c>
      <c r="E23" s="179"/>
      <c r="F23" s="178">
        <v>3.0</v>
      </c>
      <c r="G23" s="179"/>
      <c r="H23" s="178">
        <v>1.0</v>
      </c>
      <c r="I23" s="178">
        <v>1.0</v>
      </c>
      <c r="J23" s="178">
        <v>5.0</v>
      </c>
      <c r="K23" s="178" t="s">
        <v>731</v>
      </c>
      <c r="L23" s="195"/>
      <c r="M23" s="180" t="s">
        <v>150</v>
      </c>
      <c r="N23" s="178">
        <v>4.0</v>
      </c>
      <c r="O23" s="180" t="s">
        <v>731</v>
      </c>
      <c r="P23" s="181" t="s">
        <v>806</v>
      </c>
      <c r="Q23" s="197">
        <v>3.0</v>
      </c>
      <c r="R23" s="175"/>
      <c r="S23" s="176"/>
      <c r="T23" s="176"/>
      <c r="U23" s="176"/>
      <c r="V23" s="176"/>
      <c r="W23" s="176"/>
      <c r="X23" s="76"/>
      <c r="Y23" s="76"/>
    </row>
    <row r="24" ht="22.5" customHeight="1">
      <c r="A24" s="163" t="s">
        <v>807</v>
      </c>
      <c r="B24" s="198"/>
      <c r="C24" s="164"/>
      <c r="D24" s="165"/>
      <c r="E24" s="179"/>
      <c r="F24" s="179"/>
      <c r="G24" s="179"/>
      <c r="H24" s="179"/>
      <c r="I24" s="179"/>
      <c r="J24" s="179"/>
      <c r="K24" s="179"/>
      <c r="L24" s="195"/>
      <c r="M24" s="195"/>
      <c r="N24" s="179"/>
      <c r="O24" s="195"/>
      <c r="P24" s="181"/>
      <c r="Q24" s="175"/>
      <c r="R24" s="175"/>
      <c r="S24" s="176"/>
      <c r="T24" s="176"/>
      <c r="U24" s="176"/>
      <c r="V24" s="176"/>
      <c r="W24" s="176"/>
      <c r="X24" s="76"/>
      <c r="Y24" s="76"/>
    </row>
    <row r="25">
      <c r="C25" s="133"/>
    </row>
    <row r="26">
      <c r="C26" s="133"/>
    </row>
    <row r="27">
      <c r="C27" s="133"/>
    </row>
    <row r="28">
      <c r="C28" s="133"/>
    </row>
    <row r="29">
      <c r="C29" s="133"/>
    </row>
    <row r="30">
      <c r="C30" s="133"/>
    </row>
    <row r="31">
      <c r="C31" s="133"/>
      <c r="J31" s="2" t="s">
        <v>668</v>
      </c>
      <c r="K31" s="2">
        <v>3.0</v>
      </c>
      <c r="L31" s="2" t="s">
        <v>225</v>
      </c>
      <c r="M31" s="2" t="s">
        <v>814</v>
      </c>
      <c r="N31" s="2">
        <v>2.0</v>
      </c>
      <c r="O31" s="2" t="s">
        <v>480</v>
      </c>
      <c r="P31" s="151" t="s">
        <v>815</v>
      </c>
    </row>
    <row r="32">
      <c r="C32" s="133"/>
      <c r="J32" s="199" t="s">
        <v>670</v>
      </c>
      <c r="K32" s="2">
        <v>3.0</v>
      </c>
      <c r="L32" s="2" t="s">
        <v>225</v>
      </c>
      <c r="M32" s="2" t="s">
        <v>814</v>
      </c>
      <c r="N32" s="2">
        <v>2.0</v>
      </c>
      <c r="O32" s="2" t="s">
        <v>467</v>
      </c>
      <c r="P32" s="151" t="s">
        <v>816</v>
      </c>
    </row>
    <row r="33">
      <c r="C33" s="133"/>
      <c r="J33" s="199" t="s">
        <v>817</v>
      </c>
      <c r="K33" s="2">
        <v>3.0</v>
      </c>
      <c r="L33" s="2" t="s">
        <v>225</v>
      </c>
      <c r="M33" s="2" t="s">
        <v>814</v>
      </c>
      <c r="N33" s="2">
        <v>3.0</v>
      </c>
      <c r="O33" s="2" t="s">
        <v>467</v>
      </c>
      <c r="P33" s="151" t="s">
        <v>818</v>
      </c>
    </row>
    <row r="34">
      <c r="C34" s="133"/>
      <c r="J34" s="199" t="s">
        <v>672</v>
      </c>
      <c r="K34" s="2">
        <v>3.0</v>
      </c>
      <c r="L34" s="2" t="s">
        <v>225</v>
      </c>
      <c r="M34" s="2" t="s">
        <v>814</v>
      </c>
      <c r="N34" s="2">
        <v>2.0</v>
      </c>
      <c r="O34" s="2" t="s">
        <v>467</v>
      </c>
      <c r="P34" s="151" t="s">
        <v>819</v>
      </c>
    </row>
    <row r="35">
      <c r="C35" s="133"/>
      <c r="J35" s="199" t="s">
        <v>820</v>
      </c>
      <c r="K35" s="2">
        <v>3.0</v>
      </c>
      <c r="L35" s="2" t="s">
        <v>225</v>
      </c>
      <c r="M35" s="2" t="s">
        <v>814</v>
      </c>
      <c r="N35" s="2">
        <v>2.0</v>
      </c>
      <c r="O35" s="2" t="s">
        <v>495</v>
      </c>
      <c r="P35" s="151" t="s">
        <v>821</v>
      </c>
    </row>
    <row r="36">
      <c r="C36" s="133"/>
      <c r="J36" s="199" t="s">
        <v>822</v>
      </c>
      <c r="K36" s="2">
        <v>3.0</v>
      </c>
      <c r="L36" s="2" t="s">
        <v>225</v>
      </c>
      <c r="M36" s="2" t="s">
        <v>814</v>
      </c>
      <c r="N36" s="199">
        <v>2.0</v>
      </c>
      <c r="O36" s="2" t="s">
        <v>480</v>
      </c>
      <c r="P36" s="151" t="s">
        <v>823</v>
      </c>
    </row>
    <row r="37">
      <c r="C37" s="133"/>
    </row>
    <row r="38">
      <c r="C38" s="133"/>
    </row>
    <row r="39">
      <c r="C39" s="133"/>
    </row>
    <row r="40">
      <c r="C40" s="133"/>
    </row>
    <row r="41">
      <c r="C41" s="133"/>
    </row>
    <row r="42">
      <c r="C42" s="133"/>
    </row>
    <row r="43">
      <c r="C43" s="133"/>
    </row>
    <row r="44">
      <c r="C44" s="133"/>
    </row>
    <row r="45">
      <c r="C45" s="133"/>
    </row>
    <row r="46">
      <c r="C46" s="133"/>
    </row>
    <row r="47">
      <c r="C47" s="133"/>
    </row>
    <row r="48">
      <c r="C48" s="133"/>
    </row>
    <row r="49">
      <c r="C49" s="133"/>
    </row>
    <row r="50">
      <c r="C50" s="133"/>
    </row>
    <row r="51">
      <c r="C51" s="133"/>
    </row>
    <row r="52">
      <c r="C52" s="133"/>
    </row>
    <row r="53">
      <c r="C53" s="133"/>
    </row>
    <row r="54">
      <c r="C54" s="133"/>
    </row>
    <row r="55">
      <c r="C55" s="133"/>
    </row>
    <row r="56">
      <c r="C56" s="133"/>
    </row>
    <row r="57">
      <c r="C57" s="133"/>
    </row>
    <row r="58">
      <c r="C58" s="133"/>
    </row>
    <row r="59">
      <c r="C59" s="133"/>
    </row>
    <row r="60">
      <c r="C60" s="133"/>
    </row>
    <row r="61">
      <c r="C61" s="133"/>
    </row>
    <row r="62">
      <c r="C62" s="133"/>
    </row>
    <row r="63">
      <c r="C63" s="133"/>
    </row>
    <row r="64">
      <c r="C64" s="133"/>
    </row>
    <row r="65">
      <c r="C65" s="133"/>
    </row>
    <row r="66">
      <c r="C66" s="133"/>
    </row>
    <row r="67">
      <c r="C67" s="133"/>
    </row>
    <row r="68">
      <c r="C68" s="133"/>
    </row>
    <row r="69">
      <c r="C69" s="133"/>
    </row>
    <row r="70">
      <c r="C70" s="133"/>
    </row>
    <row r="71">
      <c r="C71" s="133"/>
    </row>
    <row r="72">
      <c r="C72" s="133"/>
    </row>
    <row r="73">
      <c r="C73" s="133"/>
    </row>
    <row r="74">
      <c r="C74" s="133"/>
    </row>
    <row r="75">
      <c r="C75" s="133"/>
    </row>
    <row r="76">
      <c r="C76" s="133"/>
    </row>
    <row r="77">
      <c r="C77" s="133"/>
    </row>
    <row r="78">
      <c r="C78" s="133"/>
    </row>
    <row r="79">
      <c r="C79" s="133"/>
    </row>
    <row r="80">
      <c r="C80" s="133"/>
    </row>
    <row r="81">
      <c r="C81" s="133"/>
    </row>
    <row r="82">
      <c r="C82" s="133"/>
    </row>
    <row r="83">
      <c r="C83" s="133"/>
    </row>
    <row r="84">
      <c r="C84" s="133"/>
    </row>
    <row r="85">
      <c r="C85" s="133"/>
    </row>
    <row r="86">
      <c r="C86" s="133"/>
    </row>
    <row r="87">
      <c r="C87" s="133"/>
    </row>
    <row r="88">
      <c r="C88" s="133"/>
    </row>
    <row r="89">
      <c r="C89" s="133"/>
    </row>
    <row r="90">
      <c r="C90" s="133"/>
    </row>
    <row r="91">
      <c r="C91" s="133"/>
    </row>
    <row r="92">
      <c r="C92" s="133"/>
    </row>
    <row r="93">
      <c r="C93" s="133"/>
    </row>
    <row r="94">
      <c r="C94" s="133"/>
    </row>
    <row r="95">
      <c r="C95" s="133"/>
    </row>
    <row r="96">
      <c r="C96" s="133"/>
    </row>
    <row r="97">
      <c r="C97" s="133"/>
    </row>
    <row r="98">
      <c r="C98" s="133"/>
    </row>
    <row r="99">
      <c r="C99" s="133"/>
    </row>
    <row r="100">
      <c r="C100" s="133"/>
    </row>
    <row r="101">
      <c r="C101" s="133"/>
    </row>
    <row r="102">
      <c r="C102" s="133"/>
    </row>
    <row r="103">
      <c r="C103" s="133"/>
    </row>
    <row r="104">
      <c r="C104" s="133"/>
    </row>
    <row r="105">
      <c r="C105" s="133"/>
    </row>
    <row r="106">
      <c r="C106" s="133"/>
    </row>
    <row r="107">
      <c r="C107" s="133"/>
    </row>
    <row r="108">
      <c r="C108" s="133"/>
    </row>
    <row r="109">
      <c r="C109" s="133"/>
    </row>
    <row r="110">
      <c r="C110" s="133"/>
    </row>
    <row r="111">
      <c r="C111" s="133"/>
    </row>
    <row r="112">
      <c r="C112" s="133"/>
    </row>
    <row r="113">
      <c r="C113" s="133"/>
    </row>
    <row r="114">
      <c r="C114" s="133"/>
    </row>
    <row r="115">
      <c r="C115" s="133"/>
    </row>
    <row r="116">
      <c r="C116" s="133"/>
    </row>
    <row r="117">
      <c r="C117" s="133"/>
    </row>
    <row r="118">
      <c r="C118" s="133"/>
    </row>
    <row r="119">
      <c r="C119" s="133"/>
    </row>
    <row r="120">
      <c r="C120" s="133"/>
    </row>
    <row r="121">
      <c r="C121" s="133"/>
    </row>
    <row r="122">
      <c r="C122" s="133"/>
    </row>
    <row r="123">
      <c r="C123" s="133"/>
    </row>
    <row r="124">
      <c r="C124" s="133"/>
    </row>
    <row r="125">
      <c r="C125" s="133"/>
    </row>
    <row r="126">
      <c r="C126" s="133"/>
    </row>
    <row r="127">
      <c r="C127" s="133"/>
    </row>
    <row r="128">
      <c r="C128" s="133"/>
    </row>
    <row r="129">
      <c r="C129" s="133"/>
    </row>
    <row r="130">
      <c r="C130" s="133"/>
    </row>
    <row r="131">
      <c r="C131" s="133"/>
    </row>
    <row r="132">
      <c r="C132" s="133"/>
    </row>
    <row r="133">
      <c r="C133" s="133"/>
    </row>
    <row r="134">
      <c r="C134" s="133"/>
    </row>
    <row r="135">
      <c r="C135" s="133"/>
    </row>
    <row r="136">
      <c r="C136" s="133"/>
    </row>
    <row r="137">
      <c r="C137" s="133"/>
    </row>
    <row r="138">
      <c r="C138" s="133"/>
    </row>
    <row r="139">
      <c r="C139" s="133"/>
    </row>
    <row r="140">
      <c r="C140" s="133"/>
    </row>
    <row r="141">
      <c r="C141" s="133"/>
    </row>
    <row r="142">
      <c r="C142" s="133"/>
    </row>
    <row r="143">
      <c r="C143" s="133"/>
    </row>
    <row r="144">
      <c r="C144" s="133"/>
    </row>
    <row r="145">
      <c r="C145" s="133"/>
    </row>
    <row r="146">
      <c r="C146" s="133"/>
    </row>
    <row r="147">
      <c r="C147" s="133"/>
    </row>
    <row r="148">
      <c r="C148" s="133"/>
    </row>
    <row r="149">
      <c r="C149" s="133"/>
    </row>
    <row r="150">
      <c r="C150" s="133"/>
    </row>
    <row r="151">
      <c r="C151" s="133"/>
    </row>
    <row r="152">
      <c r="C152" s="133"/>
    </row>
    <row r="153">
      <c r="C153" s="133"/>
    </row>
    <row r="154">
      <c r="C154" s="133"/>
    </row>
    <row r="155">
      <c r="C155" s="133"/>
    </row>
    <row r="156">
      <c r="C156" s="133"/>
    </row>
    <row r="157">
      <c r="C157" s="133"/>
    </row>
    <row r="158">
      <c r="C158" s="133"/>
    </row>
    <row r="159">
      <c r="C159" s="133"/>
    </row>
    <row r="160">
      <c r="C160" s="133"/>
    </row>
    <row r="161">
      <c r="C161" s="133"/>
    </row>
    <row r="162">
      <c r="C162" s="133"/>
    </row>
    <row r="163">
      <c r="C163" s="133"/>
    </row>
    <row r="164">
      <c r="C164" s="133"/>
    </row>
    <row r="165">
      <c r="C165" s="133"/>
    </row>
    <row r="166">
      <c r="C166" s="133"/>
    </row>
    <row r="167">
      <c r="C167" s="133"/>
    </row>
    <row r="168">
      <c r="C168" s="133"/>
    </row>
    <row r="169">
      <c r="C169" s="133"/>
    </row>
    <row r="170">
      <c r="C170" s="133"/>
    </row>
    <row r="171">
      <c r="C171" s="133"/>
    </row>
    <row r="172">
      <c r="C172" s="133"/>
    </row>
    <row r="173">
      <c r="C173" s="133"/>
    </row>
    <row r="174">
      <c r="C174" s="133"/>
    </row>
    <row r="175">
      <c r="C175" s="133"/>
    </row>
    <row r="176">
      <c r="C176" s="133"/>
    </row>
    <row r="177">
      <c r="C177" s="133"/>
    </row>
    <row r="178">
      <c r="C178" s="133"/>
    </row>
    <row r="179">
      <c r="C179" s="133"/>
    </row>
    <row r="180">
      <c r="C180" s="133"/>
    </row>
    <row r="181">
      <c r="C181" s="133"/>
    </row>
    <row r="182">
      <c r="C182" s="133"/>
    </row>
    <row r="183">
      <c r="C183" s="133"/>
    </row>
    <row r="184">
      <c r="C184" s="133"/>
    </row>
    <row r="185">
      <c r="C185" s="133"/>
    </row>
    <row r="186">
      <c r="C186" s="133"/>
    </row>
    <row r="187">
      <c r="C187" s="133"/>
    </row>
    <row r="188">
      <c r="C188" s="133"/>
    </row>
    <row r="189">
      <c r="C189" s="133"/>
    </row>
    <row r="190">
      <c r="C190" s="133"/>
    </row>
    <row r="191">
      <c r="C191" s="133"/>
    </row>
    <row r="192">
      <c r="C192" s="133"/>
    </row>
    <row r="193">
      <c r="C193" s="133"/>
    </row>
    <row r="194">
      <c r="C194" s="133"/>
    </row>
    <row r="195">
      <c r="C195" s="133"/>
    </row>
    <row r="196">
      <c r="C196" s="133"/>
    </row>
    <row r="197">
      <c r="C197" s="133"/>
    </row>
    <row r="198">
      <c r="C198" s="133"/>
    </row>
    <row r="199">
      <c r="C199" s="133"/>
    </row>
    <row r="200">
      <c r="C200" s="133"/>
    </row>
    <row r="201">
      <c r="C201" s="133"/>
    </row>
    <row r="202">
      <c r="C202" s="133"/>
    </row>
    <row r="203">
      <c r="C203" s="133"/>
    </row>
    <row r="204">
      <c r="C204" s="133"/>
    </row>
    <row r="205">
      <c r="C205" s="133"/>
    </row>
    <row r="206">
      <c r="C206" s="133"/>
    </row>
    <row r="207">
      <c r="C207" s="133"/>
    </row>
    <row r="208">
      <c r="C208" s="133"/>
    </row>
    <row r="209">
      <c r="C209" s="133"/>
    </row>
    <row r="210">
      <c r="C210" s="133"/>
    </row>
    <row r="211">
      <c r="C211" s="133"/>
    </row>
    <row r="212">
      <c r="C212" s="133"/>
    </row>
    <row r="213">
      <c r="C213" s="133"/>
    </row>
    <row r="214">
      <c r="C214" s="133"/>
    </row>
    <row r="215">
      <c r="C215" s="133"/>
    </row>
    <row r="216">
      <c r="C216" s="133"/>
    </row>
    <row r="217">
      <c r="C217" s="133"/>
    </row>
    <row r="218">
      <c r="C218" s="133"/>
    </row>
    <row r="219">
      <c r="C219" s="133"/>
    </row>
    <row r="220">
      <c r="C220" s="133"/>
    </row>
    <row r="221">
      <c r="C221" s="133"/>
    </row>
    <row r="222">
      <c r="C222" s="133"/>
    </row>
    <row r="223">
      <c r="C223" s="133"/>
    </row>
    <row r="224">
      <c r="C224" s="133"/>
    </row>
    <row r="225">
      <c r="C225" s="133"/>
    </row>
    <row r="226">
      <c r="C226" s="133"/>
    </row>
    <row r="227">
      <c r="C227" s="133"/>
    </row>
    <row r="228">
      <c r="C228" s="133"/>
    </row>
    <row r="229">
      <c r="C229" s="133"/>
    </row>
    <row r="230">
      <c r="C230" s="133"/>
    </row>
    <row r="231">
      <c r="C231" s="133"/>
    </row>
    <row r="232">
      <c r="C232" s="133"/>
    </row>
    <row r="233">
      <c r="C233" s="133"/>
    </row>
    <row r="234">
      <c r="C234" s="133"/>
    </row>
    <row r="235">
      <c r="C235" s="133"/>
    </row>
    <row r="236">
      <c r="C236" s="133"/>
    </row>
    <row r="237">
      <c r="C237" s="133"/>
    </row>
    <row r="238">
      <c r="C238" s="133"/>
    </row>
    <row r="239">
      <c r="C239" s="133"/>
    </row>
    <row r="240">
      <c r="C240" s="133"/>
    </row>
    <row r="241">
      <c r="C241" s="133"/>
    </row>
    <row r="242">
      <c r="C242" s="133"/>
    </row>
    <row r="243">
      <c r="C243" s="133"/>
    </row>
    <row r="244">
      <c r="C244" s="133"/>
    </row>
    <row r="245">
      <c r="C245" s="133"/>
    </row>
    <row r="246">
      <c r="C246" s="133"/>
    </row>
    <row r="247">
      <c r="C247" s="133"/>
    </row>
    <row r="248">
      <c r="C248" s="133"/>
    </row>
    <row r="249">
      <c r="C249" s="133"/>
    </row>
    <row r="250">
      <c r="C250" s="133"/>
    </row>
    <row r="251">
      <c r="C251" s="133"/>
    </row>
    <row r="252">
      <c r="C252" s="133"/>
    </row>
    <row r="253">
      <c r="C253" s="133"/>
    </row>
    <row r="254">
      <c r="C254" s="133"/>
    </row>
    <row r="255">
      <c r="C255" s="133"/>
    </row>
    <row r="256">
      <c r="C256" s="133"/>
    </row>
    <row r="257">
      <c r="C257" s="133"/>
    </row>
    <row r="258">
      <c r="C258" s="133"/>
    </row>
    <row r="259">
      <c r="C259" s="133"/>
    </row>
    <row r="260">
      <c r="C260" s="133"/>
    </row>
    <row r="261">
      <c r="C261" s="133"/>
    </row>
    <row r="262">
      <c r="C262" s="133"/>
    </row>
    <row r="263">
      <c r="C263" s="133"/>
    </row>
    <row r="264">
      <c r="C264" s="133"/>
    </row>
    <row r="265">
      <c r="C265" s="133"/>
    </row>
    <row r="266">
      <c r="C266" s="133"/>
    </row>
    <row r="267">
      <c r="C267" s="133"/>
    </row>
    <row r="268">
      <c r="C268" s="133"/>
    </row>
    <row r="269">
      <c r="C269" s="133"/>
    </row>
    <row r="270">
      <c r="C270" s="133"/>
    </row>
    <row r="271">
      <c r="C271" s="133"/>
    </row>
    <row r="272">
      <c r="C272" s="133"/>
    </row>
    <row r="273">
      <c r="C273" s="133"/>
    </row>
    <row r="274">
      <c r="C274" s="133"/>
    </row>
    <row r="275">
      <c r="C275" s="133"/>
    </row>
    <row r="276">
      <c r="C276" s="133"/>
    </row>
    <row r="277">
      <c r="C277" s="133"/>
    </row>
    <row r="278">
      <c r="C278" s="133"/>
    </row>
    <row r="279">
      <c r="C279" s="133"/>
    </row>
    <row r="280">
      <c r="C280" s="133"/>
    </row>
    <row r="281">
      <c r="C281" s="133"/>
    </row>
    <row r="282">
      <c r="C282" s="133"/>
    </row>
    <row r="283">
      <c r="C283" s="133"/>
    </row>
    <row r="284">
      <c r="C284" s="133"/>
    </row>
    <row r="285">
      <c r="C285" s="133"/>
    </row>
    <row r="286">
      <c r="C286" s="133"/>
    </row>
    <row r="287">
      <c r="C287" s="133"/>
    </row>
    <row r="288">
      <c r="C288" s="133"/>
    </row>
    <row r="289">
      <c r="C289" s="133"/>
    </row>
    <row r="290">
      <c r="C290" s="133"/>
    </row>
    <row r="291">
      <c r="C291" s="133"/>
    </row>
    <row r="292">
      <c r="C292" s="133"/>
    </row>
    <row r="293">
      <c r="C293" s="133"/>
    </row>
    <row r="294">
      <c r="C294" s="133"/>
    </row>
    <row r="295">
      <c r="C295" s="133"/>
    </row>
    <row r="296">
      <c r="C296" s="133"/>
    </row>
    <row r="297">
      <c r="C297" s="133"/>
    </row>
    <row r="298">
      <c r="C298" s="133"/>
    </row>
    <row r="299">
      <c r="C299" s="133"/>
    </row>
    <row r="300">
      <c r="C300" s="133"/>
    </row>
    <row r="301">
      <c r="C301" s="133"/>
    </row>
    <row r="302">
      <c r="C302" s="133"/>
    </row>
    <row r="303">
      <c r="C303" s="133"/>
    </row>
    <row r="304">
      <c r="C304" s="133"/>
    </row>
    <row r="305">
      <c r="C305" s="133"/>
    </row>
    <row r="306">
      <c r="C306" s="133"/>
    </row>
    <row r="307">
      <c r="C307" s="133"/>
    </row>
    <row r="308">
      <c r="C308" s="133"/>
    </row>
    <row r="309">
      <c r="C309" s="133"/>
    </row>
    <row r="310">
      <c r="C310" s="133"/>
    </row>
    <row r="311">
      <c r="C311" s="133"/>
    </row>
    <row r="312">
      <c r="C312" s="133"/>
    </row>
    <row r="313">
      <c r="C313" s="133"/>
    </row>
    <row r="314">
      <c r="C314" s="133"/>
    </row>
    <row r="315">
      <c r="C315" s="133"/>
    </row>
    <row r="316">
      <c r="C316" s="133"/>
    </row>
    <row r="317">
      <c r="C317" s="133"/>
    </row>
    <row r="318">
      <c r="C318" s="133"/>
    </row>
    <row r="319">
      <c r="C319" s="133"/>
    </row>
    <row r="320">
      <c r="C320" s="133"/>
    </row>
    <row r="321">
      <c r="C321" s="133"/>
    </row>
    <row r="322">
      <c r="C322" s="133"/>
    </row>
    <row r="323">
      <c r="C323" s="133"/>
    </row>
    <row r="324">
      <c r="C324" s="133"/>
    </row>
    <row r="325">
      <c r="C325" s="133"/>
    </row>
    <row r="326">
      <c r="C326" s="133"/>
    </row>
    <row r="327">
      <c r="C327" s="133"/>
    </row>
    <row r="328">
      <c r="C328" s="133"/>
    </row>
    <row r="329">
      <c r="C329" s="133"/>
    </row>
    <row r="330">
      <c r="C330" s="133"/>
    </row>
    <row r="331">
      <c r="C331" s="133"/>
    </row>
    <row r="332">
      <c r="C332" s="133"/>
    </row>
    <row r="333">
      <c r="C333" s="133"/>
    </row>
    <row r="334">
      <c r="C334" s="133"/>
    </row>
    <row r="335">
      <c r="C335" s="133"/>
    </row>
    <row r="336">
      <c r="C336" s="133"/>
    </row>
    <row r="337">
      <c r="C337" s="133"/>
    </row>
    <row r="338">
      <c r="C338" s="133"/>
    </row>
    <row r="339">
      <c r="C339" s="133"/>
    </row>
    <row r="340">
      <c r="C340" s="133"/>
    </row>
    <row r="341">
      <c r="C341" s="133"/>
    </row>
    <row r="342">
      <c r="C342" s="133"/>
    </row>
    <row r="343">
      <c r="C343" s="133"/>
    </row>
    <row r="344">
      <c r="C344" s="133"/>
    </row>
    <row r="345">
      <c r="C345" s="133"/>
    </row>
    <row r="346">
      <c r="C346" s="133"/>
    </row>
    <row r="347">
      <c r="C347" s="133"/>
    </row>
    <row r="348">
      <c r="C348" s="133"/>
    </row>
    <row r="349">
      <c r="C349" s="133"/>
    </row>
    <row r="350">
      <c r="C350" s="133"/>
    </row>
    <row r="351">
      <c r="C351" s="133"/>
    </row>
    <row r="352">
      <c r="C352" s="133"/>
    </row>
    <row r="353">
      <c r="C353" s="133"/>
    </row>
    <row r="354">
      <c r="C354" s="133"/>
    </row>
    <row r="355">
      <c r="C355" s="133"/>
    </row>
    <row r="356">
      <c r="C356" s="133"/>
    </row>
    <row r="357">
      <c r="C357" s="133"/>
    </row>
    <row r="358">
      <c r="C358" s="133"/>
    </row>
    <row r="359">
      <c r="C359" s="133"/>
    </row>
    <row r="360">
      <c r="C360" s="133"/>
    </row>
    <row r="361">
      <c r="C361" s="133"/>
    </row>
    <row r="362">
      <c r="C362" s="133"/>
    </row>
    <row r="363">
      <c r="C363" s="133"/>
    </row>
    <row r="364">
      <c r="C364" s="133"/>
    </row>
    <row r="365">
      <c r="C365" s="133"/>
    </row>
    <row r="366">
      <c r="C366" s="133"/>
    </row>
    <row r="367">
      <c r="C367" s="133"/>
    </row>
    <row r="368">
      <c r="C368" s="133"/>
    </row>
    <row r="369">
      <c r="C369" s="133"/>
    </row>
    <row r="370">
      <c r="C370" s="133"/>
    </row>
    <row r="371">
      <c r="C371" s="133"/>
    </row>
    <row r="372">
      <c r="C372" s="133"/>
    </row>
    <row r="373">
      <c r="C373" s="133"/>
    </row>
    <row r="374">
      <c r="C374" s="133"/>
    </row>
    <row r="375">
      <c r="C375" s="133"/>
    </row>
    <row r="376">
      <c r="C376" s="133"/>
    </row>
    <row r="377">
      <c r="C377" s="133"/>
    </row>
    <row r="378">
      <c r="C378" s="133"/>
    </row>
    <row r="379">
      <c r="C379" s="133"/>
    </row>
    <row r="380">
      <c r="C380" s="133"/>
    </row>
    <row r="381">
      <c r="C381" s="133"/>
    </row>
    <row r="382">
      <c r="C382" s="133"/>
    </row>
    <row r="383">
      <c r="C383" s="133"/>
    </row>
    <row r="384">
      <c r="C384" s="133"/>
    </row>
    <row r="385">
      <c r="C385" s="133"/>
    </row>
    <row r="386">
      <c r="C386" s="133"/>
    </row>
    <row r="387">
      <c r="C387" s="133"/>
    </row>
    <row r="388">
      <c r="C388" s="133"/>
    </row>
    <row r="389">
      <c r="C389" s="133"/>
    </row>
    <row r="390">
      <c r="C390" s="133"/>
    </row>
    <row r="391">
      <c r="C391" s="133"/>
    </row>
    <row r="392">
      <c r="C392" s="133"/>
    </row>
    <row r="393">
      <c r="C393" s="133"/>
    </row>
    <row r="394">
      <c r="C394" s="133"/>
    </row>
    <row r="395">
      <c r="C395" s="133"/>
    </row>
    <row r="396">
      <c r="C396" s="133"/>
    </row>
    <row r="397">
      <c r="C397" s="133"/>
    </row>
    <row r="398">
      <c r="C398" s="133"/>
    </row>
    <row r="399">
      <c r="C399" s="133"/>
    </row>
    <row r="400">
      <c r="C400" s="133"/>
    </row>
    <row r="401">
      <c r="C401" s="133"/>
    </row>
    <row r="402">
      <c r="C402" s="133"/>
    </row>
    <row r="403">
      <c r="C403" s="133"/>
    </row>
    <row r="404">
      <c r="C404" s="133"/>
    </row>
    <row r="405">
      <c r="C405" s="133"/>
    </row>
    <row r="406">
      <c r="C406" s="133"/>
    </row>
    <row r="407">
      <c r="C407" s="133"/>
    </row>
    <row r="408">
      <c r="C408" s="133"/>
    </row>
    <row r="409">
      <c r="C409" s="133"/>
    </row>
    <row r="410">
      <c r="C410" s="133"/>
    </row>
    <row r="411">
      <c r="C411" s="133"/>
    </row>
    <row r="412">
      <c r="C412" s="133"/>
    </row>
    <row r="413">
      <c r="C413" s="133"/>
    </row>
    <row r="414">
      <c r="C414" s="133"/>
    </row>
    <row r="415">
      <c r="C415" s="133"/>
    </row>
    <row r="416">
      <c r="C416" s="133"/>
    </row>
    <row r="417">
      <c r="C417" s="133"/>
    </row>
    <row r="418">
      <c r="C418" s="133"/>
    </row>
    <row r="419">
      <c r="C419" s="133"/>
    </row>
    <row r="420">
      <c r="C420" s="133"/>
    </row>
    <row r="421">
      <c r="C421" s="133"/>
    </row>
    <row r="422">
      <c r="C422" s="133"/>
    </row>
    <row r="423">
      <c r="C423" s="133"/>
    </row>
    <row r="424">
      <c r="C424" s="133"/>
    </row>
    <row r="425">
      <c r="C425" s="133"/>
    </row>
    <row r="426">
      <c r="C426" s="133"/>
    </row>
    <row r="427">
      <c r="C427" s="133"/>
    </row>
    <row r="428">
      <c r="C428" s="133"/>
    </row>
    <row r="429">
      <c r="C429" s="133"/>
    </row>
    <row r="430">
      <c r="C430" s="133"/>
    </row>
    <row r="431">
      <c r="C431" s="133"/>
    </row>
    <row r="432">
      <c r="C432" s="133"/>
    </row>
    <row r="433">
      <c r="C433" s="133"/>
    </row>
    <row r="434">
      <c r="C434" s="133"/>
    </row>
    <row r="435">
      <c r="C435" s="133"/>
    </row>
    <row r="436">
      <c r="C436" s="133"/>
    </row>
    <row r="437">
      <c r="C437" s="133"/>
    </row>
    <row r="438">
      <c r="C438" s="133"/>
    </row>
    <row r="439">
      <c r="C439" s="133"/>
    </row>
    <row r="440">
      <c r="C440" s="133"/>
    </row>
    <row r="441">
      <c r="C441" s="133"/>
    </row>
    <row r="442">
      <c r="C442" s="133"/>
    </row>
    <row r="443">
      <c r="C443" s="133"/>
    </row>
    <row r="444">
      <c r="C444" s="133"/>
    </row>
    <row r="445">
      <c r="C445" s="133"/>
    </row>
    <row r="446">
      <c r="C446" s="133"/>
    </row>
    <row r="447">
      <c r="C447" s="133"/>
    </row>
    <row r="448">
      <c r="C448" s="133"/>
    </row>
    <row r="449">
      <c r="C449" s="133"/>
    </row>
    <row r="450">
      <c r="C450" s="133"/>
    </row>
    <row r="451">
      <c r="C451" s="133"/>
    </row>
    <row r="452">
      <c r="C452" s="133"/>
    </row>
    <row r="453">
      <c r="C453" s="133"/>
    </row>
    <row r="454">
      <c r="C454" s="133"/>
    </row>
    <row r="455">
      <c r="C455" s="133"/>
    </row>
    <row r="456">
      <c r="C456" s="133"/>
    </row>
    <row r="457">
      <c r="C457" s="133"/>
    </row>
    <row r="458">
      <c r="C458" s="133"/>
    </row>
    <row r="459">
      <c r="C459" s="133"/>
    </row>
    <row r="460">
      <c r="C460" s="133"/>
    </row>
    <row r="461">
      <c r="C461" s="133"/>
    </row>
    <row r="462">
      <c r="C462" s="133"/>
    </row>
    <row r="463">
      <c r="C463" s="133"/>
    </row>
    <row r="464">
      <c r="C464" s="133"/>
    </row>
    <row r="465">
      <c r="C465" s="133"/>
    </row>
    <row r="466">
      <c r="C466" s="133"/>
    </row>
    <row r="467">
      <c r="C467" s="133"/>
    </row>
    <row r="468">
      <c r="C468" s="133"/>
    </row>
    <row r="469">
      <c r="C469" s="133"/>
    </row>
    <row r="470">
      <c r="C470" s="133"/>
    </row>
    <row r="471">
      <c r="C471" s="133"/>
    </row>
    <row r="472">
      <c r="C472" s="133"/>
    </row>
    <row r="473">
      <c r="C473" s="133"/>
    </row>
    <row r="474">
      <c r="C474" s="133"/>
    </row>
    <row r="475">
      <c r="C475" s="133"/>
    </row>
    <row r="476">
      <c r="C476" s="133"/>
    </row>
    <row r="477">
      <c r="C477" s="133"/>
    </row>
    <row r="478">
      <c r="C478" s="133"/>
    </row>
    <row r="479">
      <c r="C479" s="133"/>
    </row>
    <row r="480">
      <c r="C480" s="133"/>
    </row>
    <row r="481">
      <c r="C481" s="133"/>
    </row>
    <row r="482">
      <c r="C482" s="133"/>
    </row>
    <row r="483">
      <c r="C483" s="133"/>
    </row>
    <row r="484">
      <c r="C484" s="133"/>
    </row>
    <row r="485">
      <c r="C485" s="133"/>
    </row>
    <row r="486">
      <c r="C486" s="133"/>
    </row>
    <row r="487">
      <c r="C487" s="133"/>
    </row>
    <row r="488">
      <c r="C488" s="133"/>
    </row>
    <row r="489">
      <c r="C489" s="133"/>
    </row>
    <row r="490">
      <c r="C490" s="133"/>
    </row>
    <row r="491">
      <c r="C491" s="133"/>
    </row>
    <row r="492">
      <c r="C492" s="133"/>
    </row>
    <row r="493">
      <c r="C493" s="133"/>
    </row>
    <row r="494">
      <c r="C494" s="133"/>
    </row>
    <row r="495">
      <c r="C495" s="133"/>
    </row>
    <row r="496">
      <c r="C496" s="133"/>
    </row>
    <row r="497">
      <c r="C497" s="133"/>
    </row>
    <row r="498">
      <c r="C498" s="133"/>
    </row>
    <row r="499">
      <c r="C499" s="133"/>
    </row>
    <row r="500">
      <c r="C500" s="133"/>
    </row>
    <row r="501">
      <c r="C501" s="133"/>
    </row>
    <row r="502">
      <c r="C502" s="133"/>
    </row>
    <row r="503">
      <c r="C503" s="133"/>
    </row>
    <row r="504">
      <c r="C504" s="133"/>
    </row>
    <row r="505">
      <c r="C505" s="133"/>
    </row>
    <row r="506">
      <c r="C506" s="133"/>
    </row>
    <row r="507">
      <c r="C507" s="133"/>
    </row>
    <row r="508">
      <c r="C508" s="133"/>
    </row>
    <row r="509">
      <c r="C509" s="133"/>
    </row>
    <row r="510">
      <c r="C510" s="133"/>
    </row>
    <row r="511">
      <c r="C511" s="133"/>
    </row>
    <row r="512">
      <c r="C512" s="133"/>
    </row>
    <row r="513">
      <c r="C513" s="133"/>
    </row>
    <row r="514">
      <c r="C514" s="133"/>
    </row>
    <row r="515">
      <c r="C515" s="133"/>
    </row>
    <row r="516">
      <c r="C516" s="133"/>
    </row>
    <row r="517">
      <c r="C517" s="133"/>
    </row>
    <row r="518">
      <c r="C518" s="133"/>
    </row>
    <row r="519">
      <c r="C519" s="133"/>
    </row>
    <row r="520">
      <c r="C520" s="133"/>
    </row>
    <row r="521">
      <c r="C521" s="133"/>
    </row>
    <row r="522">
      <c r="C522" s="133"/>
    </row>
    <row r="523">
      <c r="C523" s="133"/>
    </row>
    <row r="524">
      <c r="C524" s="133"/>
    </row>
    <row r="525">
      <c r="C525" s="133"/>
    </row>
    <row r="526">
      <c r="C526" s="133"/>
    </row>
    <row r="527">
      <c r="C527" s="133"/>
    </row>
    <row r="528">
      <c r="C528" s="133"/>
    </row>
    <row r="529">
      <c r="C529" s="133"/>
    </row>
    <row r="530">
      <c r="C530" s="133"/>
    </row>
    <row r="531">
      <c r="C531" s="133"/>
    </row>
    <row r="532">
      <c r="C532" s="133"/>
    </row>
    <row r="533">
      <c r="C533" s="133"/>
    </row>
    <row r="534">
      <c r="C534" s="133"/>
    </row>
    <row r="535">
      <c r="C535" s="133"/>
    </row>
    <row r="536">
      <c r="C536" s="133"/>
    </row>
    <row r="537">
      <c r="C537" s="133"/>
    </row>
    <row r="538">
      <c r="C538" s="133"/>
    </row>
    <row r="539">
      <c r="C539" s="133"/>
    </row>
    <row r="540">
      <c r="C540" s="133"/>
    </row>
    <row r="541">
      <c r="C541" s="133"/>
    </row>
    <row r="542">
      <c r="C542" s="133"/>
    </row>
    <row r="543">
      <c r="C543" s="133"/>
    </row>
    <row r="544">
      <c r="C544" s="133"/>
    </row>
    <row r="545">
      <c r="C545" s="133"/>
    </row>
    <row r="546">
      <c r="C546" s="133"/>
    </row>
    <row r="547">
      <c r="C547" s="133"/>
    </row>
    <row r="548">
      <c r="C548" s="133"/>
    </row>
    <row r="549">
      <c r="C549" s="133"/>
    </row>
    <row r="550">
      <c r="C550" s="133"/>
    </row>
    <row r="551">
      <c r="C551" s="133"/>
    </row>
    <row r="552">
      <c r="C552" s="133"/>
    </row>
    <row r="553">
      <c r="C553" s="133"/>
    </row>
    <row r="554">
      <c r="C554" s="133"/>
    </row>
    <row r="555">
      <c r="C555" s="133"/>
    </row>
    <row r="556">
      <c r="C556" s="133"/>
    </row>
    <row r="557">
      <c r="C557" s="133"/>
    </row>
    <row r="558">
      <c r="C558" s="133"/>
    </row>
    <row r="559">
      <c r="C559" s="133"/>
    </row>
    <row r="560">
      <c r="C560" s="133"/>
    </row>
    <row r="561">
      <c r="C561" s="133"/>
    </row>
    <row r="562">
      <c r="C562" s="133"/>
    </row>
    <row r="563">
      <c r="C563" s="133"/>
    </row>
    <row r="564">
      <c r="C564" s="133"/>
    </row>
    <row r="565">
      <c r="C565" s="133"/>
    </row>
    <row r="566">
      <c r="C566" s="133"/>
    </row>
    <row r="567">
      <c r="C567" s="133"/>
    </row>
    <row r="568">
      <c r="C568" s="133"/>
    </row>
    <row r="569">
      <c r="C569" s="133"/>
    </row>
    <row r="570">
      <c r="C570" s="133"/>
    </row>
    <row r="571">
      <c r="C571" s="133"/>
    </row>
    <row r="572">
      <c r="C572" s="133"/>
    </row>
    <row r="573">
      <c r="C573" s="133"/>
    </row>
    <row r="574">
      <c r="C574" s="133"/>
    </row>
    <row r="575">
      <c r="C575" s="133"/>
    </row>
    <row r="576">
      <c r="C576" s="133"/>
    </row>
    <row r="577">
      <c r="C577" s="133"/>
    </row>
    <row r="578">
      <c r="C578" s="133"/>
    </row>
    <row r="579">
      <c r="C579" s="133"/>
    </row>
    <row r="580">
      <c r="C580" s="133"/>
    </row>
    <row r="581">
      <c r="C581" s="133"/>
    </row>
    <row r="582">
      <c r="C582" s="133"/>
    </row>
    <row r="583">
      <c r="C583" s="133"/>
    </row>
    <row r="584">
      <c r="C584" s="133"/>
    </row>
    <row r="585">
      <c r="C585" s="133"/>
    </row>
    <row r="586">
      <c r="C586" s="133"/>
    </row>
    <row r="587">
      <c r="C587" s="133"/>
    </row>
    <row r="588">
      <c r="C588" s="133"/>
    </row>
    <row r="589">
      <c r="C589" s="133"/>
    </row>
    <row r="590">
      <c r="C590" s="133"/>
    </row>
    <row r="591">
      <c r="C591" s="133"/>
    </row>
    <row r="592">
      <c r="C592" s="133"/>
    </row>
    <row r="593">
      <c r="C593" s="133"/>
    </row>
    <row r="594">
      <c r="C594" s="133"/>
    </row>
    <row r="595">
      <c r="C595" s="133"/>
    </row>
    <row r="596">
      <c r="C596" s="133"/>
    </row>
    <row r="597">
      <c r="C597" s="133"/>
    </row>
    <row r="598">
      <c r="C598" s="133"/>
    </row>
    <row r="599">
      <c r="C599" s="133"/>
    </row>
    <row r="600">
      <c r="C600" s="133"/>
    </row>
    <row r="601">
      <c r="C601" s="133"/>
    </row>
    <row r="602">
      <c r="C602" s="133"/>
    </row>
    <row r="603">
      <c r="C603" s="133"/>
    </row>
    <row r="604">
      <c r="C604" s="133"/>
    </row>
    <row r="605">
      <c r="C605" s="133"/>
    </row>
    <row r="606">
      <c r="C606" s="133"/>
    </row>
    <row r="607">
      <c r="C607" s="133"/>
    </row>
    <row r="608">
      <c r="C608" s="133"/>
    </row>
    <row r="609">
      <c r="C609" s="133"/>
    </row>
    <row r="610">
      <c r="C610" s="133"/>
    </row>
    <row r="611">
      <c r="C611" s="133"/>
    </row>
    <row r="612">
      <c r="C612" s="133"/>
    </row>
    <row r="613">
      <c r="C613" s="133"/>
    </row>
    <row r="614">
      <c r="C614" s="133"/>
    </row>
    <row r="615">
      <c r="C615" s="133"/>
    </row>
    <row r="616">
      <c r="C616" s="133"/>
    </row>
    <row r="617">
      <c r="C617" s="133"/>
    </row>
    <row r="618">
      <c r="C618" s="133"/>
    </row>
    <row r="619">
      <c r="C619" s="133"/>
    </row>
    <row r="620">
      <c r="C620" s="133"/>
    </row>
    <row r="621">
      <c r="C621" s="133"/>
    </row>
    <row r="622">
      <c r="C622" s="133"/>
    </row>
    <row r="623">
      <c r="C623" s="133"/>
    </row>
    <row r="624">
      <c r="C624" s="133"/>
    </row>
    <row r="625">
      <c r="C625" s="133"/>
    </row>
    <row r="626">
      <c r="C626" s="133"/>
    </row>
    <row r="627">
      <c r="C627" s="133"/>
    </row>
    <row r="628">
      <c r="C628" s="133"/>
    </row>
    <row r="629">
      <c r="C629" s="133"/>
    </row>
    <row r="630">
      <c r="C630" s="133"/>
    </row>
    <row r="631">
      <c r="C631" s="133"/>
    </row>
    <row r="632">
      <c r="C632" s="133"/>
    </row>
    <row r="633">
      <c r="C633" s="133"/>
    </row>
    <row r="634">
      <c r="C634" s="133"/>
    </row>
    <row r="635">
      <c r="C635" s="133"/>
    </row>
    <row r="636">
      <c r="C636" s="133"/>
    </row>
    <row r="637">
      <c r="C637" s="133"/>
    </row>
    <row r="638">
      <c r="C638" s="133"/>
    </row>
    <row r="639">
      <c r="C639" s="133"/>
    </row>
    <row r="640">
      <c r="C640" s="133"/>
    </row>
    <row r="641">
      <c r="C641" s="133"/>
    </row>
    <row r="642">
      <c r="C642" s="133"/>
    </row>
    <row r="643">
      <c r="C643" s="133"/>
    </row>
    <row r="644">
      <c r="C644" s="133"/>
    </row>
    <row r="645">
      <c r="C645" s="133"/>
    </row>
    <row r="646">
      <c r="C646" s="133"/>
    </row>
    <row r="647">
      <c r="C647" s="133"/>
    </row>
    <row r="648">
      <c r="C648" s="133"/>
    </row>
    <row r="649">
      <c r="C649" s="133"/>
    </row>
    <row r="650">
      <c r="C650" s="133"/>
    </row>
    <row r="651">
      <c r="C651" s="133"/>
    </row>
    <row r="652">
      <c r="C652" s="133"/>
    </row>
    <row r="653">
      <c r="C653" s="133"/>
    </row>
    <row r="654">
      <c r="C654" s="133"/>
    </row>
    <row r="655">
      <c r="C655" s="133"/>
    </row>
    <row r="656">
      <c r="C656" s="133"/>
    </row>
    <row r="657">
      <c r="C657" s="133"/>
    </row>
    <row r="658">
      <c r="C658" s="133"/>
    </row>
    <row r="659">
      <c r="C659" s="133"/>
    </row>
    <row r="660">
      <c r="C660" s="133"/>
    </row>
    <row r="661">
      <c r="C661" s="133"/>
    </row>
    <row r="662">
      <c r="C662" s="133"/>
    </row>
    <row r="663">
      <c r="C663" s="133"/>
    </row>
    <row r="664">
      <c r="C664" s="133"/>
    </row>
    <row r="665">
      <c r="C665" s="133"/>
    </row>
    <row r="666">
      <c r="C666" s="133"/>
    </row>
    <row r="667">
      <c r="C667" s="133"/>
    </row>
    <row r="668">
      <c r="C668" s="133"/>
    </row>
    <row r="669">
      <c r="C669" s="133"/>
    </row>
    <row r="670">
      <c r="C670" s="133"/>
    </row>
    <row r="671">
      <c r="C671" s="133"/>
    </row>
    <row r="672">
      <c r="C672" s="133"/>
    </row>
    <row r="673">
      <c r="C673" s="133"/>
    </row>
    <row r="674">
      <c r="C674" s="133"/>
    </row>
    <row r="675">
      <c r="C675" s="133"/>
    </row>
    <row r="676">
      <c r="C676" s="133"/>
    </row>
    <row r="677">
      <c r="C677" s="133"/>
    </row>
    <row r="678">
      <c r="C678" s="133"/>
    </row>
    <row r="679">
      <c r="C679" s="133"/>
    </row>
    <row r="680">
      <c r="C680" s="133"/>
    </row>
    <row r="681">
      <c r="C681" s="133"/>
    </row>
    <row r="682">
      <c r="C682" s="133"/>
    </row>
    <row r="683">
      <c r="C683" s="133"/>
    </row>
    <row r="684">
      <c r="C684" s="133"/>
    </row>
    <row r="685">
      <c r="C685" s="133"/>
    </row>
    <row r="686">
      <c r="C686" s="133"/>
    </row>
    <row r="687">
      <c r="C687" s="133"/>
    </row>
    <row r="688">
      <c r="C688" s="133"/>
    </row>
    <row r="689">
      <c r="C689" s="133"/>
    </row>
    <row r="690">
      <c r="C690" s="133"/>
    </row>
    <row r="691">
      <c r="C691" s="133"/>
    </row>
    <row r="692">
      <c r="C692" s="133"/>
    </row>
    <row r="693">
      <c r="C693" s="133"/>
    </row>
    <row r="694">
      <c r="C694" s="133"/>
    </row>
    <row r="695">
      <c r="C695" s="133"/>
    </row>
    <row r="696">
      <c r="C696" s="133"/>
    </row>
    <row r="697">
      <c r="C697" s="133"/>
    </row>
    <row r="698">
      <c r="C698" s="133"/>
    </row>
    <row r="699">
      <c r="C699" s="133"/>
    </row>
    <row r="700">
      <c r="C700" s="133"/>
    </row>
    <row r="701">
      <c r="C701" s="133"/>
    </row>
    <row r="702">
      <c r="C702" s="133"/>
    </row>
    <row r="703">
      <c r="C703" s="133"/>
    </row>
    <row r="704">
      <c r="C704" s="133"/>
    </row>
    <row r="705">
      <c r="C705" s="133"/>
    </row>
    <row r="706">
      <c r="C706" s="133"/>
    </row>
    <row r="707">
      <c r="C707" s="133"/>
    </row>
    <row r="708">
      <c r="C708" s="133"/>
    </row>
    <row r="709">
      <c r="C709" s="133"/>
    </row>
    <row r="710">
      <c r="C710" s="133"/>
    </row>
    <row r="711">
      <c r="C711" s="133"/>
    </row>
    <row r="712">
      <c r="C712" s="133"/>
    </row>
    <row r="713">
      <c r="C713" s="133"/>
    </row>
    <row r="714">
      <c r="C714" s="133"/>
    </row>
    <row r="715">
      <c r="C715" s="133"/>
    </row>
    <row r="716">
      <c r="C716" s="133"/>
    </row>
    <row r="717">
      <c r="C717" s="133"/>
    </row>
    <row r="718">
      <c r="C718" s="133"/>
    </row>
    <row r="719">
      <c r="C719" s="133"/>
    </row>
    <row r="720">
      <c r="C720" s="133"/>
    </row>
    <row r="721">
      <c r="C721" s="133"/>
    </row>
    <row r="722">
      <c r="C722" s="133"/>
    </row>
    <row r="723">
      <c r="C723" s="133"/>
    </row>
    <row r="724">
      <c r="C724" s="133"/>
    </row>
    <row r="725">
      <c r="C725" s="133"/>
    </row>
    <row r="726">
      <c r="C726" s="133"/>
    </row>
    <row r="727">
      <c r="C727" s="133"/>
    </row>
    <row r="728">
      <c r="C728" s="133"/>
    </row>
    <row r="729">
      <c r="C729" s="133"/>
    </row>
    <row r="730">
      <c r="C730" s="133"/>
    </row>
    <row r="731">
      <c r="C731" s="133"/>
    </row>
    <row r="732">
      <c r="C732" s="133"/>
    </row>
    <row r="733">
      <c r="C733" s="133"/>
    </row>
    <row r="734">
      <c r="C734" s="133"/>
    </row>
    <row r="735">
      <c r="C735" s="133"/>
    </row>
    <row r="736">
      <c r="C736" s="133"/>
    </row>
    <row r="737">
      <c r="C737" s="133"/>
    </row>
    <row r="738">
      <c r="C738" s="133"/>
    </row>
    <row r="739">
      <c r="C739" s="133"/>
    </row>
    <row r="740">
      <c r="C740" s="133"/>
    </row>
    <row r="741">
      <c r="C741" s="133"/>
    </row>
    <row r="742">
      <c r="C742" s="133"/>
    </row>
    <row r="743">
      <c r="C743" s="133"/>
    </row>
    <row r="744">
      <c r="C744" s="133"/>
    </row>
    <row r="745">
      <c r="C745" s="133"/>
    </row>
    <row r="746">
      <c r="C746" s="133"/>
    </row>
    <row r="747">
      <c r="C747" s="133"/>
    </row>
    <row r="748">
      <c r="C748" s="133"/>
    </row>
    <row r="749">
      <c r="C749" s="133"/>
    </row>
    <row r="750">
      <c r="C750" s="133"/>
    </row>
    <row r="751">
      <c r="C751" s="133"/>
    </row>
    <row r="752">
      <c r="C752" s="133"/>
    </row>
    <row r="753">
      <c r="C753" s="133"/>
    </row>
    <row r="754">
      <c r="C754" s="133"/>
    </row>
    <row r="755">
      <c r="C755" s="133"/>
    </row>
    <row r="756">
      <c r="C756" s="133"/>
    </row>
    <row r="757">
      <c r="C757" s="133"/>
    </row>
    <row r="758">
      <c r="C758" s="133"/>
    </row>
    <row r="759">
      <c r="C759" s="133"/>
    </row>
    <row r="760">
      <c r="C760" s="133"/>
    </row>
    <row r="761">
      <c r="C761" s="133"/>
    </row>
    <row r="762">
      <c r="C762" s="133"/>
    </row>
    <row r="763">
      <c r="C763" s="133"/>
    </row>
    <row r="764">
      <c r="C764" s="133"/>
    </row>
    <row r="765">
      <c r="C765" s="133"/>
    </row>
    <row r="766">
      <c r="C766" s="133"/>
    </row>
    <row r="767">
      <c r="C767" s="133"/>
    </row>
    <row r="768">
      <c r="C768" s="133"/>
    </row>
    <row r="769">
      <c r="C769" s="133"/>
    </row>
    <row r="770">
      <c r="C770" s="133"/>
    </row>
    <row r="771">
      <c r="C771" s="133"/>
    </row>
    <row r="772">
      <c r="C772" s="133"/>
    </row>
    <row r="773">
      <c r="C773" s="133"/>
    </row>
    <row r="774">
      <c r="C774" s="133"/>
    </row>
    <row r="775">
      <c r="C775" s="133"/>
    </row>
    <row r="776">
      <c r="C776" s="133"/>
    </row>
    <row r="777">
      <c r="C777" s="133"/>
    </row>
    <row r="778">
      <c r="C778" s="133"/>
    </row>
    <row r="779">
      <c r="C779" s="133"/>
    </row>
    <row r="780">
      <c r="C780" s="133"/>
    </row>
    <row r="781">
      <c r="C781" s="133"/>
    </row>
    <row r="782">
      <c r="C782" s="133"/>
    </row>
    <row r="783">
      <c r="C783" s="133"/>
    </row>
    <row r="784">
      <c r="C784" s="133"/>
    </row>
    <row r="785">
      <c r="C785" s="133"/>
    </row>
    <row r="786">
      <c r="C786" s="133"/>
    </row>
    <row r="787">
      <c r="C787" s="133"/>
    </row>
    <row r="788">
      <c r="C788" s="133"/>
    </row>
    <row r="789">
      <c r="C789" s="133"/>
    </row>
    <row r="790">
      <c r="C790" s="133"/>
    </row>
    <row r="791">
      <c r="C791" s="133"/>
    </row>
    <row r="792">
      <c r="C792" s="133"/>
    </row>
    <row r="793">
      <c r="C793" s="133"/>
    </row>
    <row r="794">
      <c r="C794" s="133"/>
    </row>
    <row r="795">
      <c r="C795" s="133"/>
    </row>
    <row r="796">
      <c r="C796" s="133"/>
    </row>
    <row r="797">
      <c r="C797" s="133"/>
    </row>
    <row r="798">
      <c r="C798" s="133"/>
    </row>
    <row r="799">
      <c r="C799" s="133"/>
    </row>
    <row r="800">
      <c r="C800" s="133"/>
    </row>
    <row r="801">
      <c r="C801" s="133"/>
    </row>
    <row r="802">
      <c r="C802" s="133"/>
    </row>
    <row r="803">
      <c r="C803" s="133"/>
    </row>
    <row r="804">
      <c r="C804" s="133"/>
    </row>
    <row r="805">
      <c r="C805" s="133"/>
    </row>
    <row r="806">
      <c r="C806" s="133"/>
    </row>
    <row r="807">
      <c r="C807" s="133"/>
    </row>
    <row r="808">
      <c r="C808" s="133"/>
    </row>
    <row r="809">
      <c r="C809" s="133"/>
    </row>
    <row r="810">
      <c r="C810" s="133"/>
    </row>
    <row r="811">
      <c r="C811" s="133"/>
    </row>
    <row r="812">
      <c r="C812" s="133"/>
    </row>
    <row r="813">
      <c r="C813" s="133"/>
    </row>
    <row r="814">
      <c r="C814" s="133"/>
    </row>
    <row r="815">
      <c r="C815" s="133"/>
    </row>
    <row r="816">
      <c r="C816" s="133"/>
    </row>
    <row r="817">
      <c r="C817" s="133"/>
    </row>
    <row r="818">
      <c r="C818" s="133"/>
    </row>
    <row r="819">
      <c r="C819" s="133"/>
    </row>
    <row r="820">
      <c r="C820" s="133"/>
    </row>
    <row r="821">
      <c r="C821" s="133"/>
    </row>
    <row r="822">
      <c r="C822" s="133"/>
    </row>
    <row r="823">
      <c r="C823" s="133"/>
    </row>
    <row r="824">
      <c r="C824" s="133"/>
    </row>
    <row r="825">
      <c r="C825" s="133"/>
    </row>
    <row r="826">
      <c r="C826" s="133"/>
    </row>
    <row r="827">
      <c r="C827" s="133"/>
    </row>
    <row r="828">
      <c r="C828" s="133"/>
    </row>
    <row r="829">
      <c r="C829" s="133"/>
    </row>
    <row r="830">
      <c r="C830" s="133"/>
    </row>
    <row r="831">
      <c r="C831" s="133"/>
    </row>
    <row r="832">
      <c r="C832" s="133"/>
    </row>
    <row r="833">
      <c r="C833" s="133"/>
    </row>
    <row r="834">
      <c r="C834" s="133"/>
    </row>
    <row r="835">
      <c r="C835" s="133"/>
    </row>
    <row r="836">
      <c r="C836" s="133"/>
    </row>
    <row r="837">
      <c r="C837" s="133"/>
    </row>
    <row r="838">
      <c r="C838" s="133"/>
    </row>
    <row r="839">
      <c r="C839" s="133"/>
    </row>
    <row r="840">
      <c r="C840" s="133"/>
    </row>
    <row r="841">
      <c r="C841" s="133"/>
    </row>
    <row r="842">
      <c r="C842" s="133"/>
    </row>
    <row r="843">
      <c r="C843" s="133"/>
    </row>
    <row r="844">
      <c r="C844" s="133"/>
    </row>
    <row r="845">
      <c r="C845" s="133"/>
    </row>
    <row r="846">
      <c r="C846" s="133"/>
    </row>
    <row r="847">
      <c r="C847" s="133"/>
    </row>
    <row r="848">
      <c r="C848" s="133"/>
    </row>
    <row r="849">
      <c r="C849" s="133"/>
    </row>
    <row r="850">
      <c r="C850" s="133"/>
    </row>
    <row r="851">
      <c r="C851" s="133"/>
    </row>
    <row r="852">
      <c r="C852" s="133"/>
    </row>
    <row r="853">
      <c r="C853" s="133"/>
    </row>
    <row r="854">
      <c r="C854" s="133"/>
    </row>
    <row r="855">
      <c r="C855" s="133"/>
    </row>
    <row r="856">
      <c r="C856" s="133"/>
    </row>
    <row r="857">
      <c r="C857" s="133"/>
    </row>
    <row r="858">
      <c r="C858" s="133"/>
    </row>
    <row r="859">
      <c r="C859" s="133"/>
    </row>
    <row r="860">
      <c r="C860" s="133"/>
    </row>
    <row r="861">
      <c r="C861" s="133"/>
    </row>
    <row r="862">
      <c r="C862" s="133"/>
    </row>
    <row r="863">
      <c r="C863" s="133"/>
    </row>
    <row r="864">
      <c r="C864" s="133"/>
    </row>
    <row r="865">
      <c r="C865" s="133"/>
    </row>
    <row r="866">
      <c r="C866" s="133"/>
    </row>
    <row r="867">
      <c r="C867" s="133"/>
    </row>
    <row r="868">
      <c r="C868" s="133"/>
    </row>
    <row r="869">
      <c r="C869" s="133"/>
    </row>
    <row r="870">
      <c r="C870" s="133"/>
    </row>
    <row r="871">
      <c r="C871" s="133"/>
    </row>
    <row r="872">
      <c r="C872" s="133"/>
    </row>
    <row r="873">
      <c r="C873" s="133"/>
    </row>
    <row r="874">
      <c r="C874" s="133"/>
    </row>
    <row r="875">
      <c r="C875" s="133"/>
    </row>
    <row r="876">
      <c r="C876" s="133"/>
    </row>
    <row r="877">
      <c r="C877" s="133"/>
    </row>
    <row r="878">
      <c r="C878" s="133"/>
    </row>
    <row r="879">
      <c r="C879" s="133"/>
    </row>
    <row r="880">
      <c r="C880" s="133"/>
    </row>
    <row r="881">
      <c r="C881" s="133"/>
    </row>
    <row r="882">
      <c r="C882" s="133"/>
    </row>
    <row r="883">
      <c r="C883" s="133"/>
    </row>
    <row r="884">
      <c r="C884" s="133"/>
    </row>
    <row r="885">
      <c r="C885" s="133"/>
    </row>
    <row r="886">
      <c r="C886" s="133"/>
    </row>
    <row r="887">
      <c r="C887" s="133"/>
    </row>
    <row r="888">
      <c r="C888" s="133"/>
    </row>
    <row r="889">
      <c r="C889" s="133"/>
    </row>
    <row r="890">
      <c r="C890" s="133"/>
    </row>
    <row r="891">
      <c r="C891" s="133"/>
    </row>
    <row r="892">
      <c r="C892" s="133"/>
    </row>
    <row r="893">
      <c r="C893" s="133"/>
    </row>
    <row r="894">
      <c r="C894" s="133"/>
    </row>
    <row r="895">
      <c r="C895" s="133"/>
    </row>
    <row r="896">
      <c r="C896" s="133"/>
    </row>
    <row r="897">
      <c r="C897" s="133"/>
    </row>
    <row r="898">
      <c r="C898" s="133"/>
    </row>
    <row r="899">
      <c r="C899" s="133"/>
    </row>
    <row r="900">
      <c r="C900" s="133"/>
    </row>
    <row r="901">
      <c r="C901" s="133"/>
    </row>
    <row r="902">
      <c r="C902" s="133"/>
    </row>
    <row r="903">
      <c r="C903" s="133"/>
    </row>
    <row r="904">
      <c r="C904" s="133"/>
    </row>
    <row r="905">
      <c r="C905" s="133"/>
    </row>
    <row r="906">
      <c r="C906" s="133"/>
    </row>
    <row r="907">
      <c r="C907" s="133"/>
    </row>
    <row r="908">
      <c r="C908" s="133"/>
    </row>
    <row r="909">
      <c r="C909" s="133"/>
    </row>
    <row r="910">
      <c r="C910" s="133"/>
    </row>
    <row r="911">
      <c r="C911" s="133"/>
    </row>
    <row r="912">
      <c r="C912" s="133"/>
    </row>
    <row r="913">
      <c r="C913" s="133"/>
    </row>
    <row r="914">
      <c r="C914" s="133"/>
    </row>
    <row r="915">
      <c r="C915" s="133"/>
    </row>
    <row r="916">
      <c r="C916" s="133"/>
    </row>
    <row r="917">
      <c r="C917" s="133"/>
    </row>
    <row r="918">
      <c r="C918" s="133"/>
    </row>
    <row r="919">
      <c r="C919" s="133"/>
    </row>
    <row r="920">
      <c r="C920" s="133"/>
    </row>
    <row r="921">
      <c r="C921" s="133"/>
    </row>
    <row r="922">
      <c r="C922" s="133"/>
    </row>
    <row r="923">
      <c r="C923" s="133"/>
    </row>
    <row r="924">
      <c r="C924" s="133"/>
    </row>
    <row r="925">
      <c r="C925" s="133"/>
    </row>
    <row r="926">
      <c r="C926" s="133"/>
    </row>
    <row r="927">
      <c r="C927" s="133"/>
    </row>
    <row r="928">
      <c r="C928" s="133"/>
    </row>
    <row r="929">
      <c r="C929" s="133"/>
    </row>
    <row r="930">
      <c r="C930" s="133"/>
    </row>
    <row r="931">
      <c r="C931" s="133"/>
    </row>
    <row r="932">
      <c r="C932" s="133"/>
    </row>
    <row r="933">
      <c r="C933" s="133"/>
    </row>
    <row r="934">
      <c r="C934" s="133"/>
    </row>
    <row r="935">
      <c r="C935" s="133"/>
    </row>
    <row r="936">
      <c r="C936" s="133"/>
    </row>
    <row r="937">
      <c r="C937" s="133"/>
    </row>
    <row r="938">
      <c r="C938" s="133"/>
    </row>
    <row r="939">
      <c r="C939" s="133"/>
    </row>
    <row r="940">
      <c r="C940" s="133"/>
    </row>
    <row r="941">
      <c r="C941" s="133"/>
    </row>
    <row r="942">
      <c r="C942" s="133"/>
    </row>
    <row r="943">
      <c r="C943" s="133"/>
    </row>
    <row r="944">
      <c r="C944" s="133"/>
    </row>
    <row r="945">
      <c r="C945" s="133"/>
    </row>
    <row r="946">
      <c r="C946" s="133"/>
    </row>
    <row r="947">
      <c r="C947" s="133"/>
    </row>
    <row r="948">
      <c r="C948" s="133"/>
    </row>
    <row r="949">
      <c r="C949" s="133"/>
    </row>
    <row r="950">
      <c r="C950" s="133"/>
    </row>
    <row r="951">
      <c r="C951" s="133"/>
    </row>
    <row r="952">
      <c r="C952" s="133"/>
    </row>
    <row r="953">
      <c r="C953" s="133"/>
    </row>
    <row r="954">
      <c r="C954" s="133"/>
    </row>
    <row r="955">
      <c r="C955" s="133"/>
    </row>
    <row r="956">
      <c r="C956" s="133"/>
    </row>
    <row r="957">
      <c r="C957" s="133"/>
    </row>
    <row r="958">
      <c r="C958" s="133"/>
    </row>
    <row r="959">
      <c r="C959" s="133"/>
    </row>
    <row r="960">
      <c r="C960" s="133"/>
    </row>
    <row r="961">
      <c r="C961" s="133"/>
    </row>
    <row r="962">
      <c r="C962" s="133"/>
    </row>
    <row r="963">
      <c r="C963" s="133"/>
    </row>
    <row r="964">
      <c r="C964" s="133"/>
    </row>
    <row r="965">
      <c r="C965" s="133"/>
    </row>
    <row r="966">
      <c r="C966" s="133"/>
    </row>
    <row r="967">
      <c r="C967" s="133"/>
    </row>
    <row r="968">
      <c r="C968" s="133"/>
    </row>
    <row r="969">
      <c r="C969" s="133"/>
    </row>
    <row r="970">
      <c r="C970" s="133"/>
    </row>
    <row r="971">
      <c r="C971" s="133"/>
    </row>
    <row r="972">
      <c r="C972" s="133"/>
    </row>
    <row r="973">
      <c r="C973" s="133"/>
    </row>
    <row r="974">
      <c r="C974" s="133"/>
    </row>
    <row r="975">
      <c r="C975" s="133"/>
    </row>
    <row r="976">
      <c r="C976" s="133"/>
    </row>
    <row r="977">
      <c r="C977" s="133"/>
    </row>
    <row r="978">
      <c r="C978" s="133"/>
    </row>
    <row r="979">
      <c r="C979" s="133"/>
    </row>
    <row r="980">
      <c r="C980" s="133"/>
    </row>
    <row r="981">
      <c r="C981" s="133"/>
    </row>
    <row r="982">
      <c r="C982" s="133"/>
    </row>
    <row r="983">
      <c r="C983" s="133"/>
    </row>
    <row r="984">
      <c r="C984" s="133"/>
    </row>
    <row r="985">
      <c r="C985" s="133"/>
    </row>
    <row r="986">
      <c r="C986" s="133"/>
    </row>
    <row r="987">
      <c r="C987" s="133"/>
    </row>
    <row r="988">
      <c r="C988" s="133"/>
    </row>
    <row r="989">
      <c r="C989" s="133"/>
    </row>
    <row r="990">
      <c r="C990" s="133"/>
    </row>
    <row r="991">
      <c r="C991" s="133"/>
    </row>
    <row r="992">
      <c r="C992" s="133"/>
    </row>
    <row r="993">
      <c r="C993" s="133"/>
    </row>
    <row r="994">
      <c r="C994" s="133"/>
    </row>
    <row r="995">
      <c r="C995" s="133"/>
    </row>
    <row r="996">
      <c r="C996" s="133"/>
    </row>
    <row r="997">
      <c r="C997" s="133"/>
    </row>
    <row r="998">
      <c r="C998" s="133"/>
    </row>
    <row r="999">
      <c r="C999" s="133"/>
    </row>
    <row r="1000">
      <c r="C1000" s="133"/>
    </row>
    <row r="1001">
      <c r="C1001" s="133"/>
    </row>
    <row r="1002">
      <c r="C1002" s="133"/>
    </row>
  </sheetData>
  <mergeCells count="2">
    <mergeCell ref="I1:O1"/>
    <mergeCell ref="Q1:X1"/>
  </mergeCells>
  <conditionalFormatting sqref="K10:K12">
    <cfRule type="cellIs" dxfId="13" priority="1" operator="greaterThan">
      <formula>4</formula>
    </cfRule>
  </conditionalFormatting>
  <conditionalFormatting sqref="K10:K12">
    <cfRule type="cellIs" dxfId="9" priority="2" operator="lessThan">
      <formula>4</formula>
    </cfRule>
  </conditionalFormatting>
  <conditionalFormatting sqref="J10:J12">
    <cfRule type="notContainsText" dxfId="9" priority="3" operator="notContains" text="1">
      <formula>ISERROR(SEARCH(("1"),(J10)))</formula>
    </cfRule>
  </conditionalFormatting>
  <conditionalFormatting sqref="M10:M12">
    <cfRule type="notContainsText" dxfId="9" priority="4" operator="notContains" text="1">
      <formula>ISERROR(SEARCH(("1"),(M10)))</formula>
    </cfRule>
  </conditionalFormatting>
  <conditionalFormatting sqref="N10:N12">
    <cfRule type="notContainsText" dxfId="9" priority="5" operator="notContains" text="1">
      <formula>ISERROR(SEARCH(("1"),(N10)))</formula>
    </cfRule>
  </conditionalFormatting>
  <conditionalFormatting sqref="O10:O12">
    <cfRule type="containsText" dxfId="7" priority="6" operator="containsText" text="4">
      <formula>NOT(ISERROR(SEARCH(("4"),(O10))))</formula>
    </cfRule>
  </conditionalFormatting>
  <conditionalFormatting sqref="O10:O12">
    <cfRule type="cellIs" dxfId="8" priority="7" operator="equal">
      <formula>3</formula>
    </cfRule>
  </conditionalFormatting>
  <conditionalFormatting sqref="O10:O12">
    <cfRule type="cellIs" dxfId="9" priority="8" operator="equal">
      <formula>5</formula>
    </cfRule>
  </conditionalFormatting>
  <conditionalFormatting sqref="O10:O12">
    <cfRule type="cellIs" dxfId="10" priority="9" operator="equal">
      <formula>3</formula>
    </cfRule>
  </conditionalFormatting>
  <conditionalFormatting sqref="O10:O12">
    <cfRule type="cellIs" dxfId="11" priority="10" operator="equal">
      <formula>2</formula>
    </cfRule>
  </conditionalFormatting>
  <conditionalFormatting sqref="O10:O12">
    <cfRule type="cellIs" dxfId="12" priority="11" operator="equal">
      <formula>6</formula>
    </cfRule>
  </conditionalFormatting>
  <dataValidations>
    <dataValidation type="list" allowBlank="1" sqref="B3:B24">
      <formula1>#REF!</formula1>
    </dataValidation>
    <dataValidation type="custom" allowBlank="1" showDropDown="1" sqref="F3:J24 L3:L24 N3:N24">
      <formula1>AND(ISNUMBER(F3),(NOT(OR(NOT(ISERROR(DATEVALUE(F3))), AND(ISNUMBER(F3), LEFT(CELL("format", F3))="D")))))</formula1>
    </dataValidation>
    <dataValidation allowBlank="1" showDropDown="1" sqref="D3:D24 M3:M24 O3:O24"/>
  </dataValidations>
  <drawing r:id="rId1"/>
  <tableParts count="2">
    <tablePart r:id="rId4"/>
    <tablePart r:id="rId5"/>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5"/>
    <col customWidth="1" min="2" max="2" width="37.63"/>
    <col customWidth="1" min="3" max="3" width="13.38"/>
    <col customWidth="1" min="4" max="4" width="9.88"/>
    <col customWidth="1" min="5" max="5" width="10.0"/>
    <col customWidth="1" min="6" max="6" width="13.75"/>
    <col customWidth="1" min="7" max="7" width="16.63"/>
    <col customWidth="1" min="8" max="8" width="16.88"/>
    <col customWidth="1" min="9" max="9" width="18.5"/>
    <col customWidth="1" min="10" max="10" width="19.88"/>
    <col customWidth="1" min="13" max="13" width="18.63"/>
  </cols>
  <sheetData>
    <row r="1" ht="22.5" customHeight="1">
      <c r="A1" s="189" t="s">
        <v>1</v>
      </c>
      <c r="B1" s="189" t="s">
        <v>5</v>
      </c>
      <c r="C1" s="190" t="s">
        <v>47</v>
      </c>
      <c r="D1" s="189" t="s">
        <v>73</v>
      </c>
      <c r="E1" s="189" t="s">
        <v>34</v>
      </c>
      <c r="F1" s="189" t="s">
        <v>778</v>
      </c>
      <c r="G1" s="190" t="s">
        <v>779</v>
      </c>
      <c r="H1" s="189" t="s">
        <v>780</v>
      </c>
      <c r="I1" s="189" t="s">
        <v>781</v>
      </c>
      <c r="J1" s="189" t="s">
        <v>782</v>
      </c>
      <c r="K1" s="189" t="s">
        <v>95</v>
      </c>
      <c r="L1" s="191" t="s">
        <v>783</v>
      </c>
      <c r="M1" s="191" t="s">
        <v>784</v>
      </c>
      <c r="N1" s="192" t="s">
        <v>785</v>
      </c>
      <c r="O1" s="192" t="s">
        <v>786</v>
      </c>
      <c r="P1" s="189" t="s">
        <v>516</v>
      </c>
      <c r="Q1" s="189" t="s">
        <v>788</v>
      </c>
    </row>
    <row r="2" ht="22.5" customHeight="1">
      <c r="A2" s="82" t="s">
        <v>556</v>
      </c>
      <c r="B2" s="44" t="s">
        <v>559</v>
      </c>
      <c r="C2" s="193">
        <v>5.0</v>
      </c>
      <c r="D2" s="82" t="s">
        <v>789</v>
      </c>
      <c r="E2" s="82" t="b">
        <v>1</v>
      </c>
      <c r="F2" s="82">
        <v>5.0</v>
      </c>
      <c r="G2" s="193">
        <v>5.0</v>
      </c>
      <c r="H2" s="194">
        <v>1.0</v>
      </c>
      <c r="I2" s="194"/>
      <c r="J2" s="194">
        <v>0.0</v>
      </c>
      <c r="K2" s="82">
        <v>5.0</v>
      </c>
      <c r="L2" s="194">
        <f t="shared" ref="L2:L3" si="1">4/6</f>
        <v>0.6666666667</v>
      </c>
      <c r="M2" s="194">
        <f t="shared" ref="M2:M12" si="2">L2*K2</f>
        <v>3.333333333</v>
      </c>
      <c r="N2" s="82"/>
      <c r="O2" s="82"/>
      <c r="P2" s="82">
        <v>3.0</v>
      </c>
      <c r="Q2" s="82" t="b">
        <v>0</v>
      </c>
    </row>
    <row r="3" ht="22.5" customHeight="1">
      <c r="A3" s="82" t="s">
        <v>792</v>
      </c>
      <c r="B3" s="44" t="s">
        <v>793</v>
      </c>
      <c r="C3" s="193">
        <v>6.0</v>
      </c>
      <c r="D3" s="82" t="s">
        <v>795</v>
      </c>
      <c r="E3" s="82" t="b">
        <v>1</v>
      </c>
      <c r="F3" s="82">
        <v>7.0</v>
      </c>
      <c r="G3" s="193">
        <v>6.0</v>
      </c>
      <c r="H3" s="194">
        <f>1/6</f>
        <v>0.1666666667</v>
      </c>
      <c r="I3" s="196">
        <v>0.5</v>
      </c>
      <c r="J3" s="194">
        <f>1/6</f>
        <v>0.1666666667</v>
      </c>
      <c r="K3" s="82">
        <v>3.5</v>
      </c>
      <c r="L3" s="194">
        <f t="shared" si="1"/>
        <v>0.6666666667</v>
      </c>
      <c r="M3" s="194">
        <f t="shared" si="2"/>
        <v>2.333333333</v>
      </c>
      <c r="N3" s="82">
        <f t="shared" ref="N3:O3" si="3">M3*H3</f>
        <v>0.3888888889</v>
      </c>
      <c r="O3" s="82">
        <f t="shared" si="3"/>
        <v>0.1944444444</v>
      </c>
      <c r="P3" s="82">
        <v>1.0</v>
      </c>
      <c r="Q3" s="82" t="b">
        <v>0</v>
      </c>
    </row>
    <row r="4" ht="22.5" customHeight="1">
      <c r="A4" s="82" t="s">
        <v>796</v>
      </c>
      <c r="B4" s="44" t="s">
        <v>797</v>
      </c>
      <c r="C4" s="193">
        <v>5.0</v>
      </c>
      <c r="D4" s="82" t="s">
        <v>789</v>
      </c>
      <c r="E4" s="82" t="b">
        <v>1</v>
      </c>
      <c r="F4" s="82">
        <v>5.0</v>
      </c>
      <c r="G4" s="193">
        <v>5.0</v>
      </c>
      <c r="H4" s="194">
        <v>1.0</v>
      </c>
      <c r="I4" s="194">
        <v>0.0</v>
      </c>
      <c r="J4" s="194">
        <v>0.0</v>
      </c>
      <c r="K4" s="82">
        <v>4.0</v>
      </c>
      <c r="L4" s="194">
        <v>0.5</v>
      </c>
      <c r="M4" s="194">
        <f t="shared" si="2"/>
        <v>2</v>
      </c>
      <c r="N4" s="82"/>
      <c r="O4" s="82"/>
      <c r="P4" s="82">
        <v>0.0</v>
      </c>
      <c r="Q4" s="82" t="b">
        <v>1</v>
      </c>
    </row>
    <row r="5" ht="22.5" customHeight="1">
      <c r="A5" s="82" t="s">
        <v>501</v>
      </c>
      <c r="B5" s="44" t="s">
        <v>503</v>
      </c>
      <c r="C5" s="193">
        <v>5.0</v>
      </c>
      <c r="D5" s="82" t="s">
        <v>789</v>
      </c>
      <c r="E5" s="82" t="b">
        <v>0</v>
      </c>
      <c r="F5" s="82">
        <v>5.0</v>
      </c>
      <c r="G5" s="193">
        <v>5.0</v>
      </c>
      <c r="H5" s="194">
        <v>1.0</v>
      </c>
      <c r="I5" s="194">
        <v>0.0</v>
      </c>
      <c r="J5" s="194">
        <v>0.0</v>
      </c>
      <c r="K5" s="82">
        <v>4.0</v>
      </c>
      <c r="L5" s="194">
        <f>1/2</f>
        <v>0.5</v>
      </c>
      <c r="M5" s="194">
        <f t="shared" si="2"/>
        <v>2</v>
      </c>
      <c r="N5" s="82"/>
      <c r="O5" s="82"/>
      <c r="P5" s="82">
        <v>0.0</v>
      </c>
      <c r="Q5" s="82" t="b">
        <v>1</v>
      </c>
    </row>
    <row r="6" ht="22.5" customHeight="1">
      <c r="A6" s="82" t="s">
        <v>803</v>
      </c>
      <c r="B6" s="44" t="s">
        <v>804</v>
      </c>
      <c r="C6" s="193">
        <v>6.0</v>
      </c>
      <c r="D6" s="82" t="s">
        <v>795</v>
      </c>
      <c r="E6" s="82" t="b">
        <v>1</v>
      </c>
      <c r="F6" s="82">
        <v>7.0</v>
      </c>
      <c r="G6" s="193">
        <v>6.0</v>
      </c>
      <c r="H6" s="194">
        <f>1/3</f>
        <v>0.3333333333</v>
      </c>
      <c r="I6" s="194">
        <f>1/6</f>
        <v>0.1666666667</v>
      </c>
      <c r="J6" s="194">
        <f>1/12</f>
        <v>0.08333333333</v>
      </c>
      <c r="K6" s="82">
        <v>3.0</v>
      </c>
      <c r="L6" s="194">
        <v>0.5</v>
      </c>
      <c r="M6" s="194">
        <f t="shared" si="2"/>
        <v>1.5</v>
      </c>
      <c r="N6" s="82">
        <f t="shared" ref="N6:O6" si="4">M6*H6</f>
        <v>0.5</v>
      </c>
      <c r="O6" s="82">
        <f t="shared" si="4"/>
        <v>0.08333333333</v>
      </c>
      <c r="P6" s="82">
        <v>0.0</v>
      </c>
      <c r="Q6" s="82" t="b">
        <v>1</v>
      </c>
    </row>
    <row r="7" ht="22.5" hidden="1" customHeight="1">
      <c r="A7" s="82" t="s">
        <v>567</v>
      </c>
      <c r="B7" s="44" t="s">
        <v>569</v>
      </c>
      <c r="C7" s="193"/>
      <c r="D7" s="82" t="s">
        <v>795</v>
      </c>
      <c r="E7" s="82" t="b">
        <v>1</v>
      </c>
      <c r="G7" s="193"/>
      <c r="H7" s="194"/>
      <c r="I7" s="194"/>
      <c r="J7" s="194"/>
      <c r="L7" s="194"/>
      <c r="M7" s="194">
        <f t="shared" si="2"/>
        <v>0</v>
      </c>
      <c r="N7" s="82">
        <f t="shared" ref="N7:O7" si="5">M7*H7</f>
        <v>0</v>
      </c>
      <c r="O7" s="82">
        <f t="shared" si="5"/>
        <v>0</v>
      </c>
      <c r="Q7" s="82" t="b">
        <v>1</v>
      </c>
    </row>
    <row r="8" ht="22.5" customHeight="1">
      <c r="A8" s="82" t="s">
        <v>375</v>
      </c>
      <c r="B8" s="67" t="s">
        <v>808</v>
      </c>
      <c r="C8" s="193" t="s">
        <v>809</v>
      </c>
      <c r="D8" s="82" t="s">
        <v>789</v>
      </c>
      <c r="E8" s="82" t="b">
        <v>0</v>
      </c>
      <c r="F8" s="82">
        <v>6.0</v>
      </c>
      <c r="G8" s="193">
        <v>4.5</v>
      </c>
      <c r="H8" s="194">
        <v>1.0</v>
      </c>
      <c r="I8" s="194">
        <v>0.0</v>
      </c>
      <c r="J8" s="194">
        <v>0.0</v>
      </c>
      <c r="K8" s="82">
        <v>1.0</v>
      </c>
      <c r="L8" s="194">
        <f>4/6</f>
        <v>0.6666666667</v>
      </c>
      <c r="M8" s="194">
        <f t="shared" si="2"/>
        <v>0.6666666667</v>
      </c>
      <c r="N8" s="82"/>
      <c r="O8" s="82"/>
      <c r="P8" s="82">
        <v>3.0</v>
      </c>
      <c r="Q8" s="82" t="b">
        <v>0</v>
      </c>
    </row>
    <row r="9" ht="22.5" customHeight="1">
      <c r="A9" s="82" t="s">
        <v>811</v>
      </c>
      <c r="B9" s="44" t="s">
        <v>812</v>
      </c>
      <c r="C9" s="193">
        <v>6.0</v>
      </c>
      <c r="D9" s="82" t="s">
        <v>795</v>
      </c>
      <c r="E9" s="82" t="b">
        <v>1</v>
      </c>
      <c r="F9" s="82">
        <v>7.0</v>
      </c>
      <c r="G9" s="193">
        <v>6.0</v>
      </c>
      <c r="H9" s="196">
        <v>0.5</v>
      </c>
      <c r="I9" s="194">
        <f>1/6</f>
        <v>0.1666666667</v>
      </c>
      <c r="J9" s="194">
        <f>1/9</f>
        <v>0.1111111111</v>
      </c>
      <c r="K9" s="82">
        <v>0.0</v>
      </c>
      <c r="L9" s="194">
        <v>0.0</v>
      </c>
      <c r="M9" s="194">
        <f t="shared" si="2"/>
        <v>0</v>
      </c>
      <c r="N9" s="82">
        <f t="shared" ref="N9:O9" si="6">M9*H9</f>
        <v>0</v>
      </c>
      <c r="O9" s="82">
        <f t="shared" si="6"/>
        <v>0</v>
      </c>
      <c r="P9" s="82">
        <v>0.0</v>
      </c>
      <c r="Q9" s="82" t="b">
        <v>1</v>
      </c>
    </row>
    <row r="10" ht="22.5" customHeight="1">
      <c r="A10" s="82" t="s">
        <v>749</v>
      </c>
      <c r="B10" s="44" t="s">
        <v>824</v>
      </c>
      <c r="C10" s="193"/>
      <c r="D10" s="44" t="s">
        <v>789</v>
      </c>
      <c r="E10" s="82" t="b">
        <v>0</v>
      </c>
      <c r="F10" s="44">
        <v>5.0</v>
      </c>
      <c r="G10" s="193"/>
      <c r="H10" s="194"/>
      <c r="I10" s="194"/>
      <c r="J10" s="196">
        <v>0.0</v>
      </c>
      <c r="K10" s="44">
        <v>3.0</v>
      </c>
      <c r="L10" s="194">
        <f t="shared" ref="L10:L11" si="8">1/2</f>
        <v>0.5</v>
      </c>
      <c r="M10" s="194">
        <f t="shared" si="2"/>
        <v>1.5</v>
      </c>
      <c r="N10" s="44"/>
      <c r="O10" s="44"/>
      <c r="P10" s="44">
        <v>2.0</v>
      </c>
      <c r="Q10" s="82" t="b">
        <v>1</v>
      </c>
    </row>
    <row r="11" ht="22.5" customHeight="1">
      <c r="A11" s="82" t="s">
        <v>752</v>
      </c>
      <c r="B11" s="44" t="s">
        <v>825</v>
      </c>
      <c r="C11" s="200">
        <v>6.0</v>
      </c>
      <c r="D11" s="44" t="s">
        <v>795</v>
      </c>
      <c r="E11" s="82" t="b">
        <v>1</v>
      </c>
      <c r="F11" s="44">
        <v>7.0</v>
      </c>
      <c r="G11" s="200">
        <v>6.0</v>
      </c>
      <c r="H11" s="196">
        <v>0.5</v>
      </c>
      <c r="I11" s="194">
        <f t="shared" ref="I11:J11" si="7">1/6</f>
        <v>0.1666666667</v>
      </c>
      <c r="J11" s="194">
        <f t="shared" si="7"/>
        <v>0.1666666667</v>
      </c>
      <c r="K11" s="44">
        <v>6.0</v>
      </c>
      <c r="L11" s="194">
        <f t="shared" si="8"/>
        <v>0.5</v>
      </c>
      <c r="M11" s="194">
        <f t="shared" si="2"/>
        <v>3</v>
      </c>
      <c r="N11" s="82">
        <f t="shared" ref="N11:O11" si="9">M11*H11</f>
        <v>1.5</v>
      </c>
      <c r="O11" s="82">
        <f t="shared" si="9"/>
        <v>0.25</v>
      </c>
      <c r="P11" s="44">
        <v>1.0</v>
      </c>
    </row>
    <row r="12" ht="22.5" customHeight="1">
      <c r="A12" s="44" t="s">
        <v>826</v>
      </c>
      <c r="B12" s="44" t="s">
        <v>827</v>
      </c>
      <c r="C12" s="193"/>
      <c r="D12" s="44" t="s">
        <v>789</v>
      </c>
      <c r="E12" s="82" t="b">
        <v>0</v>
      </c>
      <c r="F12" s="44">
        <v>4.0</v>
      </c>
      <c r="G12" s="200">
        <v>4.0</v>
      </c>
      <c r="H12" s="196">
        <v>1.0</v>
      </c>
      <c r="I12" s="194"/>
      <c r="J12" s="194">
        <f>1-(pow(5/6,3))</f>
        <v>0.4212962963</v>
      </c>
      <c r="K12" s="44">
        <v>8.45</v>
      </c>
      <c r="L12" s="194">
        <f>1/3</f>
        <v>0.3333333333</v>
      </c>
      <c r="M12" s="194">
        <f t="shared" si="2"/>
        <v>2.816666667</v>
      </c>
      <c r="N12" s="44"/>
      <c r="O12" s="44"/>
      <c r="P12" s="44">
        <v>0.0</v>
      </c>
      <c r="Q12" s="82" t="b">
        <v>0</v>
      </c>
    </row>
    <row r="13" ht="22.5" customHeight="1">
      <c r="C13" s="193"/>
      <c r="G13" s="193"/>
      <c r="H13" s="194"/>
      <c r="I13" s="194"/>
      <c r="J13" s="194"/>
      <c r="L13" s="194"/>
      <c r="M13" s="194"/>
    </row>
    <row r="14" ht="22.5" customHeight="1">
      <c r="C14" s="193"/>
      <c r="G14" s="193"/>
      <c r="H14" s="194"/>
      <c r="I14" s="194"/>
      <c r="J14" s="194"/>
      <c r="L14" s="194"/>
      <c r="M14" s="194"/>
    </row>
    <row r="15" ht="22.5" customHeight="1">
      <c r="C15" s="193"/>
      <c r="G15" s="193"/>
      <c r="H15" s="194"/>
      <c r="I15" s="194"/>
      <c r="J15" s="194"/>
      <c r="L15" s="194"/>
      <c r="M15" s="194"/>
    </row>
    <row r="16" ht="22.5" customHeight="1">
      <c r="C16" s="193"/>
      <c r="G16" s="193"/>
      <c r="H16" s="194"/>
      <c r="I16" s="194"/>
      <c r="J16" s="194"/>
      <c r="L16" s="194"/>
      <c r="M16" s="194"/>
    </row>
    <row r="17" ht="22.5" customHeight="1">
      <c r="C17" s="193"/>
      <c r="G17" s="193"/>
      <c r="H17" s="194"/>
      <c r="I17" s="194"/>
      <c r="J17" s="194"/>
      <c r="L17" s="194"/>
      <c r="M17" s="194"/>
    </row>
    <row r="18" ht="22.5" customHeight="1">
      <c r="C18" s="193"/>
      <c r="G18" s="193"/>
      <c r="H18" s="194"/>
      <c r="I18" s="194"/>
      <c r="J18" s="194"/>
      <c r="L18" s="194"/>
      <c r="M18" s="194"/>
    </row>
    <row r="19" ht="22.5" customHeight="1">
      <c r="C19" s="193"/>
      <c r="G19" s="193"/>
      <c r="H19" s="194"/>
      <c r="I19" s="194"/>
      <c r="J19" s="194"/>
      <c r="L19" s="194"/>
      <c r="M19" s="194"/>
    </row>
    <row r="20" ht="22.5" customHeight="1">
      <c r="C20" s="193"/>
      <c r="G20" s="193"/>
      <c r="H20" s="194"/>
      <c r="I20" s="194"/>
      <c r="J20" s="194"/>
      <c r="L20" s="194"/>
      <c r="M20" s="194"/>
    </row>
    <row r="21" ht="22.5" customHeight="1">
      <c r="C21" s="193"/>
      <c r="G21" s="193"/>
      <c r="H21" s="194"/>
      <c r="I21" s="194"/>
      <c r="J21" s="194"/>
      <c r="L21" s="194"/>
      <c r="M21" s="194"/>
    </row>
    <row r="22" ht="22.5" customHeight="1">
      <c r="C22" s="193"/>
      <c r="G22" s="193"/>
      <c r="H22" s="194"/>
      <c r="I22" s="194"/>
      <c r="J22" s="194"/>
      <c r="L22" s="194"/>
      <c r="M22" s="194"/>
    </row>
    <row r="23" ht="22.5" customHeight="1">
      <c r="C23" s="193"/>
      <c r="G23" s="193"/>
      <c r="H23" s="194"/>
      <c r="I23" s="194"/>
      <c r="J23" s="194"/>
      <c r="L23" s="194"/>
      <c r="M23" s="194"/>
    </row>
    <row r="24" ht="22.5" customHeight="1">
      <c r="C24" s="193"/>
      <c r="G24" s="193"/>
      <c r="H24" s="194"/>
      <c r="I24" s="194"/>
      <c r="J24" s="194"/>
      <c r="L24" s="194"/>
      <c r="M24" s="194"/>
    </row>
    <row r="25" ht="22.5" customHeight="1">
      <c r="C25" s="193"/>
      <c r="G25" s="193"/>
      <c r="H25" s="194"/>
      <c r="I25" s="194"/>
      <c r="J25" s="194"/>
      <c r="L25" s="194"/>
      <c r="M25" s="194"/>
    </row>
    <row r="26" ht="22.5" customHeight="1">
      <c r="C26" s="193"/>
      <c r="G26" s="193"/>
      <c r="H26" s="194"/>
      <c r="I26" s="194"/>
      <c r="J26" s="194"/>
      <c r="L26" s="194"/>
      <c r="M26" s="194"/>
    </row>
    <row r="27" ht="22.5" customHeight="1">
      <c r="C27" s="193"/>
      <c r="G27" s="193"/>
      <c r="H27" s="194"/>
      <c r="I27" s="194"/>
      <c r="J27" s="194"/>
      <c r="L27" s="194"/>
      <c r="M27" s="194"/>
    </row>
    <row r="28" ht="22.5" customHeight="1">
      <c r="C28" s="193"/>
      <c r="G28" s="193"/>
      <c r="H28" s="194"/>
      <c r="I28" s="194"/>
      <c r="J28" s="194"/>
      <c r="L28" s="194"/>
      <c r="M28" s="194"/>
    </row>
    <row r="29" ht="22.5" customHeight="1">
      <c r="C29" s="193"/>
      <c r="G29" s="193"/>
      <c r="H29" s="194"/>
      <c r="I29" s="194"/>
      <c r="J29" s="194"/>
      <c r="L29" s="194"/>
      <c r="M29" s="194"/>
    </row>
    <row r="30" ht="22.5" customHeight="1">
      <c r="C30" s="193"/>
      <c r="G30" s="193"/>
      <c r="H30" s="194"/>
      <c r="I30" s="194"/>
      <c r="J30" s="194"/>
      <c r="L30" s="194"/>
      <c r="M30" s="194"/>
    </row>
    <row r="31" ht="22.5" customHeight="1">
      <c r="C31" s="193"/>
      <c r="G31" s="193"/>
      <c r="H31" s="194"/>
      <c r="I31" s="194"/>
      <c r="J31" s="194"/>
      <c r="L31" s="194"/>
      <c r="M31" s="194"/>
    </row>
    <row r="32" ht="22.5" customHeight="1">
      <c r="C32" s="193"/>
      <c r="G32" s="193"/>
      <c r="H32" s="194"/>
      <c r="I32" s="194"/>
      <c r="J32" s="194"/>
      <c r="L32" s="194"/>
      <c r="M32" s="194"/>
    </row>
    <row r="33" ht="22.5" customHeight="1">
      <c r="C33" s="193"/>
      <c r="G33" s="193"/>
      <c r="H33" s="194"/>
      <c r="I33" s="194"/>
      <c r="J33" s="194"/>
      <c r="L33" s="194"/>
      <c r="M33" s="194"/>
    </row>
    <row r="34" ht="22.5" customHeight="1">
      <c r="C34" s="193"/>
      <c r="G34" s="193"/>
      <c r="H34" s="194"/>
      <c r="I34" s="194"/>
      <c r="J34" s="194"/>
      <c r="L34" s="194"/>
      <c r="M34" s="194"/>
    </row>
    <row r="35" ht="22.5" customHeight="1">
      <c r="C35" s="193"/>
      <c r="G35" s="193"/>
      <c r="H35" s="194"/>
      <c r="I35" s="194"/>
      <c r="J35" s="194"/>
      <c r="L35" s="194"/>
      <c r="M35" s="194"/>
    </row>
    <row r="36" ht="22.5" customHeight="1">
      <c r="C36" s="193"/>
      <c r="G36" s="193"/>
      <c r="H36" s="194"/>
      <c r="I36" s="194"/>
      <c r="J36" s="194"/>
      <c r="L36" s="194"/>
      <c r="M36" s="194"/>
    </row>
    <row r="37" ht="22.5" customHeight="1">
      <c r="C37" s="193"/>
      <c r="G37" s="193"/>
      <c r="H37" s="194"/>
      <c r="I37" s="194"/>
      <c r="J37" s="194"/>
      <c r="L37" s="194"/>
      <c r="M37" s="194"/>
    </row>
    <row r="38" ht="22.5" customHeight="1">
      <c r="C38" s="193"/>
      <c r="G38" s="193"/>
      <c r="H38" s="194"/>
      <c r="I38" s="194"/>
      <c r="J38" s="194"/>
      <c r="L38" s="194"/>
      <c r="M38" s="194"/>
    </row>
    <row r="39" ht="22.5" customHeight="1">
      <c r="C39" s="193"/>
      <c r="G39" s="193"/>
      <c r="H39" s="194"/>
      <c r="I39" s="194"/>
      <c r="J39" s="194"/>
      <c r="L39" s="194"/>
      <c r="M39" s="194"/>
    </row>
    <row r="40" ht="22.5" customHeight="1">
      <c r="C40" s="193"/>
      <c r="G40" s="193"/>
      <c r="H40" s="194"/>
      <c r="I40" s="194"/>
      <c r="J40" s="194"/>
      <c r="L40" s="194"/>
      <c r="M40" s="194"/>
    </row>
    <row r="41" ht="22.5" customHeight="1">
      <c r="C41" s="193"/>
      <c r="G41" s="193"/>
      <c r="H41" s="194"/>
      <c r="I41" s="194"/>
      <c r="J41" s="194"/>
      <c r="L41" s="194"/>
      <c r="M41" s="194"/>
    </row>
    <row r="42" ht="22.5" customHeight="1">
      <c r="C42" s="193"/>
      <c r="G42" s="193"/>
      <c r="H42" s="194"/>
      <c r="I42" s="194"/>
      <c r="J42" s="194"/>
      <c r="L42" s="194"/>
      <c r="M42" s="194"/>
    </row>
    <row r="43" ht="22.5" customHeight="1">
      <c r="C43" s="193"/>
      <c r="G43" s="193"/>
      <c r="H43" s="194"/>
      <c r="I43" s="194"/>
      <c r="J43" s="194"/>
      <c r="L43" s="194"/>
      <c r="M43" s="194"/>
    </row>
    <row r="44" ht="22.5" customHeight="1">
      <c r="C44" s="193"/>
      <c r="G44" s="193"/>
      <c r="H44" s="194"/>
      <c r="I44" s="194"/>
      <c r="J44" s="194"/>
      <c r="L44" s="194"/>
      <c r="M44" s="194"/>
    </row>
    <row r="45" ht="22.5" customHeight="1">
      <c r="C45" s="193"/>
      <c r="G45" s="193"/>
      <c r="H45" s="194"/>
      <c r="I45" s="194"/>
      <c r="J45" s="194"/>
      <c r="L45" s="194"/>
      <c r="M45" s="194"/>
    </row>
    <row r="46" ht="22.5" customHeight="1">
      <c r="C46" s="193"/>
      <c r="G46" s="193"/>
      <c r="H46" s="194"/>
      <c r="I46" s="194"/>
      <c r="J46" s="194"/>
      <c r="L46" s="194"/>
      <c r="M46" s="194"/>
    </row>
    <row r="47" ht="22.5" customHeight="1">
      <c r="C47" s="193"/>
      <c r="G47" s="193"/>
      <c r="H47" s="194"/>
      <c r="I47" s="194"/>
      <c r="J47" s="194"/>
      <c r="L47" s="194"/>
      <c r="M47" s="194"/>
    </row>
    <row r="48" ht="22.5" customHeight="1">
      <c r="C48" s="193"/>
      <c r="G48" s="193"/>
      <c r="H48" s="194"/>
      <c r="I48" s="194"/>
      <c r="J48" s="194"/>
      <c r="L48" s="194"/>
      <c r="M48" s="194"/>
    </row>
    <row r="49" ht="22.5" customHeight="1">
      <c r="C49" s="193"/>
      <c r="G49" s="193"/>
      <c r="H49" s="194"/>
      <c r="I49" s="194"/>
      <c r="J49" s="194"/>
      <c r="L49" s="194"/>
      <c r="M49" s="194"/>
    </row>
    <row r="50" ht="22.5" customHeight="1">
      <c r="C50" s="193"/>
      <c r="G50" s="193"/>
      <c r="H50" s="194"/>
      <c r="I50" s="194"/>
      <c r="J50" s="194"/>
      <c r="L50" s="194"/>
      <c r="M50" s="194"/>
    </row>
    <row r="51" ht="22.5" customHeight="1">
      <c r="C51" s="193"/>
      <c r="G51" s="193"/>
      <c r="H51" s="194"/>
      <c r="I51" s="194"/>
      <c r="J51" s="194"/>
      <c r="L51" s="194"/>
      <c r="M51" s="194"/>
    </row>
    <row r="52" ht="22.5" customHeight="1">
      <c r="C52" s="193"/>
      <c r="G52" s="193"/>
      <c r="H52" s="194"/>
      <c r="I52" s="194"/>
      <c r="J52" s="194"/>
      <c r="L52" s="194"/>
      <c r="M52" s="194"/>
    </row>
    <row r="53" ht="22.5" customHeight="1">
      <c r="C53" s="193"/>
      <c r="G53" s="193"/>
      <c r="H53" s="194"/>
      <c r="I53" s="194"/>
      <c r="J53" s="194"/>
      <c r="L53" s="194"/>
      <c r="M53" s="194"/>
    </row>
    <row r="54" ht="22.5" customHeight="1">
      <c r="C54" s="193"/>
      <c r="G54" s="193"/>
      <c r="H54" s="194"/>
      <c r="I54" s="194"/>
      <c r="J54" s="194"/>
      <c r="L54" s="194"/>
      <c r="M54" s="194"/>
    </row>
    <row r="55" ht="22.5" customHeight="1">
      <c r="C55" s="193"/>
      <c r="G55" s="193"/>
      <c r="H55" s="194"/>
      <c r="I55" s="194"/>
      <c r="J55" s="194"/>
      <c r="L55" s="194"/>
      <c r="M55" s="194"/>
    </row>
    <row r="56" ht="22.5" customHeight="1">
      <c r="C56" s="193"/>
      <c r="G56" s="193"/>
      <c r="H56" s="194"/>
      <c r="I56" s="194"/>
      <c r="J56" s="194"/>
      <c r="L56" s="194"/>
      <c r="M56" s="194"/>
    </row>
    <row r="57" ht="22.5" customHeight="1">
      <c r="C57" s="193"/>
      <c r="G57" s="193"/>
      <c r="H57" s="194"/>
      <c r="I57" s="194"/>
      <c r="J57" s="194"/>
      <c r="L57" s="194"/>
      <c r="M57" s="194"/>
    </row>
    <row r="58" ht="22.5" customHeight="1">
      <c r="C58" s="193"/>
      <c r="G58" s="193"/>
      <c r="H58" s="194"/>
      <c r="I58" s="194"/>
      <c r="J58" s="194"/>
      <c r="L58" s="194"/>
      <c r="M58" s="194"/>
    </row>
    <row r="59" ht="22.5" customHeight="1">
      <c r="C59" s="193"/>
      <c r="G59" s="193"/>
      <c r="H59" s="194"/>
      <c r="I59" s="194"/>
      <c r="J59" s="194"/>
      <c r="L59" s="194"/>
      <c r="M59" s="194"/>
    </row>
    <row r="60" ht="22.5" customHeight="1">
      <c r="C60" s="193"/>
      <c r="G60" s="193"/>
      <c r="H60" s="194"/>
      <c r="I60" s="194"/>
      <c r="J60" s="194"/>
      <c r="L60" s="194"/>
      <c r="M60" s="194"/>
    </row>
    <row r="61" ht="22.5" customHeight="1">
      <c r="C61" s="193"/>
      <c r="G61" s="193"/>
      <c r="H61" s="194"/>
      <c r="I61" s="194"/>
      <c r="J61" s="194"/>
      <c r="L61" s="194"/>
      <c r="M61" s="194"/>
    </row>
    <row r="62" ht="22.5" customHeight="1">
      <c r="C62" s="193"/>
      <c r="G62" s="193"/>
      <c r="H62" s="194"/>
      <c r="I62" s="194"/>
      <c r="J62" s="194"/>
      <c r="L62" s="194"/>
      <c r="M62" s="194"/>
    </row>
    <row r="63" ht="22.5" customHeight="1">
      <c r="C63" s="193"/>
      <c r="G63" s="193"/>
      <c r="H63" s="194"/>
      <c r="I63" s="194"/>
      <c r="J63" s="194"/>
      <c r="L63" s="194"/>
      <c r="M63" s="194"/>
    </row>
    <row r="64" ht="22.5" customHeight="1">
      <c r="C64" s="193"/>
      <c r="G64" s="193"/>
      <c r="H64" s="194"/>
      <c r="I64" s="194"/>
      <c r="J64" s="194"/>
      <c r="L64" s="194"/>
      <c r="M64" s="194"/>
    </row>
    <row r="65" ht="22.5" customHeight="1">
      <c r="C65" s="193"/>
      <c r="G65" s="193"/>
      <c r="H65" s="194"/>
      <c r="I65" s="194"/>
      <c r="J65" s="194"/>
      <c r="L65" s="194"/>
      <c r="M65" s="194"/>
    </row>
    <row r="66" ht="22.5" customHeight="1">
      <c r="C66" s="193"/>
      <c r="G66" s="193"/>
      <c r="H66" s="194"/>
      <c r="I66" s="194"/>
      <c r="J66" s="194"/>
      <c r="L66" s="194"/>
      <c r="M66" s="194"/>
    </row>
    <row r="67" ht="22.5" customHeight="1">
      <c r="C67" s="193"/>
      <c r="G67" s="193"/>
      <c r="H67" s="194"/>
      <c r="I67" s="194"/>
      <c r="J67" s="194"/>
      <c r="L67" s="194"/>
      <c r="M67" s="194"/>
    </row>
    <row r="68" ht="22.5" customHeight="1">
      <c r="C68" s="193"/>
      <c r="G68" s="193"/>
      <c r="H68" s="194"/>
      <c r="I68" s="194"/>
      <c r="J68" s="194"/>
      <c r="L68" s="194"/>
      <c r="M68" s="194"/>
    </row>
    <row r="69" ht="22.5" customHeight="1">
      <c r="C69" s="193"/>
      <c r="G69" s="193"/>
      <c r="H69" s="194"/>
      <c r="I69" s="194"/>
      <c r="J69" s="194"/>
      <c r="L69" s="194"/>
      <c r="M69" s="194"/>
    </row>
    <row r="70" ht="22.5" customHeight="1">
      <c r="C70" s="193"/>
      <c r="G70" s="193"/>
      <c r="H70" s="194"/>
      <c r="I70" s="194"/>
      <c r="J70" s="194"/>
      <c r="L70" s="194"/>
      <c r="M70" s="194"/>
    </row>
    <row r="71" ht="22.5" customHeight="1">
      <c r="C71" s="193"/>
      <c r="G71" s="193"/>
      <c r="H71" s="194"/>
      <c r="I71" s="194"/>
      <c r="J71" s="194"/>
      <c r="L71" s="194"/>
      <c r="M71" s="194"/>
    </row>
    <row r="72" ht="22.5" customHeight="1">
      <c r="C72" s="193"/>
      <c r="G72" s="193"/>
      <c r="H72" s="194"/>
      <c r="I72" s="194"/>
      <c r="J72" s="194"/>
      <c r="L72" s="194"/>
      <c r="M72" s="194"/>
    </row>
    <row r="73" ht="22.5" customHeight="1">
      <c r="C73" s="193"/>
      <c r="G73" s="193"/>
      <c r="H73" s="194"/>
      <c r="I73" s="194"/>
      <c r="J73" s="194"/>
      <c r="L73" s="194"/>
      <c r="M73" s="194"/>
    </row>
    <row r="74" ht="22.5" customHeight="1">
      <c r="C74" s="193"/>
      <c r="G74" s="193"/>
      <c r="H74" s="194"/>
      <c r="I74" s="194"/>
      <c r="J74" s="194"/>
      <c r="L74" s="194"/>
      <c r="M74" s="194"/>
    </row>
    <row r="75" ht="22.5" customHeight="1">
      <c r="C75" s="193"/>
      <c r="G75" s="193"/>
      <c r="H75" s="194"/>
      <c r="I75" s="194"/>
      <c r="J75" s="194"/>
      <c r="L75" s="194"/>
      <c r="M75" s="194"/>
    </row>
    <row r="76" ht="22.5" customHeight="1">
      <c r="C76" s="193"/>
      <c r="G76" s="193"/>
      <c r="H76" s="194"/>
      <c r="I76" s="194"/>
      <c r="J76" s="194"/>
      <c r="L76" s="194"/>
      <c r="M76" s="194"/>
    </row>
    <row r="77" ht="22.5" customHeight="1">
      <c r="C77" s="193"/>
      <c r="G77" s="193"/>
      <c r="H77" s="194"/>
      <c r="I77" s="194"/>
      <c r="J77" s="194"/>
      <c r="L77" s="194"/>
      <c r="M77" s="194"/>
    </row>
    <row r="78" ht="22.5" customHeight="1">
      <c r="C78" s="193"/>
      <c r="G78" s="193"/>
      <c r="H78" s="194"/>
      <c r="I78" s="194"/>
      <c r="J78" s="194"/>
      <c r="L78" s="194"/>
      <c r="M78" s="194"/>
    </row>
    <row r="79" ht="22.5" customHeight="1">
      <c r="C79" s="193"/>
      <c r="G79" s="193"/>
      <c r="H79" s="194"/>
      <c r="I79" s="194"/>
      <c r="J79" s="194"/>
      <c r="L79" s="194"/>
      <c r="M79" s="194"/>
    </row>
    <row r="80" ht="22.5" customHeight="1">
      <c r="C80" s="193"/>
      <c r="G80" s="193"/>
      <c r="H80" s="194"/>
      <c r="I80" s="194"/>
      <c r="J80" s="194"/>
      <c r="L80" s="194"/>
      <c r="M80" s="194"/>
    </row>
    <row r="81" ht="22.5" customHeight="1">
      <c r="C81" s="193"/>
      <c r="G81" s="193"/>
      <c r="H81" s="194"/>
      <c r="I81" s="194"/>
      <c r="J81" s="194"/>
      <c r="L81" s="194"/>
      <c r="M81" s="194"/>
    </row>
    <row r="82" ht="22.5" customHeight="1">
      <c r="C82" s="193"/>
      <c r="G82" s="193"/>
      <c r="H82" s="194"/>
      <c r="I82" s="194"/>
      <c r="J82" s="194"/>
      <c r="L82" s="194"/>
      <c r="M82" s="194"/>
    </row>
    <row r="83" ht="22.5" customHeight="1">
      <c r="C83" s="193"/>
      <c r="G83" s="193"/>
      <c r="H83" s="194"/>
      <c r="I83" s="194"/>
      <c r="J83" s="194"/>
      <c r="L83" s="194"/>
      <c r="M83" s="194"/>
    </row>
    <row r="84" ht="22.5" customHeight="1">
      <c r="C84" s="193"/>
      <c r="G84" s="193"/>
      <c r="H84" s="194"/>
      <c r="I84" s="194"/>
      <c r="J84" s="194"/>
      <c r="L84" s="194"/>
      <c r="M84" s="194"/>
    </row>
    <row r="85" ht="22.5" customHeight="1">
      <c r="C85" s="193"/>
      <c r="G85" s="193"/>
      <c r="H85" s="194"/>
      <c r="I85" s="194"/>
      <c r="J85" s="194"/>
      <c r="L85" s="194"/>
      <c r="M85" s="194"/>
    </row>
    <row r="86" ht="22.5" customHeight="1">
      <c r="C86" s="193"/>
      <c r="G86" s="193"/>
      <c r="H86" s="194"/>
      <c r="I86" s="194"/>
      <c r="J86" s="194"/>
      <c r="L86" s="194"/>
      <c r="M86" s="194"/>
    </row>
    <row r="87" ht="22.5" customHeight="1">
      <c r="C87" s="193"/>
      <c r="G87" s="193"/>
      <c r="H87" s="194"/>
      <c r="I87" s="194"/>
      <c r="J87" s="194"/>
      <c r="L87" s="194"/>
      <c r="M87" s="194"/>
    </row>
    <row r="88" ht="22.5" customHeight="1">
      <c r="C88" s="193"/>
      <c r="G88" s="193"/>
      <c r="H88" s="194"/>
      <c r="I88" s="194"/>
      <c r="J88" s="194"/>
      <c r="L88" s="194"/>
      <c r="M88" s="194"/>
    </row>
    <row r="89" ht="22.5" customHeight="1">
      <c r="C89" s="193"/>
      <c r="G89" s="193"/>
      <c r="H89" s="194"/>
      <c r="I89" s="194"/>
      <c r="J89" s="194"/>
      <c r="L89" s="194"/>
      <c r="M89" s="194"/>
    </row>
    <row r="90" ht="22.5" customHeight="1">
      <c r="C90" s="193"/>
      <c r="G90" s="193"/>
      <c r="H90" s="194"/>
      <c r="I90" s="194"/>
      <c r="J90" s="194"/>
      <c r="L90" s="194"/>
      <c r="M90" s="194"/>
    </row>
    <row r="91" ht="22.5" customHeight="1">
      <c r="C91" s="193"/>
      <c r="G91" s="193"/>
      <c r="H91" s="194"/>
      <c r="I91" s="194"/>
      <c r="J91" s="194"/>
      <c r="L91" s="194"/>
      <c r="M91" s="194"/>
    </row>
    <row r="92" ht="22.5" customHeight="1">
      <c r="C92" s="193"/>
      <c r="G92" s="193"/>
      <c r="H92" s="194"/>
      <c r="I92" s="194"/>
      <c r="J92" s="194"/>
      <c r="L92" s="194"/>
      <c r="M92" s="194"/>
    </row>
    <row r="93" ht="22.5" customHeight="1">
      <c r="C93" s="193"/>
      <c r="G93" s="193"/>
      <c r="H93" s="194"/>
      <c r="I93" s="194"/>
      <c r="J93" s="194"/>
      <c r="L93" s="194"/>
      <c r="M93" s="194"/>
    </row>
    <row r="94" ht="22.5" customHeight="1">
      <c r="C94" s="193"/>
      <c r="G94" s="193"/>
      <c r="H94" s="194"/>
      <c r="I94" s="194"/>
      <c r="J94" s="194"/>
      <c r="L94" s="194"/>
      <c r="M94" s="194"/>
    </row>
    <row r="95" ht="22.5" customHeight="1">
      <c r="C95" s="193"/>
      <c r="G95" s="193"/>
      <c r="H95" s="194"/>
      <c r="I95" s="194"/>
      <c r="J95" s="194"/>
      <c r="L95" s="194"/>
      <c r="M95" s="194"/>
    </row>
    <row r="96" ht="22.5" customHeight="1">
      <c r="C96" s="193"/>
      <c r="G96" s="193"/>
      <c r="H96" s="194"/>
      <c r="I96" s="194"/>
      <c r="J96" s="194"/>
      <c r="L96" s="194"/>
      <c r="M96" s="194"/>
    </row>
    <row r="97" ht="22.5" customHeight="1">
      <c r="C97" s="193"/>
      <c r="G97" s="193"/>
      <c r="H97" s="194"/>
      <c r="I97" s="194"/>
      <c r="J97" s="194"/>
      <c r="L97" s="194"/>
      <c r="M97" s="194"/>
    </row>
    <row r="98" ht="22.5" customHeight="1">
      <c r="C98" s="193"/>
      <c r="G98" s="193"/>
      <c r="H98" s="194"/>
      <c r="I98" s="194"/>
      <c r="J98" s="194"/>
      <c r="L98" s="194"/>
      <c r="M98" s="194"/>
    </row>
    <row r="99" ht="22.5" customHeight="1">
      <c r="C99" s="193"/>
      <c r="G99" s="193"/>
      <c r="H99" s="194"/>
      <c r="I99" s="194"/>
      <c r="J99" s="194"/>
      <c r="L99" s="194"/>
      <c r="M99" s="194"/>
    </row>
    <row r="100" ht="22.5" customHeight="1">
      <c r="C100" s="193"/>
      <c r="G100" s="193"/>
      <c r="H100" s="194"/>
      <c r="I100" s="194"/>
      <c r="J100" s="194"/>
      <c r="L100" s="194"/>
      <c r="M100" s="194"/>
    </row>
    <row r="101" ht="22.5" customHeight="1">
      <c r="C101" s="193"/>
      <c r="G101" s="193"/>
      <c r="H101" s="194"/>
      <c r="I101" s="194"/>
      <c r="J101" s="194"/>
      <c r="L101" s="194"/>
      <c r="M101" s="194"/>
    </row>
    <row r="102" ht="22.5" customHeight="1">
      <c r="C102" s="193"/>
      <c r="G102" s="193"/>
      <c r="H102" s="194"/>
      <c r="I102" s="194"/>
      <c r="J102" s="194"/>
      <c r="L102" s="194"/>
      <c r="M102" s="194"/>
    </row>
    <row r="103" ht="22.5" customHeight="1">
      <c r="C103" s="193"/>
      <c r="G103" s="193"/>
      <c r="H103" s="194"/>
      <c r="I103" s="194"/>
      <c r="J103" s="194"/>
      <c r="L103" s="194"/>
      <c r="M103" s="194"/>
    </row>
    <row r="104" ht="22.5" customHeight="1">
      <c r="C104" s="193"/>
      <c r="G104" s="193"/>
      <c r="H104" s="194"/>
      <c r="I104" s="194"/>
      <c r="J104" s="194"/>
      <c r="L104" s="194"/>
      <c r="M104" s="194"/>
    </row>
    <row r="105" ht="22.5" customHeight="1">
      <c r="C105" s="193"/>
      <c r="G105" s="193"/>
      <c r="H105" s="194"/>
      <c r="I105" s="194"/>
      <c r="J105" s="194"/>
      <c r="L105" s="194"/>
      <c r="M105" s="194"/>
    </row>
    <row r="106" ht="22.5" customHeight="1">
      <c r="C106" s="193"/>
      <c r="G106" s="193"/>
      <c r="H106" s="194"/>
      <c r="I106" s="194"/>
      <c r="J106" s="194"/>
      <c r="L106" s="194"/>
      <c r="M106" s="194"/>
    </row>
    <row r="107" ht="22.5" customHeight="1">
      <c r="C107" s="193"/>
      <c r="G107" s="193"/>
      <c r="H107" s="194"/>
      <c r="I107" s="194"/>
      <c r="J107" s="194"/>
      <c r="L107" s="194"/>
      <c r="M107" s="194"/>
    </row>
    <row r="108" ht="22.5" customHeight="1">
      <c r="C108" s="193"/>
      <c r="G108" s="193"/>
      <c r="H108" s="194"/>
      <c r="I108" s="194"/>
      <c r="J108" s="194"/>
      <c r="L108" s="194"/>
      <c r="M108" s="194"/>
    </row>
    <row r="109" ht="22.5" customHeight="1">
      <c r="C109" s="193"/>
      <c r="G109" s="193"/>
      <c r="H109" s="194"/>
      <c r="I109" s="194"/>
      <c r="J109" s="194"/>
      <c r="L109" s="194"/>
      <c r="M109" s="194"/>
    </row>
    <row r="110" ht="22.5" customHeight="1">
      <c r="C110" s="193"/>
      <c r="G110" s="193"/>
      <c r="H110" s="194"/>
      <c r="I110" s="194"/>
      <c r="J110" s="194"/>
      <c r="L110" s="194"/>
      <c r="M110" s="194"/>
    </row>
    <row r="111" ht="22.5" customHeight="1">
      <c r="C111" s="193"/>
      <c r="G111" s="193"/>
      <c r="H111" s="194"/>
      <c r="I111" s="194"/>
      <c r="J111" s="194"/>
      <c r="L111" s="194"/>
      <c r="M111" s="194"/>
    </row>
    <row r="112" ht="22.5" customHeight="1">
      <c r="C112" s="193"/>
      <c r="G112" s="193"/>
      <c r="H112" s="194"/>
      <c r="I112" s="194"/>
      <c r="J112" s="194"/>
      <c r="L112" s="194"/>
      <c r="M112" s="194"/>
    </row>
    <row r="113" ht="22.5" customHeight="1">
      <c r="C113" s="193"/>
      <c r="G113" s="193"/>
      <c r="H113" s="194"/>
      <c r="I113" s="194"/>
      <c r="J113" s="194"/>
      <c r="L113" s="194"/>
      <c r="M113" s="194"/>
    </row>
    <row r="114" ht="22.5" customHeight="1">
      <c r="C114" s="193"/>
      <c r="G114" s="193"/>
      <c r="H114" s="194"/>
      <c r="I114" s="194"/>
      <c r="J114" s="194"/>
      <c r="L114" s="194"/>
      <c r="M114" s="194"/>
    </row>
    <row r="115" ht="22.5" customHeight="1">
      <c r="C115" s="193"/>
      <c r="G115" s="193"/>
      <c r="H115" s="194"/>
      <c r="I115" s="194"/>
      <c r="J115" s="194"/>
      <c r="L115" s="194"/>
      <c r="M115" s="194"/>
    </row>
    <row r="116" ht="22.5" customHeight="1">
      <c r="C116" s="193"/>
      <c r="G116" s="193"/>
      <c r="H116" s="194"/>
      <c r="I116" s="194"/>
      <c r="J116" s="194"/>
      <c r="L116" s="194"/>
      <c r="M116" s="194"/>
    </row>
    <row r="117" ht="22.5" customHeight="1">
      <c r="C117" s="193"/>
      <c r="G117" s="193"/>
      <c r="H117" s="194"/>
      <c r="I117" s="194"/>
      <c r="J117" s="194"/>
      <c r="L117" s="194"/>
      <c r="M117" s="194"/>
    </row>
    <row r="118" ht="22.5" customHeight="1">
      <c r="C118" s="193"/>
      <c r="G118" s="193"/>
      <c r="H118" s="194"/>
      <c r="I118" s="194"/>
      <c r="J118" s="194"/>
      <c r="L118" s="194"/>
      <c r="M118" s="194"/>
    </row>
    <row r="119" ht="22.5" customHeight="1">
      <c r="C119" s="193"/>
      <c r="G119" s="193"/>
      <c r="H119" s="194"/>
      <c r="I119" s="194"/>
      <c r="J119" s="194"/>
      <c r="L119" s="194"/>
      <c r="M119" s="194"/>
    </row>
    <row r="120" ht="22.5" customHeight="1">
      <c r="C120" s="193"/>
      <c r="G120" s="193"/>
      <c r="H120" s="194"/>
      <c r="I120" s="194"/>
      <c r="J120" s="194"/>
      <c r="L120" s="194"/>
      <c r="M120" s="194"/>
    </row>
    <row r="121" ht="22.5" customHeight="1">
      <c r="C121" s="193"/>
      <c r="G121" s="193"/>
      <c r="H121" s="194"/>
      <c r="I121" s="194"/>
      <c r="J121" s="194"/>
      <c r="L121" s="194"/>
      <c r="M121" s="194"/>
    </row>
    <row r="122" ht="22.5" customHeight="1">
      <c r="C122" s="193"/>
      <c r="G122" s="193"/>
      <c r="H122" s="194"/>
      <c r="I122" s="194"/>
      <c r="J122" s="194"/>
      <c r="L122" s="194"/>
      <c r="M122" s="194"/>
    </row>
    <row r="123" ht="22.5" customHeight="1">
      <c r="C123" s="193"/>
      <c r="G123" s="193"/>
      <c r="H123" s="194"/>
      <c r="I123" s="194"/>
      <c r="J123" s="194"/>
      <c r="L123" s="194"/>
      <c r="M123" s="194"/>
    </row>
    <row r="124" ht="22.5" customHeight="1">
      <c r="C124" s="193"/>
      <c r="G124" s="193"/>
      <c r="H124" s="194"/>
      <c r="I124" s="194"/>
      <c r="J124" s="194"/>
      <c r="L124" s="194"/>
      <c r="M124" s="194"/>
    </row>
    <row r="125" ht="22.5" customHeight="1">
      <c r="C125" s="193"/>
      <c r="G125" s="193"/>
      <c r="H125" s="194"/>
      <c r="I125" s="194"/>
      <c r="J125" s="194"/>
      <c r="L125" s="194"/>
      <c r="M125" s="194"/>
    </row>
    <row r="126" ht="22.5" customHeight="1">
      <c r="C126" s="193"/>
      <c r="G126" s="193"/>
      <c r="H126" s="194"/>
      <c r="I126" s="194"/>
      <c r="J126" s="194"/>
      <c r="L126" s="194"/>
      <c r="M126" s="194"/>
    </row>
    <row r="127" ht="22.5" customHeight="1">
      <c r="C127" s="193"/>
      <c r="G127" s="193"/>
      <c r="H127" s="194"/>
      <c r="I127" s="194"/>
      <c r="J127" s="194"/>
      <c r="L127" s="194"/>
      <c r="M127" s="194"/>
    </row>
    <row r="128" ht="22.5" customHeight="1">
      <c r="C128" s="193"/>
      <c r="G128" s="193"/>
      <c r="H128" s="194"/>
      <c r="I128" s="194"/>
      <c r="J128" s="194"/>
      <c r="L128" s="194"/>
      <c r="M128" s="194"/>
    </row>
    <row r="129" ht="22.5" customHeight="1">
      <c r="C129" s="193"/>
      <c r="G129" s="193"/>
      <c r="H129" s="194"/>
      <c r="I129" s="194"/>
      <c r="J129" s="194"/>
      <c r="L129" s="194"/>
      <c r="M129" s="194"/>
    </row>
    <row r="130" ht="22.5" customHeight="1">
      <c r="C130" s="193"/>
      <c r="G130" s="193"/>
      <c r="H130" s="194"/>
      <c r="I130" s="194"/>
      <c r="J130" s="194"/>
      <c r="L130" s="194"/>
      <c r="M130" s="194"/>
    </row>
    <row r="131" ht="22.5" customHeight="1">
      <c r="C131" s="193"/>
      <c r="G131" s="193"/>
      <c r="H131" s="194"/>
      <c r="I131" s="194"/>
      <c r="J131" s="194"/>
      <c r="L131" s="194"/>
      <c r="M131" s="194"/>
    </row>
    <row r="132" ht="22.5" customHeight="1">
      <c r="C132" s="193"/>
      <c r="G132" s="193"/>
      <c r="H132" s="194"/>
      <c r="I132" s="194"/>
      <c r="J132" s="194"/>
      <c r="L132" s="194"/>
      <c r="M132" s="194"/>
    </row>
    <row r="133" ht="22.5" customHeight="1">
      <c r="C133" s="193"/>
      <c r="G133" s="193"/>
      <c r="H133" s="194"/>
      <c r="I133" s="194"/>
      <c r="J133" s="194"/>
      <c r="L133" s="194"/>
      <c r="M133" s="194"/>
    </row>
    <row r="134" ht="22.5" customHeight="1">
      <c r="C134" s="193"/>
      <c r="G134" s="193"/>
      <c r="H134" s="194"/>
      <c r="I134" s="194"/>
      <c r="J134" s="194"/>
      <c r="L134" s="194"/>
      <c r="M134" s="194"/>
    </row>
    <row r="135" ht="22.5" customHeight="1">
      <c r="C135" s="193"/>
      <c r="G135" s="193"/>
      <c r="H135" s="194"/>
      <c r="I135" s="194"/>
      <c r="J135" s="194"/>
      <c r="L135" s="194"/>
      <c r="M135" s="194"/>
    </row>
    <row r="136" ht="22.5" customHeight="1">
      <c r="C136" s="193"/>
      <c r="G136" s="193"/>
      <c r="H136" s="194"/>
      <c r="I136" s="194"/>
      <c r="J136" s="194"/>
      <c r="L136" s="194"/>
      <c r="M136" s="194"/>
    </row>
    <row r="137" ht="22.5" customHeight="1">
      <c r="C137" s="193"/>
      <c r="G137" s="193"/>
      <c r="H137" s="194"/>
      <c r="I137" s="194"/>
      <c r="J137" s="194"/>
      <c r="L137" s="194"/>
      <c r="M137" s="194"/>
    </row>
    <row r="138" ht="22.5" customHeight="1">
      <c r="C138" s="193"/>
      <c r="G138" s="193"/>
      <c r="H138" s="194"/>
      <c r="I138" s="194"/>
      <c r="J138" s="194"/>
      <c r="L138" s="194"/>
      <c r="M138" s="194"/>
    </row>
    <row r="139" ht="22.5" customHeight="1">
      <c r="C139" s="193"/>
      <c r="G139" s="193"/>
      <c r="H139" s="194"/>
      <c r="I139" s="194"/>
      <c r="J139" s="194"/>
      <c r="L139" s="194"/>
      <c r="M139" s="194"/>
    </row>
    <row r="140" ht="22.5" customHeight="1">
      <c r="C140" s="193"/>
      <c r="G140" s="193"/>
      <c r="H140" s="194"/>
      <c r="I140" s="194"/>
      <c r="J140" s="194"/>
      <c r="L140" s="194"/>
      <c r="M140" s="194"/>
    </row>
    <row r="141" ht="22.5" customHeight="1">
      <c r="C141" s="193"/>
      <c r="G141" s="193"/>
      <c r="H141" s="194"/>
      <c r="I141" s="194"/>
      <c r="J141" s="194"/>
      <c r="L141" s="194"/>
      <c r="M141" s="194"/>
    </row>
    <row r="142" ht="22.5" customHeight="1">
      <c r="C142" s="193"/>
      <c r="G142" s="193"/>
      <c r="H142" s="194"/>
      <c r="I142" s="194"/>
      <c r="J142" s="194"/>
      <c r="L142" s="194"/>
      <c r="M142" s="194"/>
    </row>
    <row r="143" ht="22.5" customHeight="1">
      <c r="C143" s="193"/>
      <c r="G143" s="193"/>
      <c r="H143" s="194"/>
      <c r="I143" s="194"/>
      <c r="J143" s="194"/>
      <c r="L143" s="194"/>
      <c r="M143" s="194"/>
    </row>
    <row r="144" ht="22.5" customHeight="1">
      <c r="C144" s="193"/>
      <c r="G144" s="193"/>
      <c r="H144" s="194"/>
      <c r="I144" s="194"/>
      <c r="J144" s="194"/>
      <c r="L144" s="194"/>
      <c r="M144" s="194"/>
    </row>
    <row r="145" ht="22.5" customHeight="1">
      <c r="C145" s="193"/>
      <c r="G145" s="193"/>
      <c r="H145" s="194"/>
      <c r="I145" s="194"/>
      <c r="J145" s="194"/>
      <c r="L145" s="194"/>
      <c r="M145" s="194"/>
    </row>
    <row r="146" ht="22.5" customHeight="1">
      <c r="C146" s="193"/>
      <c r="G146" s="193"/>
      <c r="H146" s="194"/>
      <c r="I146" s="194"/>
      <c r="J146" s="194"/>
      <c r="L146" s="194"/>
      <c r="M146" s="194"/>
    </row>
    <row r="147" ht="22.5" customHeight="1">
      <c r="C147" s="193"/>
      <c r="G147" s="193"/>
      <c r="H147" s="194"/>
      <c r="I147" s="194"/>
      <c r="J147" s="194"/>
      <c r="L147" s="194"/>
      <c r="M147" s="194"/>
    </row>
    <row r="148" ht="22.5" customHeight="1">
      <c r="C148" s="193"/>
      <c r="G148" s="193"/>
      <c r="H148" s="194"/>
      <c r="I148" s="194"/>
      <c r="J148" s="194"/>
      <c r="L148" s="194"/>
      <c r="M148" s="194"/>
    </row>
    <row r="149" ht="22.5" customHeight="1">
      <c r="C149" s="193"/>
      <c r="G149" s="193"/>
      <c r="H149" s="194"/>
      <c r="I149" s="194"/>
      <c r="J149" s="194"/>
      <c r="L149" s="194"/>
      <c r="M149" s="194"/>
    </row>
    <row r="150" ht="22.5" customHeight="1">
      <c r="C150" s="193"/>
      <c r="G150" s="193"/>
      <c r="H150" s="194"/>
      <c r="I150" s="194"/>
      <c r="J150" s="194"/>
      <c r="L150" s="194"/>
      <c r="M150" s="194"/>
    </row>
    <row r="151" ht="22.5" customHeight="1">
      <c r="C151" s="193"/>
      <c r="G151" s="193"/>
      <c r="H151" s="194"/>
      <c r="I151" s="194"/>
      <c r="J151" s="194"/>
      <c r="L151" s="194"/>
      <c r="M151" s="194"/>
    </row>
    <row r="152" ht="22.5" customHeight="1">
      <c r="C152" s="193"/>
      <c r="G152" s="193"/>
      <c r="H152" s="194"/>
      <c r="I152" s="194"/>
      <c r="J152" s="194"/>
      <c r="L152" s="194"/>
      <c r="M152" s="194"/>
    </row>
    <row r="153" ht="22.5" customHeight="1">
      <c r="C153" s="193"/>
      <c r="G153" s="193"/>
      <c r="H153" s="194"/>
      <c r="I153" s="194"/>
      <c r="J153" s="194"/>
      <c r="L153" s="194"/>
      <c r="M153" s="194"/>
    </row>
    <row r="154" ht="22.5" customHeight="1">
      <c r="C154" s="193"/>
      <c r="G154" s="193"/>
      <c r="H154" s="194"/>
      <c r="I154" s="194"/>
      <c r="J154" s="194"/>
      <c r="L154" s="194"/>
      <c r="M154" s="194"/>
    </row>
    <row r="155" ht="22.5" customHeight="1">
      <c r="C155" s="193"/>
      <c r="G155" s="193"/>
      <c r="H155" s="194"/>
      <c r="I155" s="194"/>
      <c r="J155" s="194"/>
      <c r="L155" s="194"/>
      <c r="M155" s="194"/>
    </row>
    <row r="156" ht="22.5" customHeight="1">
      <c r="C156" s="193"/>
      <c r="G156" s="193"/>
      <c r="H156" s="194"/>
      <c r="I156" s="194"/>
      <c r="J156" s="194"/>
      <c r="L156" s="194"/>
      <c r="M156" s="194"/>
    </row>
    <row r="157" ht="22.5" customHeight="1">
      <c r="C157" s="193"/>
      <c r="G157" s="193"/>
      <c r="H157" s="194"/>
      <c r="I157" s="194"/>
      <c r="J157" s="194"/>
      <c r="L157" s="194"/>
      <c r="M157" s="194"/>
    </row>
    <row r="158" ht="22.5" customHeight="1">
      <c r="C158" s="193"/>
      <c r="G158" s="193"/>
      <c r="H158" s="194"/>
      <c r="I158" s="194"/>
      <c r="J158" s="194"/>
      <c r="L158" s="194"/>
      <c r="M158" s="194"/>
    </row>
    <row r="159" ht="22.5" customHeight="1">
      <c r="C159" s="193"/>
      <c r="G159" s="193"/>
      <c r="H159" s="194"/>
      <c r="I159" s="194"/>
      <c r="J159" s="194"/>
      <c r="L159" s="194"/>
      <c r="M159" s="194"/>
    </row>
    <row r="160" ht="22.5" customHeight="1">
      <c r="C160" s="193"/>
      <c r="G160" s="193"/>
      <c r="H160" s="194"/>
      <c r="I160" s="194"/>
      <c r="J160" s="194"/>
      <c r="L160" s="194"/>
      <c r="M160" s="194"/>
    </row>
    <row r="161" ht="22.5" customHeight="1">
      <c r="C161" s="193"/>
      <c r="G161" s="193"/>
      <c r="H161" s="194"/>
      <c r="I161" s="194"/>
      <c r="J161" s="194"/>
      <c r="L161" s="194"/>
      <c r="M161" s="194"/>
    </row>
    <row r="162" ht="22.5" customHeight="1">
      <c r="C162" s="193"/>
      <c r="G162" s="193"/>
      <c r="H162" s="194"/>
      <c r="I162" s="194"/>
      <c r="J162" s="194"/>
      <c r="L162" s="194"/>
      <c r="M162" s="194"/>
    </row>
    <row r="163" ht="22.5" customHeight="1">
      <c r="C163" s="193"/>
      <c r="G163" s="193"/>
      <c r="H163" s="194"/>
      <c r="I163" s="194"/>
      <c r="J163" s="194"/>
      <c r="L163" s="194"/>
      <c r="M163" s="194"/>
    </row>
    <row r="164" ht="22.5" customHeight="1">
      <c r="C164" s="193"/>
      <c r="G164" s="193"/>
      <c r="H164" s="194"/>
      <c r="I164" s="194"/>
      <c r="J164" s="194"/>
      <c r="L164" s="194"/>
      <c r="M164" s="194"/>
    </row>
    <row r="165" ht="22.5" customHeight="1">
      <c r="C165" s="193"/>
      <c r="G165" s="193"/>
      <c r="H165" s="194"/>
      <c r="I165" s="194"/>
      <c r="J165" s="194"/>
      <c r="L165" s="194"/>
      <c r="M165" s="194"/>
    </row>
    <row r="166" ht="22.5" customHeight="1">
      <c r="C166" s="193"/>
      <c r="G166" s="193"/>
      <c r="H166" s="194"/>
      <c r="I166" s="194"/>
      <c r="J166" s="194"/>
      <c r="L166" s="194"/>
      <c r="M166" s="194"/>
    </row>
    <row r="167" ht="22.5" customHeight="1">
      <c r="C167" s="193"/>
      <c r="G167" s="193"/>
      <c r="H167" s="194"/>
      <c r="I167" s="194"/>
      <c r="J167" s="194"/>
      <c r="L167" s="194"/>
      <c r="M167" s="194"/>
    </row>
    <row r="168" ht="22.5" customHeight="1">
      <c r="C168" s="193"/>
      <c r="G168" s="193"/>
      <c r="H168" s="194"/>
      <c r="I168" s="194"/>
      <c r="J168" s="194"/>
      <c r="L168" s="194"/>
      <c r="M168" s="194"/>
    </row>
    <row r="169" ht="22.5" customHeight="1">
      <c r="C169" s="193"/>
      <c r="G169" s="193"/>
      <c r="H169" s="194"/>
      <c r="I169" s="194"/>
      <c r="J169" s="194"/>
      <c r="L169" s="194"/>
      <c r="M169" s="194"/>
    </row>
    <row r="170" ht="22.5" customHeight="1">
      <c r="C170" s="193"/>
      <c r="G170" s="193"/>
      <c r="H170" s="194"/>
      <c r="I170" s="194"/>
      <c r="J170" s="194"/>
      <c r="L170" s="194"/>
      <c r="M170" s="194"/>
    </row>
    <row r="171" ht="22.5" customHeight="1">
      <c r="C171" s="193"/>
      <c r="G171" s="193"/>
      <c r="H171" s="194"/>
      <c r="I171" s="194"/>
      <c r="J171" s="194"/>
      <c r="L171" s="194"/>
      <c r="M171" s="194"/>
    </row>
    <row r="172" ht="22.5" customHeight="1">
      <c r="C172" s="193"/>
      <c r="G172" s="193"/>
      <c r="H172" s="194"/>
      <c r="I172" s="194"/>
      <c r="J172" s="194"/>
      <c r="L172" s="194"/>
      <c r="M172" s="194"/>
    </row>
    <row r="173" ht="22.5" customHeight="1">
      <c r="C173" s="193"/>
      <c r="G173" s="193"/>
      <c r="H173" s="194"/>
      <c r="I173" s="194"/>
      <c r="J173" s="194"/>
      <c r="L173" s="194"/>
      <c r="M173" s="194"/>
    </row>
    <row r="174" ht="22.5" customHeight="1">
      <c r="C174" s="193"/>
      <c r="G174" s="193"/>
      <c r="H174" s="194"/>
      <c r="I174" s="194"/>
      <c r="J174" s="194"/>
      <c r="L174" s="194"/>
      <c r="M174" s="194"/>
    </row>
    <row r="175" ht="22.5" customHeight="1">
      <c r="C175" s="193"/>
      <c r="G175" s="193"/>
      <c r="H175" s="194"/>
      <c r="I175" s="194"/>
      <c r="J175" s="194"/>
      <c r="L175" s="194"/>
      <c r="M175" s="194"/>
    </row>
    <row r="176" ht="22.5" customHeight="1">
      <c r="C176" s="193"/>
      <c r="G176" s="193"/>
      <c r="H176" s="194"/>
      <c r="I176" s="194"/>
      <c r="J176" s="194"/>
      <c r="L176" s="194"/>
      <c r="M176" s="194"/>
    </row>
    <row r="177" ht="22.5" customHeight="1">
      <c r="C177" s="193"/>
      <c r="G177" s="193"/>
      <c r="H177" s="194"/>
      <c r="I177" s="194"/>
      <c r="J177" s="194"/>
      <c r="L177" s="194"/>
      <c r="M177" s="194"/>
    </row>
    <row r="178" ht="22.5" customHeight="1">
      <c r="C178" s="193"/>
      <c r="G178" s="193"/>
      <c r="H178" s="194"/>
      <c r="I178" s="194"/>
      <c r="J178" s="194"/>
      <c r="L178" s="194"/>
      <c r="M178" s="194"/>
    </row>
    <row r="179" ht="22.5" customHeight="1">
      <c r="C179" s="193"/>
      <c r="G179" s="193"/>
      <c r="H179" s="194"/>
      <c r="I179" s="194"/>
      <c r="J179" s="194"/>
      <c r="L179" s="194"/>
      <c r="M179" s="194"/>
    </row>
    <row r="180" ht="22.5" customHeight="1">
      <c r="C180" s="193"/>
      <c r="G180" s="193"/>
      <c r="H180" s="194"/>
      <c r="I180" s="194"/>
      <c r="J180" s="194"/>
      <c r="L180" s="194"/>
      <c r="M180" s="194"/>
    </row>
    <row r="181" ht="22.5" customHeight="1">
      <c r="C181" s="193"/>
      <c r="G181" s="193"/>
      <c r="H181" s="194"/>
      <c r="I181" s="194"/>
      <c r="J181" s="194"/>
      <c r="L181" s="194"/>
      <c r="M181" s="194"/>
    </row>
    <row r="182" ht="22.5" customHeight="1">
      <c r="C182" s="193"/>
      <c r="G182" s="193"/>
      <c r="H182" s="194"/>
      <c r="I182" s="194"/>
      <c r="J182" s="194"/>
      <c r="L182" s="194"/>
      <c r="M182" s="194"/>
    </row>
    <row r="183" ht="22.5" customHeight="1">
      <c r="C183" s="193"/>
      <c r="G183" s="193"/>
      <c r="H183" s="194"/>
      <c r="I183" s="194"/>
      <c r="J183" s="194"/>
      <c r="L183" s="194"/>
      <c r="M183" s="194"/>
    </row>
    <row r="184" ht="22.5" customHeight="1">
      <c r="C184" s="193"/>
      <c r="G184" s="193"/>
      <c r="H184" s="194"/>
      <c r="I184" s="194"/>
      <c r="J184" s="194"/>
      <c r="L184" s="194"/>
      <c r="M184" s="194"/>
    </row>
    <row r="185" ht="22.5" customHeight="1">
      <c r="C185" s="193"/>
      <c r="G185" s="193"/>
      <c r="H185" s="194"/>
      <c r="I185" s="194"/>
      <c r="J185" s="194"/>
      <c r="L185" s="194"/>
      <c r="M185" s="194"/>
    </row>
    <row r="186" ht="22.5" customHeight="1">
      <c r="C186" s="193"/>
      <c r="G186" s="193"/>
      <c r="H186" s="194"/>
      <c r="I186" s="194"/>
      <c r="J186" s="194"/>
      <c r="L186" s="194"/>
      <c r="M186" s="194"/>
    </row>
    <row r="187" ht="22.5" customHeight="1">
      <c r="C187" s="193"/>
      <c r="G187" s="193"/>
      <c r="H187" s="194"/>
      <c r="I187" s="194"/>
      <c r="J187" s="194"/>
      <c r="L187" s="194"/>
      <c r="M187" s="194"/>
    </row>
    <row r="188" ht="22.5" customHeight="1">
      <c r="C188" s="193"/>
      <c r="G188" s="193"/>
      <c r="H188" s="194"/>
      <c r="I188" s="194"/>
      <c r="J188" s="194"/>
      <c r="L188" s="194"/>
      <c r="M188" s="194"/>
    </row>
    <row r="189" ht="22.5" customHeight="1">
      <c r="C189" s="193"/>
      <c r="G189" s="193"/>
      <c r="H189" s="194"/>
      <c r="I189" s="194"/>
      <c r="J189" s="194"/>
      <c r="L189" s="194"/>
      <c r="M189" s="194"/>
    </row>
    <row r="190" ht="22.5" customHeight="1">
      <c r="C190" s="193"/>
      <c r="G190" s="193"/>
      <c r="H190" s="194"/>
      <c r="I190" s="194"/>
      <c r="J190" s="194"/>
      <c r="L190" s="194"/>
      <c r="M190" s="194"/>
    </row>
    <row r="191" ht="22.5" customHeight="1">
      <c r="C191" s="193"/>
      <c r="G191" s="193"/>
      <c r="H191" s="194"/>
      <c r="I191" s="194"/>
      <c r="J191" s="194"/>
      <c r="L191" s="194"/>
      <c r="M191" s="194"/>
    </row>
    <row r="192" ht="22.5" customHeight="1">
      <c r="C192" s="193"/>
      <c r="G192" s="193"/>
      <c r="H192" s="194"/>
      <c r="I192" s="194"/>
      <c r="J192" s="194"/>
      <c r="L192" s="194"/>
      <c r="M192" s="194"/>
    </row>
    <row r="193" ht="22.5" customHeight="1">
      <c r="C193" s="193"/>
      <c r="G193" s="193"/>
      <c r="H193" s="194"/>
      <c r="I193" s="194"/>
      <c r="J193" s="194"/>
      <c r="L193" s="194"/>
      <c r="M193" s="194"/>
    </row>
    <row r="194" ht="22.5" customHeight="1">
      <c r="C194" s="193"/>
      <c r="G194" s="193"/>
      <c r="H194" s="194"/>
      <c r="I194" s="194"/>
      <c r="J194" s="194"/>
      <c r="L194" s="194"/>
      <c r="M194" s="194"/>
    </row>
    <row r="195" ht="22.5" customHeight="1">
      <c r="C195" s="193"/>
      <c r="G195" s="193"/>
      <c r="H195" s="194"/>
      <c r="I195" s="194"/>
      <c r="J195" s="194"/>
      <c r="L195" s="194"/>
      <c r="M195" s="194"/>
    </row>
    <row r="196" ht="22.5" customHeight="1">
      <c r="C196" s="193"/>
      <c r="G196" s="193"/>
      <c r="H196" s="194"/>
      <c r="I196" s="194"/>
      <c r="J196" s="194"/>
      <c r="L196" s="194"/>
      <c r="M196" s="194"/>
    </row>
    <row r="197" ht="22.5" customHeight="1">
      <c r="C197" s="193"/>
      <c r="G197" s="193"/>
      <c r="H197" s="194"/>
      <c r="I197" s="194"/>
      <c r="J197" s="194"/>
      <c r="L197" s="194"/>
      <c r="M197" s="194"/>
    </row>
    <row r="198" ht="22.5" customHeight="1">
      <c r="C198" s="193"/>
      <c r="G198" s="193"/>
      <c r="H198" s="194"/>
      <c r="I198" s="194"/>
      <c r="J198" s="194"/>
      <c r="L198" s="194"/>
      <c r="M198" s="194"/>
    </row>
    <row r="199" ht="22.5" customHeight="1">
      <c r="C199" s="193"/>
      <c r="G199" s="193"/>
      <c r="H199" s="194"/>
      <c r="I199" s="194"/>
      <c r="J199" s="194"/>
      <c r="L199" s="194"/>
      <c r="M199" s="194"/>
    </row>
    <row r="200" ht="22.5" customHeight="1">
      <c r="C200" s="193"/>
      <c r="G200" s="193"/>
      <c r="H200" s="194"/>
      <c r="I200" s="194"/>
      <c r="J200" s="194"/>
      <c r="L200" s="194"/>
      <c r="M200" s="194"/>
    </row>
    <row r="201" ht="22.5" customHeight="1">
      <c r="C201" s="193"/>
      <c r="G201" s="193"/>
      <c r="H201" s="194"/>
      <c r="I201" s="194"/>
      <c r="J201" s="194"/>
      <c r="L201" s="194"/>
      <c r="M201" s="194"/>
    </row>
    <row r="202" ht="22.5" customHeight="1">
      <c r="C202" s="193"/>
      <c r="G202" s="193"/>
      <c r="H202" s="194"/>
      <c r="I202" s="194"/>
      <c r="J202" s="194"/>
      <c r="L202" s="194"/>
      <c r="M202" s="194"/>
    </row>
    <row r="203" ht="22.5" customHeight="1">
      <c r="C203" s="193"/>
      <c r="G203" s="193"/>
      <c r="H203" s="194"/>
      <c r="I203" s="194"/>
      <c r="J203" s="194"/>
      <c r="L203" s="194"/>
      <c r="M203" s="194"/>
    </row>
    <row r="204" ht="22.5" customHeight="1">
      <c r="C204" s="193"/>
      <c r="G204" s="193"/>
      <c r="H204" s="194"/>
      <c r="I204" s="194"/>
      <c r="J204" s="194"/>
      <c r="L204" s="194"/>
      <c r="M204" s="194"/>
    </row>
    <row r="205" ht="22.5" customHeight="1">
      <c r="C205" s="193"/>
      <c r="G205" s="193"/>
      <c r="H205" s="194"/>
      <c r="I205" s="194"/>
      <c r="J205" s="194"/>
      <c r="L205" s="194"/>
      <c r="M205" s="194"/>
    </row>
    <row r="206" ht="22.5" customHeight="1">
      <c r="C206" s="193"/>
      <c r="G206" s="193"/>
      <c r="H206" s="194"/>
      <c r="I206" s="194"/>
      <c r="J206" s="194"/>
      <c r="L206" s="194"/>
      <c r="M206" s="194"/>
    </row>
    <row r="207" ht="22.5" customHeight="1">
      <c r="C207" s="193"/>
      <c r="G207" s="193"/>
      <c r="H207" s="194"/>
      <c r="I207" s="194"/>
      <c r="J207" s="194"/>
      <c r="L207" s="194"/>
      <c r="M207" s="194"/>
    </row>
    <row r="208" ht="22.5" customHeight="1">
      <c r="C208" s="193"/>
      <c r="G208" s="193"/>
      <c r="H208" s="194"/>
      <c r="I208" s="194"/>
      <c r="J208" s="194"/>
      <c r="L208" s="194"/>
      <c r="M208" s="194"/>
    </row>
    <row r="209" ht="22.5" customHeight="1">
      <c r="C209" s="193"/>
      <c r="G209" s="193"/>
      <c r="H209" s="194"/>
      <c r="I209" s="194"/>
      <c r="J209" s="194"/>
      <c r="L209" s="194"/>
      <c r="M209" s="194"/>
    </row>
    <row r="210" ht="22.5" customHeight="1">
      <c r="C210" s="193"/>
      <c r="G210" s="193"/>
      <c r="H210" s="194"/>
      <c r="I210" s="194"/>
      <c r="J210" s="194"/>
      <c r="L210" s="194"/>
      <c r="M210" s="194"/>
    </row>
    <row r="211" ht="22.5" customHeight="1">
      <c r="C211" s="193"/>
      <c r="G211" s="193"/>
      <c r="H211" s="194"/>
      <c r="I211" s="194"/>
      <c r="J211" s="194"/>
      <c r="L211" s="194"/>
      <c r="M211" s="194"/>
    </row>
    <row r="212" ht="22.5" customHeight="1">
      <c r="C212" s="193"/>
      <c r="G212" s="193"/>
      <c r="H212" s="194"/>
      <c r="I212" s="194"/>
      <c r="J212" s="194"/>
      <c r="L212" s="194"/>
      <c r="M212" s="194"/>
    </row>
    <row r="213" ht="22.5" customHeight="1">
      <c r="C213" s="193"/>
      <c r="G213" s="193"/>
      <c r="H213" s="194"/>
      <c r="I213" s="194"/>
      <c r="J213" s="194"/>
      <c r="L213" s="194"/>
      <c r="M213" s="194"/>
    </row>
    <row r="214" ht="22.5" customHeight="1">
      <c r="C214" s="193"/>
      <c r="G214" s="193"/>
      <c r="H214" s="194"/>
      <c r="I214" s="194"/>
      <c r="J214" s="194"/>
      <c r="L214" s="194"/>
      <c r="M214" s="194"/>
    </row>
    <row r="215" ht="22.5" customHeight="1">
      <c r="C215" s="193"/>
      <c r="G215" s="193"/>
      <c r="H215" s="194"/>
      <c r="I215" s="194"/>
      <c r="J215" s="194"/>
      <c r="L215" s="194"/>
      <c r="M215" s="194"/>
    </row>
    <row r="216" ht="22.5" customHeight="1">
      <c r="C216" s="193"/>
      <c r="G216" s="193"/>
      <c r="H216" s="194"/>
      <c r="I216" s="194"/>
      <c r="J216" s="194"/>
      <c r="L216" s="194"/>
      <c r="M216" s="194"/>
    </row>
    <row r="217" ht="22.5" customHeight="1">
      <c r="C217" s="193"/>
      <c r="G217" s="193"/>
      <c r="H217" s="194"/>
      <c r="I217" s="194"/>
      <c r="J217" s="194"/>
      <c r="L217" s="194"/>
      <c r="M217" s="194"/>
    </row>
    <row r="218" ht="22.5" customHeight="1">
      <c r="C218" s="193"/>
      <c r="G218" s="193"/>
      <c r="H218" s="194"/>
      <c r="I218" s="194"/>
      <c r="J218" s="194"/>
      <c r="L218" s="194"/>
      <c r="M218" s="194"/>
    </row>
    <row r="219" ht="22.5" customHeight="1">
      <c r="C219" s="193"/>
      <c r="G219" s="193"/>
      <c r="H219" s="194"/>
      <c r="I219" s="194"/>
      <c r="J219" s="194"/>
      <c r="L219" s="194"/>
      <c r="M219" s="194"/>
    </row>
    <row r="220" ht="22.5" customHeight="1">
      <c r="C220" s="193"/>
      <c r="G220" s="193"/>
      <c r="H220" s="194"/>
      <c r="I220" s="194"/>
      <c r="J220" s="194"/>
      <c r="L220" s="194"/>
      <c r="M220" s="194"/>
    </row>
    <row r="221" ht="22.5" customHeight="1">
      <c r="C221" s="193"/>
      <c r="G221" s="193"/>
      <c r="H221" s="194"/>
      <c r="I221" s="194"/>
      <c r="J221" s="194"/>
      <c r="L221" s="194"/>
      <c r="M221" s="194"/>
    </row>
    <row r="222" ht="22.5" customHeight="1">
      <c r="C222" s="193"/>
      <c r="G222" s="193"/>
      <c r="H222" s="194"/>
      <c r="I222" s="194"/>
      <c r="J222" s="194"/>
      <c r="L222" s="194"/>
      <c r="M222" s="194"/>
    </row>
    <row r="223" ht="22.5" customHeight="1">
      <c r="C223" s="193"/>
      <c r="G223" s="193"/>
      <c r="H223" s="194"/>
      <c r="I223" s="194"/>
      <c r="J223" s="194"/>
      <c r="L223" s="194"/>
      <c r="M223" s="194"/>
    </row>
    <row r="224" ht="22.5" customHeight="1">
      <c r="C224" s="193"/>
      <c r="G224" s="193"/>
      <c r="H224" s="194"/>
      <c r="I224" s="194"/>
      <c r="J224" s="194"/>
      <c r="L224" s="194"/>
      <c r="M224" s="194"/>
    </row>
    <row r="225" ht="22.5" customHeight="1">
      <c r="C225" s="193"/>
      <c r="G225" s="193"/>
      <c r="H225" s="194"/>
      <c r="I225" s="194"/>
      <c r="J225" s="194"/>
      <c r="L225" s="194"/>
      <c r="M225" s="194"/>
    </row>
    <row r="226" ht="22.5" customHeight="1">
      <c r="C226" s="193"/>
      <c r="G226" s="193"/>
      <c r="H226" s="194"/>
      <c r="I226" s="194"/>
      <c r="J226" s="194"/>
      <c r="L226" s="194"/>
      <c r="M226" s="194"/>
    </row>
    <row r="227" ht="22.5" customHeight="1">
      <c r="C227" s="193"/>
      <c r="G227" s="193"/>
      <c r="H227" s="194"/>
      <c r="I227" s="194"/>
      <c r="J227" s="194"/>
      <c r="L227" s="194"/>
      <c r="M227" s="194"/>
    </row>
    <row r="228" ht="22.5" customHeight="1">
      <c r="C228" s="193"/>
      <c r="G228" s="193"/>
      <c r="H228" s="194"/>
      <c r="I228" s="194"/>
      <c r="J228" s="194"/>
      <c r="L228" s="194"/>
      <c r="M228" s="194"/>
    </row>
    <row r="229" ht="22.5" customHeight="1">
      <c r="C229" s="193"/>
      <c r="G229" s="193"/>
      <c r="H229" s="194"/>
      <c r="I229" s="194"/>
      <c r="J229" s="194"/>
      <c r="L229" s="194"/>
      <c r="M229" s="194"/>
    </row>
    <row r="230" ht="22.5" customHeight="1">
      <c r="C230" s="193"/>
      <c r="G230" s="193"/>
      <c r="H230" s="194"/>
      <c r="I230" s="194"/>
      <c r="J230" s="194"/>
      <c r="L230" s="194"/>
      <c r="M230" s="194"/>
    </row>
    <row r="231" ht="22.5" customHeight="1">
      <c r="C231" s="193"/>
      <c r="G231" s="193"/>
      <c r="H231" s="194"/>
      <c r="I231" s="194"/>
      <c r="J231" s="194"/>
      <c r="L231" s="194"/>
      <c r="M231" s="194"/>
    </row>
    <row r="232" ht="22.5" customHeight="1">
      <c r="C232" s="193"/>
      <c r="G232" s="193"/>
      <c r="H232" s="194"/>
      <c r="I232" s="194"/>
      <c r="J232" s="194"/>
      <c r="L232" s="194"/>
      <c r="M232" s="194"/>
    </row>
    <row r="233" ht="22.5" customHeight="1">
      <c r="C233" s="193"/>
      <c r="G233" s="193"/>
      <c r="H233" s="194"/>
      <c r="I233" s="194"/>
      <c r="J233" s="194"/>
      <c r="L233" s="194"/>
      <c r="M233" s="194"/>
    </row>
    <row r="234" ht="22.5" customHeight="1">
      <c r="C234" s="193"/>
      <c r="G234" s="193"/>
      <c r="H234" s="194"/>
      <c r="I234" s="194"/>
      <c r="J234" s="194"/>
      <c r="L234" s="194"/>
      <c r="M234" s="194"/>
    </row>
    <row r="235" ht="22.5" customHeight="1">
      <c r="C235" s="193"/>
      <c r="G235" s="193"/>
      <c r="H235" s="194"/>
      <c r="I235" s="194"/>
      <c r="J235" s="194"/>
      <c r="L235" s="194"/>
      <c r="M235" s="194"/>
    </row>
    <row r="236" ht="22.5" customHeight="1">
      <c r="C236" s="193"/>
      <c r="G236" s="193"/>
      <c r="H236" s="194"/>
      <c r="I236" s="194"/>
      <c r="J236" s="194"/>
      <c r="L236" s="194"/>
      <c r="M236" s="194"/>
    </row>
    <row r="237" ht="22.5" customHeight="1">
      <c r="C237" s="193"/>
      <c r="G237" s="193"/>
      <c r="H237" s="194"/>
      <c r="I237" s="194"/>
      <c r="J237" s="194"/>
      <c r="L237" s="194"/>
      <c r="M237" s="194"/>
    </row>
    <row r="238" ht="22.5" customHeight="1">
      <c r="C238" s="193"/>
      <c r="G238" s="193"/>
      <c r="H238" s="194"/>
      <c r="I238" s="194"/>
      <c r="J238" s="194"/>
      <c r="L238" s="194"/>
      <c r="M238" s="194"/>
    </row>
    <row r="239" ht="22.5" customHeight="1">
      <c r="C239" s="193"/>
      <c r="G239" s="193"/>
      <c r="H239" s="194"/>
      <c r="I239" s="194"/>
      <c r="J239" s="194"/>
      <c r="L239" s="194"/>
      <c r="M239" s="194"/>
    </row>
    <row r="240" ht="22.5" customHeight="1">
      <c r="C240" s="193"/>
      <c r="G240" s="193"/>
      <c r="H240" s="194"/>
      <c r="I240" s="194"/>
      <c r="J240" s="194"/>
      <c r="L240" s="194"/>
      <c r="M240" s="194"/>
    </row>
    <row r="241" ht="22.5" customHeight="1">
      <c r="C241" s="193"/>
      <c r="G241" s="193"/>
      <c r="H241" s="194"/>
      <c r="I241" s="194"/>
      <c r="J241" s="194"/>
      <c r="L241" s="194"/>
      <c r="M241" s="194"/>
    </row>
    <row r="242" ht="22.5" customHeight="1">
      <c r="C242" s="193"/>
      <c r="G242" s="193"/>
      <c r="H242" s="194"/>
      <c r="I242" s="194"/>
      <c r="J242" s="194"/>
      <c r="L242" s="194"/>
      <c r="M242" s="194"/>
    </row>
    <row r="243" ht="22.5" customHeight="1">
      <c r="C243" s="193"/>
      <c r="G243" s="193"/>
      <c r="H243" s="194"/>
      <c r="I243" s="194"/>
      <c r="J243" s="194"/>
      <c r="L243" s="194"/>
      <c r="M243" s="194"/>
    </row>
    <row r="244" ht="22.5" customHeight="1">
      <c r="C244" s="193"/>
      <c r="G244" s="193"/>
      <c r="H244" s="194"/>
      <c r="I244" s="194"/>
      <c r="J244" s="194"/>
      <c r="L244" s="194"/>
      <c r="M244" s="194"/>
    </row>
    <row r="245" ht="22.5" customHeight="1">
      <c r="C245" s="193"/>
      <c r="G245" s="193"/>
      <c r="H245" s="194"/>
      <c r="I245" s="194"/>
      <c r="J245" s="194"/>
      <c r="L245" s="194"/>
      <c r="M245" s="194"/>
    </row>
    <row r="246" ht="22.5" customHeight="1">
      <c r="C246" s="193"/>
      <c r="G246" s="193"/>
      <c r="H246" s="194"/>
      <c r="I246" s="194"/>
      <c r="J246" s="194"/>
      <c r="L246" s="194"/>
      <c r="M246" s="194"/>
    </row>
    <row r="247" ht="22.5" customHeight="1">
      <c r="C247" s="193"/>
      <c r="G247" s="193"/>
      <c r="H247" s="194"/>
      <c r="I247" s="194"/>
      <c r="J247" s="194"/>
      <c r="L247" s="194"/>
      <c r="M247" s="194"/>
    </row>
    <row r="248" ht="22.5" customHeight="1">
      <c r="C248" s="193"/>
      <c r="G248" s="193"/>
      <c r="H248" s="194"/>
      <c r="I248" s="194"/>
      <c r="J248" s="194"/>
      <c r="L248" s="194"/>
      <c r="M248" s="194"/>
    </row>
    <row r="249" ht="22.5" customHeight="1">
      <c r="C249" s="193"/>
      <c r="G249" s="193"/>
      <c r="H249" s="194"/>
      <c r="I249" s="194"/>
      <c r="J249" s="194"/>
      <c r="L249" s="194"/>
      <c r="M249" s="194"/>
    </row>
    <row r="250" ht="22.5" customHeight="1">
      <c r="C250" s="193"/>
      <c r="G250" s="193"/>
      <c r="H250" s="194"/>
      <c r="I250" s="194"/>
      <c r="J250" s="194"/>
      <c r="L250" s="194"/>
      <c r="M250" s="194"/>
    </row>
    <row r="251" ht="22.5" customHeight="1">
      <c r="C251" s="193"/>
      <c r="G251" s="193"/>
      <c r="H251" s="194"/>
      <c r="I251" s="194"/>
      <c r="J251" s="194"/>
      <c r="L251" s="194"/>
      <c r="M251" s="194"/>
    </row>
    <row r="252" ht="22.5" customHeight="1">
      <c r="C252" s="193"/>
      <c r="G252" s="193"/>
      <c r="H252" s="194"/>
      <c r="I252" s="194"/>
      <c r="J252" s="194"/>
      <c r="L252" s="194"/>
      <c r="M252" s="194"/>
    </row>
    <row r="253" ht="22.5" customHeight="1">
      <c r="C253" s="193"/>
      <c r="G253" s="193"/>
      <c r="H253" s="194"/>
      <c r="I253" s="194"/>
      <c r="J253" s="194"/>
      <c r="L253" s="194"/>
      <c r="M253" s="194"/>
    </row>
    <row r="254" ht="22.5" customHeight="1">
      <c r="C254" s="193"/>
      <c r="G254" s="193"/>
      <c r="H254" s="194"/>
      <c r="I254" s="194"/>
      <c r="J254" s="194"/>
      <c r="L254" s="194"/>
      <c r="M254" s="194"/>
    </row>
    <row r="255" ht="22.5" customHeight="1">
      <c r="C255" s="193"/>
      <c r="G255" s="193"/>
      <c r="H255" s="194"/>
      <c r="I255" s="194"/>
      <c r="J255" s="194"/>
      <c r="L255" s="194"/>
      <c r="M255" s="194"/>
    </row>
    <row r="256" ht="22.5" customHeight="1">
      <c r="C256" s="193"/>
      <c r="G256" s="193"/>
      <c r="H256" s="194"/>
      <c r="I256" s="194"/>
      <c r="J256" s="194"/>
      <c r="L256" s="194"/>
      <c r="M256" s="194"/>
    </row>
    <row r="257" ht="22.5" customHeight="1">
      <c r="C257" s="193"/>
      <c r="G257" s="193"/>
      <c r="H257" s="194"/>
      <c r="I257" s="194"/>
      <c r="J257" s="194"/>
      <c r="L257" s="194"/>
      <c r="M257" s="194"/>
    </row>
    <row r="258" ht="22.5" customHeight="1">
      <c r="C258" s="193"/>
      <c r="G258" s="193"/>
      <c r="H258" s="194"/>
      <c r="I258" s="194"/>
      <c r="J258" s="194"/>
      <c r="L258" s="194"/>
      <c r="M258" s="194"/>
    </row>
    <row r="259" ht="22.5" customHeight="1">
      <c r="C259" s="193"/>
      <c r="G259" s="193"/>
      <c r="H259" s="194"/>
      <c r="I259" s="194"/>
      <c r="J259" s="194"/>
      <c r="L259" s="194"/>
      <c r="M259" s="194"/>
    </row>
    <row r="260" ht="22.5" customHeight="1">
      <c r="C260" s="193"/>
      <c r="G260" s="193"/>
      <c r="H260" s="194"/>
      <c r="I260" s="194"/>
      <c r="J260" s="194"/>
      <c r="L260" s="194"/>
      <c r="M260" s="194"/>
    </row>
    <row r="261" ht="22.5" customHeight="1">
      <c r="C261" s="193"/>
      <c r="G261" s="193"/>
      <c r="H261" s="194"/>
      <c r="I261" s="194"/>
      <c r="J261" s="194"/>
      <c r="L261" s="194"/>
      <c r="M261" s="194"/>
    </row>
    <row r="262" ht="22.5" customHeight="1">
      <c r="C262" s="193"/>
      <c r="G262" s="193"/>
      <c r="H262" s="194"/>
      <c r="I262" s="194"/>
      <c r="J262" s="194"/>
      <c r="L262" s="194"/>
      <c r="M262" s="194"/>
    </row>
    <row r="263" ht="22.5" customHeight="1">
      <c r="C263" s="193"/>
      <c r="G263" s="193"/>
      <c r="H263" s="194"/>
      <c r="I263" s="194"/>
      <c r="J263" s="194"/>
      <c r="L263" s="194"/>
      <c r="M263" s="194"/>
    </row>
    <row r="264" ht="22.5" customHeight="1">
      <c r="C264" s="193"/>
      <c r="G264" s="193"/>
      <c r="H264" s="194"/>
      <c r="I264" s="194"/>
      <c r="J264" s="194"/>
      <c r="L264" s="194"/>
      <c r="M264" s="194"/>
    </row>
    <row r="265" ht="22.5" customHeight="1">
      <c r="C265" s="193"/>
      <c r="G265" s="193"/>
      <c r="H265" s="194"/>
      <c r="I265" s="194"/>
      <c r="J265" s="194"/>
      <c r="L265" s="194"/>
      <c r="M265" s="194"/>
    </row>
    <row r="266" ht="22.5" customHeight="1">
      <c r="C266" s="193"/>
      <c r="G266" s="193"/>
      <c r="H266" s="194"/>
      <c r="I266" s="194"/>
      <c r="J266" s="194"/>
      <c r="L266" s="194"/>
      <c r="M266" s="194"/>
    </row>
    <row r="267" ht="22.5" customHeight="1">
      <c r="C267" s="193"/>
      <c r="G267" s="193"/>
      <c r="H267" s="194"/>
      <c r="I267" s="194"/>
      <c r="J267" s="194"/>
      <c r="L267" s="194"/>
      <c r="M267" s="194"/>
    </row>
    <row r="268" ht="22.5" customHeight="1">
      <c r="C268" s="193"/>
      <c r="G268" s="193"/>
      <c r="H268" s="194"/>
      <c r="I268" s="194"/>
      <c r="J268" s="194"/>
      <c r="L268" s="194"/>
      <c r="M268" s="194"/>
    </row>
    <row r="269" ht="22.5" customHeight="1">
      <c r="C269" s="193"/>
      <c r="G269" s="193"/>
      <c r="H269" s="194"/>
      <c r="I269" s="194"/>
      <c r="J269" s="194"/>
      <c r="L269" s="194"/>
      <c r="M269" s="194"/>
    </row>
    <row r="270" ht="22.5" customHeight="1">
      <c r="C270" s="193"/>
      <c r="G270" s="193"/>
      <c r="H270" s="194"/>
      <c r="I270" s="194"/>
      <c r="J270" s="194"/>
      <c r="L270" s="194"/>
      <c r="M270" s="194"/>
    </row>
    <row r="271" ht="22.5" customHeight="1">
      <c r="C271" s="193"/>
      <c r="G271" s="193"/>
      <c r="H271" s="194"/>
      <c r="I271" s="194"/>
      <c r="J271" s="194"/>
      <c r="L271" s="194"/>
      <c r="M271" s="194"/>
    </row>
    <row r="272" ht="22.5" customHeight="1">
      <c r="C272" s="193"/>
      <c r="G272" s="193"/>
      <c r="H272" s="194"/>
      <c r="I272" s="194"/>
      <c r="J272" s="194"/>
      <c r="L272" s="194"/>
      <c r="M272" s="194"/>
    </row>
    <row r="273" ht="22.5" customHeight="1">
      <c r="C273" s="193"/>
      <c r="G273" s="193"/>
      <c r="H273" s="194"/>
      <c r="I273" s="194"/>
      <c r="J273" s="194"/>
      <c r="L273" s="194"/>
      <c r="M273" s="194"/>
    </row>
    <row r="274" ht="22.5" customHeight="1">
      <c r="C274" s="193"/>
      <c r="G274" s="193"/>
      <c r="H274" s="194"/>
      <c r="I274" s="194"/>
      <c r="J274" s="194"/>
      <c r="L274" s="194"/>
      <c r="M274" s="194"/>
    </row>
    <row r="275" ht="22.5" customHeight="1">
      <c r="C275" s="193"/>
      <c r="G275" s="193"/>
      <c r="H275" s="194"/>
      <c r="I275" s="194"/>
      <c r="J275" s="194"/>
      <c r="L275" s="194"/>
      <c r="M275" s="194"/>
    </row>
    <row r="276" ht="22.5" customHeight="1">
      <c r="C276" s="193"/>
      <c r="G276" s="193"/>
      <c r="H276" s="194"/>
      <c r="I276" s="194"/>
      <c r="J276" s="194"/>
      <c r="L276" s="194"/>
      <c r="M276" s="194"/>
    </row>
    <row r="277" ht="22.5" customHeight="1">
      <c r="C277" s="193"/>
      <c r="G277" s="193"/>
      <c r="H277" s="194"/>
      <c r="I277" s="194"/>
      <c r="J277" s="194"/>
      <c r="L277" s="194"/>
      <c r="M277" s="194"/>
    </row>
    <row r="278" ht="22.5" customHeight="1">
      <c r="C278" s="193"/>
      <c r="G278" s="193"/>
      <c r="H278" s="194"/>
      <c r="I278" s="194"/>
      <c r="J278" s="194"/>
      <c r="L278" s="194"/>
      <c r="M278" s="194"/>
    </row>
    <row r="279" ht="22.5" customHeight="1">
      <c r="C279" s="193"/>
      <c r="G279" s="193"/>
      <c r="H279" s="194"/>
      <c r="I279" s="194"/>
      <c r="J279" s="194"/>
      <c r="L279" s="194"/>
      <c r="M279" s="194"/>
    </row>
    <row r="280" ht="22.5" customHeight="1">
      <c r="C280" s="193"/>
      <c r="G280" s="193"/>
      <c r="H280" s="194"/>
      <c r="I280" s="194"/>
      <c r="J280" s="194"/>
      <c r="L280" s="194"/>
      <c r="M280" s="194"/>
    </row>
    <row r="281" ht="22.5" customHeight="1">
      <c r="C281" s="193"/>
      <c r="G281" s="193"/>
      <c r="H281" s="194"/>
      <c r="I281" s="194"/>
      <c r="J281" s="194"/>
      <c r="L281" s="194"/>
      <c r="M281" s="194"/>
    </row>
    <row r="282" ht="22.5" customHeight="1">
      <c r="C282" s="193"/>
      <c r="G282" s="193"/>
      <c r="H282" s="194"/>
      <c r="I282" s="194"/>
      <c r="J282" s="194"/>
      <c r="L282" s="194"/>
      <c r="M282" s="194"/>
    </row>
    <row r="283" ht="22.5" customHeight="1">
      <c r="C283" s="193"/>
      <c r="G283" s="193"/>
      <c r="H283" s="194"/>
      <c r="I283" s="194"/>
      <c r="J283" s="194"/>
      <c r="L283" s="194"/>
      <c r="M283" s="194"/>
    </row>
    <row r="284" ht="22.5" customHeight="1">
      <c r="C284" s="193"/>
      <c r="G284" s="193"/>
      <c r="H284" s="194"/>
      <c r="I284" s="194"/>
      <c r="J284" s="194"/>
      <c r="L284" s="194"/>
      <c r="M284" s="194"/>
    </row>
    <row r="285" ht="22.5" customHeight="1">
      <c r="C285" s="193"/>
      <c r="G285" s="193"/>
      <c r="H285" s="194"/>
      <c r="I285" s="194"/>
      <c r="J285" s="194"/>
      <c r="L285" s="194"/>
      <c r="M285" s="194"/>
    </row>
    <row r="286" ht="22.5" customHeight="1">
      <c r="C286" s="193"/>
      <c r="G286" s="193"/>
      <c r="H286" s="194"/>
      <c r="I286" s="194"/>
      <c r="J286" s="194"/>
      <c r="L286" s="194"/>
      <c r="M286" s="194"/>
    </row>
    <row r="287" ht="22.5" customHeight="1">
      <c r="C287" s="193"/>
      <c r="G287" s="193"/>
      <c r="H287" s="194"/>
      <c r="I287" s="194"/>
      <c r="J287" s="194"/>
      <c r="L287" s="194"/>
      <c r="M287" s="194"/>
    </row>
    <row r="288" ht="22.5" customHeight="1">
      <c r="C288" s="193"/>
      <c r="G288" s="193"/>
      <c r="H288" s="194"/>
      <c r="I288" s="194"/>
      <c r="J288" s="194"/>
      <c r="L288" s="194"/>
      <c r="M288" s="194"/>
    </row>
    <row r="289" ht="22.5" customHeight="1">
      <c r="C289" s="193"/>
      <c r="G289" s="193"/>
      <c r="H289" s="194"/>
      <c r="I289" s="194"/>
      <c r="J289" s="194"/>
      <c r="L289" s="194"/>
      <c r="M289" s="194"/>
    </row>
    <row r="290" ht="22.5" customHeight="1">
      <c r="C290" s="193"/>
      <c r="G290" s="193"/>
      <c r="H290" s="194"/>
      <c r="I290" s="194"/>
      <c r="J290" s="194"/>
      <c r="L290" s="194"/>
      <c r="M290" s="194"/>
    </row>
    <row r="291" ht="22.5" customHeight="1">
      <c r="C291" s="193"/>
      <c r="G291" s="193"/>
      <c r="H291" s="194"/>
      <c r="I291" s="194"/>
      <c r="J291" s="194"/>
      <c r="L291" s="194"/>
      <c r="M291" s="194"/>
    </row>
    <row r="292" ht="22.5" customHeight="1">
      <c r="C292" s="193"/>
      <c r="G292" s="193"/>
      <c r="H292" s="194"/>
      <c r="I292" s="194"/>
      <c r="J292" s="194"/>
      <c r="L292" s="194"/>
      <c r="M292" s="194"/>
    </row>
    <row r="293" ht="22.5" customHeight="1">
      <c r="C293" s="193"/>
      <c r="G293" s="193"/>
      <c r="H293" s="194"/>
      <c r="I293" s="194"/>
      <c r="J293" s="194"/>
      <c r="L293" s="194"/>
      <c r="M293" s="194"/>
    </row>
    <row r="294" ht="22.5" customHeight="1">
      <c r="C294" s="193"/>
      <c r="G294" s="193"/>
      <c r="H294" s="194"/>
      <c r="I294" s="194"/>
      <c r="J294" s="194"/>
      <c r="L294" s="194"/>
      <c r="M294" s="194"/>
    </row>
    <row r="295" ht="22.5" customHeight="1">
      <c r="C295" s="193"/>
      <c r="G295" s="193"/>
      <c r="H295" s="194"/>
      <c r="I295" s="194"/>
      <c r="J295" s="194"/>
      <c r="L295" s="194"/>
      <c r="M295" s="194"/>
    </row>
    <row r="296" ht="22.5" customHeight="1">
      <c r="C296" s="193"/>
      <c r="G296" s="193"/>
      <c r="H296" s="194"/>
      <c r="I296" s="194"/>
      <c r="J296" s="194"/>
      <c r="L296" s="194"/>
      <c r="M296" s="194"/>
    </row>
    <row r="297" ht="22.5" customHeight="1">
      <c r="C297" s="193"/>
      <c r="G297" s="193"/>
      <c r="H297" s="194"/>
      <c r="I297" s="194"/>
      <c r="J297" s="194"/>
      <c r="L297" s="194"/>
      <c r="M297" s="194"/>
    </row>
    <row r="298" ht="22.5" customHeight="1">
      <c r="C298" s="193"/>
      <c r="G298" s="193"/>
      <c r="H298" s="194"/>
      <c r="I298" s="194"/>
      <c r="J298" s="194"/>
      <c r="L298" s="194"/>
      <c r="M298" s="194"/>
    </row>
    <row r="299" ht="22.5" customHeight="1">
      <c r="C299" s="193"/>
      <c r="G299" s="193"/>
      <c r="H299" s="194"/>
      <c r="I299" s="194"/>
      <c r="J299" s="194"/>
      <c r="L299" s="194"/>
      <c r="M299" s="194"/>
    </row>
    <row r="300" ht="22.5" customHeight="1">
      <c r="C300" s="193"/>
      <c r="G300" s="193"/>
      <c r="H300" s="194"/>
      <c r="I300" s="194"/>
      <c r="J300" s="194"/>
      <c r="L300" s="194"/>
      <c r="M300" s="194"/>
    </row>
    <row r="301" ht="22.5" customHeight="1">
      <c r="C301" s="193"/>
      <c r="G301" s="193"/>
      <c r="H301" s="194"/>
      <c r="I301" s="194"/>
      <c r="J301" s="194"/>
      <c r="L301" s="194"/>
      <c r="M301" s="194"/>
    </row>
    <row r="302" ht="22.5" customHeight="1">
      <c r="C302" s="193"/>
      <c r="G302" s="193"/>
      <c r="H302" s="194"/>
      <c r="I302" s="194"/>
      <c r="J302" s="194"/>
      <c r="L302" s="194"/>
      <c r="M302" s="194"/>
    </row>
    <row r="303" ht="22.5" customHeight="1">
      <c r="C303" s="193"/>
      <c r="G303" s="193"/>
      <c r="H303" s="194"/>
      <c r="I303" s="194"/>
      <c r="J303" s="194"/>
      <c r="L303" s="194"/>
      <c r="M303" s="194"/>
    </row>
    <row r="304" ht="22.5" customHeight="1">
      <c r="C304" s="193"/>
      <c r="G304" s="193"/>
      <c r="H304" s="194"/>
      <c r="I304" s="194"/>
      <c r="J304" s="194"/>
      <c r="L304" s="194"/>
      <c r="M304" s="194"/>
    </row>
    <row r="305" ht="22.5" customHeight="1">
      <c r="C305" s="193"/>
      <c r="G305" s="193"/>
      <c r="H305" s="194"/>
      <c r="I305" s="194"/>
      <c r="J305" s="194"/>
      <c r="L305" s="194"/>
      <c r="M305" s="194"/>
    </row>
    <row r="306" ht="22.5" customHeight="1">
      <c r="C306" s="193"/>
      <c r="G306" s="193"/>
      <c r="H306" s="194"/>
      <c r="I306" s="194"/>
      <c r="J306" s="194"/>
      <c r="L306" s="194"/>
      <c r="M306" s="194"/>
    </row>
    <row r="307" ht="22.5" customHeight="1">
      <c r="C307" s="193"/>
      <c r="G307" s="193"/>
      <c r="H307" s="194"/>
      <c r="I307" s="194"/>
      <c r="J307" s="194"/>
      <c r="L307" s="194"/>
      <c r="M307" s="194"/>
    </row>
    <row r="308" ht="22.5" customHeight="1">
      <c r="C308" s="193"/>
      <c r="G308" s="193"/>
      <c r="H308" s="194"/>
      <c r="I308" s="194"/>
      <c r="J308" s="194"/>
      <c r="L308" s="194"/>
      <c r="M308" s="194"/>
    </row>
    <row r="309" ht="22.5" customHeight="1">
      <c r="C309" s="193"/>
      <c r="G309" s="193"/>
      <c r="H309" s="194"/>
      <c r="I309" s="194"/>
      <c r="J309" s="194"/>
      <c r="L309" s="194"/>
      <c r="M309" s="194"/>
    </row>
    <row r="310" ht="22.5" customHeight="1">
      <c r="C310" s="193"/>
      <c r="G310" s="193"/>
      <c r="H310" s="194"/>
      <c r="I310" s="194"/>
      <c r="J310" s="194"/>
      <c r="L310" s="194"/>
      <c r="M310" s="194"/>
    </row>
    <row r="311" ht="22.5" customHeight="1">
      <c r="C311" s="193"/>
      <c r="G311" s="193"/>
      <c r="H311" s="194"/>
      <c r="I311" s="194"/>
      <c r="J311" s="194"/>
      <c r="L311" s="194"/>
      <c r="M311" s="194"/>
    </row>
    <row r="312" ht="22.5" customHeight="1">
      <c r="C312" s="193"/>
      <c r="G312" s="193"/>
      <c r="H312" s="194"/>
      <c r="I312" s="194"/>
      <c r="J312" s="194"/>
      <c r="L312" s="194"/>
      <c r="M312" s="194"/>
    </row>
    <row r="313" ht="22.5" customHeight="1">
      <c r="C313" s="193"/>
      <c r="G313" s="193"/>
      <c r="H313" s="194"/>
      <c r="I313" s="194"/>
      <c r="J313" s="194"/>
      <c r="L313" s="194"/>
      <c r="M313" s="194"/>
    </row>
    <row r="314" ht="22.5" customHeight="1">
      <c r="C314" s="193"/>
      <c r="G314" s="193"/>
      <c r="H314" s="194"/>
      <c r="I314" s="194"/>
      <c r="J314" s="194"/>
      <c r="L314" s="194"/>
      <c r="M314" s="194"/>
    </row>
    <row r="315" ht="22.5" customHeight="1">
      <c r="C315" s="193"/>
      <c r="G315" s="193"/>
      <c r="H315" s="194"/>
      <c r="I315" s="194"/>
      <c r="J315" s="194"/>
      <c r="L315" s="194"/>
      <c r="M315" s="194"/>
    </row>
    <row r="316" ht="22.5" customHeight="1">
      <c r="C316" s="193"/>
      <c r="G316" s="193"/>
      <c r="H316" s="194"/>
      <c r="I316" s="194"/>
      <c r="J316" s="194"/>
      <c r="L316" s="194"/>
      <c r="M316" s="194"/>
    </row>
    <row r="317" ht="22.5" customHeight="1">
      <c r="C317" s="193"/>
      <c r="G317" s="193"/>
      <c r="H317" s="194"/>
      <c r="I317" s="194"/>
      <c r="J317" s="194"/>
      <c r="L317" s="194"/>
      <c r="M317" s="194"/>
    </row>
    <row r="318" ht="22.5" customHeight="1">
      <c r="C318" s="193"/>
      <c r="G318" s="193"/>
      <c r="H318" s="194"/>
      <c r="I318" s="194"/>
      <c r="J318" s="194"/>
      <c r="L318" s="194"/>
      <c r="M318" s="194"/>
    </row>
    <row r="319" ht="22.5" customHeight="1">
      <c r="C319" s="193"/>
      <c r="G319" s="193"/>
      <c r="H319" s="194"/>
      <c r="I319" s="194"/>
      <c r="J319" s="194"/>
      <c r="L319" s="194"/>
      <c r="M319" s="194"/>
    </row>
    <row r="320" ht="22.5" customHeight="1">
      <c r="C320" s="193"/>
      <c r="G320" s="193"/>
      <c r="H320" s="194"/>
      <c r="I320" s="194"/>
      <c r="J320" s="194"/>
      <c r="L320" s="194"/>
      <c r="M320" s="194"/>
    </row>
    <row r="321" ht="22.5" customHeight="1">
      <c r="C321" s="193"/>
      <c r="G321" s="193"/>
      <c r="H321" s="194"/>
      <c r="I321" s="194"/>
      <c r="J321" s="194"/>
      <c r="L321" s="194"/>
      <c r="M321" s="194"/>
    </row>
    <row r="322" ht="22.5" customHeight="1">
      <c r="C322" s="193"/>
      <c r="G322" s="193"/>
      <c r="H322" s="194"/>
      <c r="I322" s="194"/>
      <c r="J322" s="194"/>
      <c r="L322" s="194"/>
      <c r="M322" s="194"/>
    </row>
    <row r="323" ht="22.5" customHeight="1">
      <c r="C323" s="193"/>
      <c r="G323" s="193"/>
      <c r="H323" s="194"/>
      <c r="I323" s="194"/>
      <c r="J323" s="194"/>
      <c r="L323" s="194"/>
      <c r="M323" s="194"/>
    </row>
    <row r="324" ht="22.5" customHeight="1">
      <c r="C324" s="193"/>
      <c r="G324" s="193"/>
      <c r="H324" s="194"/>
      <c r="I324" s="194"/>
      <c r="J324" s="194"/>
      <c r="L324" s="194"/>
      <c r="M324" s="194"/>
    </row>
    <row r="325" ht="22.5" customHeight="1">
      <c r="C325" s="193"/>
      <c r="G325" s="193"/>
      <c r="H325" s="194"/>
      <c r="I325" s="194"/>
      <c r="J325" s="194"/>
      <c r="L325" s="194"/>
      <c r="M325" s="194"/>
    </row>
    <row r="326" ht="22.5" customHeight="1">
      <c r="C326" s="193"/>
      <c r="G326" s="193"/>
      <c r="H326" s="194"/>
      <c r="I326" s="194"/>
      <c r="J326" s="194"/>
      <c r="L326" s="194"/>
      <c r="M326" s="194"/>
    </row>
    <row r="327" ht="22.5" customHeight="1">
      <c r="C327" s="193"/>
      <c r="G327" s="193"/>
      <c r="H327" s="194"/>
      <c r="I327" s="194"/>
      <c r="J327" s="194"/>
      <c r="L327" s="194"/>
      <c r="M327" s="194"/>
    </row>
    <row r="328" ht="22.5" customHeight="1">
      <c r="C328" s="193"/>
      <c r="G328" s="193"/>
      <c r="H328" s="194"/>
      <c r="I328" s="194"/>
      <c r="J328" s="194"/>
      <c r="L328" s="194"/>
      <c r="M328" s="194"/>
    </row>
    <row r="329" ht="22.5" customHeight="1">
      <c r="C329" s="193"/>
      <c r="G329" s="193"/>
      <c r="H329" s="194"/>
      <c r="I329" s="194"/>
      <c r="J329" s="194"/>
      <c r="L329" s="194"/>
      <c r="M329" s="194"/>
    </row>
    <row r="330" ht="22.5" customHeight="1">
      <c r="C330" s="193"/>
      <c r="G330" s="193"/>
      <c r="H330" s="194"/>
      <c r="I330" s="194"/>
      <c r="J330" s="194"/>
      <c r="L330" s="194"/>
      <c r="M330" s="194"/>
    </row>
    <row r="331" ht="22.5" customHeight="1">
      <c r="C331" s="193"/>
      <c r="G331" s="193"/>
      <c r="H331" s="194"/>
      <c r="I331" s="194"/>
      <c r="J331" s="194"/>
      <c r="L331" s="194"/>
      <c r="M331" s="194"/>
    </row>
    <row r="332" ht="22.5" customHeight="1">
      <c r="C332" s="193"/>
      <c r="G332" s="193"/>
      <c r="H332" s="194"/>
      <c r="I332" s="194"/>
      <c r="J332" s="194"/>
      <c r="L332" s="194"/>
      <c r="M332" s="194"/>
    </row>
    <row r="333" ht="22.5" customHeight="1">
      <c r="C333" s="193"/>
      <c r="G333" s="193"/>
      <c r="H333" s="194"/>
      <c r="I333" s="194"/>
      <c r="J333" s="194"/>
      <c r="L333" s="194"/>
      <c r="M333" s="194"/>
    </row>
    <row r="334" ht="22.5" customHeight="1">
      <c r="C334" s="193"/>
      <c r="G334" s="193"/>
      <c r="H334" s="194"/>
      <c r="I334" s="194"/>
      <c r="J334" s="194"/>
      <c r="L334" s="194"/>
      <c r="M334" s="194"/>
    </row>
    <row r="335" ht="22.5" customHeight="1">
      <c r="C335" s="193"/>
      <c r="G335" s="193"/>
      <c r="H335" s="194"/>
      <c r="I335" s="194"/>
      <c r="J335" s="194"/>
      <c r="L335" s="194"/>
      <c r="M335" s="194"/>
    </row>
    <row r="336" ht="22.5" customHeight="1">
      <c r="C336" s="193"/>
      <c r="G336" s="193"/>
      <c r="H336" s="194"/>
      <c r="I336" s="194"/>
      <c r="J336" s="194"/>
      <c r="L336" s="194"/>
      <c r="M336" s="194"/>
    </row>
    <row r="337" ht="22.5" customHeight="1">
      <c r="C337" s="193"/>
      <c r="G337" s="193"/>
      <c r="H337" s="194"/>
      <c r="I337" s="194"/>
      <c r="J337" s="194"/>
      <c r="L337" s="194"/>
      <c r="M337" s="194"/>
    </row>
    <row r="338" ht="22.5" customHeight="1">
      <c r="C338" s="193"/>
      <c r="G338" s="193"/>
      <c r="H338" s="194"/>
      <c r="I338" s="194"/>
      <c r="J338" s="194"/>
      <c r="L338" s="194"/>
      <c r="M338" s="194"/>
    </row>
    <row r="339" ht="22.5" customHeight="1">
      <c r="C339" s="193"/>
      <c r="G339" s="193"/>
      <c r="H339" s="194"/>
      <c r="I339" s="194"/>
      <c r="J339" s="194"/>
      <c r="L339" s="194"/>
      <c r="M339" s="194"/>
    </row>
    <row r="340" ht="22.5" customHeight="1">
      <c r="C340" s="193"/>
      <c r="G340" s="193"/>
      <c r="H340" s="194"/>
      <c r="I340" s="194"/>
      <c r="J340" s="194"/>
      <c r="L340" s="194"/>
      <c r="M340" s="194"/>
    </row>
    <row r="341" ht="22.5" customHeight="1">
      <c r="C341" s="193"/>
      <c r="G341" s="193"/>
      <c r="H341" s="194"/>
      <c r="I341" s="194"/>
      <c r="J341" s="194"/>
      <c r="L341" s="194"/>
      <c r="M341" s="194"/>
    </row>
    <row r="342" ht="22.5" customHeight="1">
      <c r="C342" s="193"/>
      <c r="G342" s="193"/>
      <c r="H342" s="194"/>
      <c r="I342" s="194"/>
      <c r="J342" s="194"/>
      <c r="L342" s="194"/>
      <c r="M342" s="194"/>
    </row>
    <row r="343" ht="22.5" customHeight="1">
      <c r="C343" s="193"/>
      <c r="G343" s="193"/>
      <c r="H343" s="194"/>
      <c r="I343" s="194"/>
      <c r="J343" s="194"/>
      <c r="L343" s="194"/>
      <c r="M343" s="194"/>
    </row>
    <row r="344" ht="22.5" customHeight="1">
      <c r="C344" s="193"/>
      <c r="G344" s="193"/>
      <c r="H344" s="194"/>
      <c r="I344" s="194"/>
      <c r="J344" s="194"/>
      <c r="L344" s="194"/>
      <c r="M344" s="194"/>
    </row>
    <row r="345" ht="22.5" customHeight="1">
      <c r="C345" s="193"/>
      <c r="G345" s="193"/>
      <c r="H345" s="194"/>
      <c r="I345" s="194"/>
      <c r="J345" s="194"/>
      <c r="L345" s="194"/>
      <c r="M345" s="194"/>
    </row>
    <row r="346" ht="22.5" customHeight="1">
      <c r="C346" s="193"/>
      <c r="G346" s="193"/>
      <c r="H346" s="194"/>
      <c r="I346" s="194"/>
      <c r="J346" s="194"/>
      <c r="L346" s="194"/>
      <c r="M346" s="194"/>
    </row>
    <row r="347" ht="22.5" customHeight="1">
      <c r="C347" s="193"/>
      <c r="G347" s="193"/>
      <c r="H347" s="194"/>
      <c r="I347" s="194"/>
      <c r="J347" s="194"/>
      <c r="L347" s="194"/>
      <c r="M347" s="194"/>
    </row>
    <row r="348" ht="22.5" customHeight="1">
      <c r="C348" s="193"/>
      <c r="G348" s="193"/>
      <c r="H348" s="194"/>
      <c r="I348" s="194"/>
      <c r="J348" s="194"/>
      <c r="L348" s="194"/>
      <c r="M348" s="194"/>
    </row>
    <row r="349" ht="22.5" customHeight="1">
      <c r="C349" s="193"/>
      <c r="G349" s="193"/>
      <c r="H349" s="194"/>
      <c r="I349" s="194"/>
      <c r="J349" s="194"/>
      <c r="L349" s="194"/>
      <c r="M349" s="194"/>
    </row>
    <row r="350" ht="22.5" customHeight="1">
      <c r="C350" s="193"/>
      <c r="G350" s="193"/>
      <c r="H350" s="194"/>
      <c r="I350" s="194"/>
      <c r="J350" s="194"/>
      <c r="L350" s="194"/>
      <c r="M350" s="194"/>
    </row>
    <row r="351" ht="22.5" customHeight="1">
      <c r="C351" s="193"/>
      <c r="G351" s="193"/>
      <c r="H351" s="194"/>
      <c r="I351" s="194"/>
      <c r="J351" s="194"/>
      <c r="L351" s="194"/>
      <c r="M351" s="194"/>
    </row>
    <row r="352" ht="22.5" customHeight="1">
      <c r="C352" s="193"/>
      <c r="G352" s="193"/>
      <c r="H352" s="194"/>
      <c r="I352" s="194"/>
      <c r="J352" s="194"/>
      <c r="L352" s="194"/>
      <c r="M352" s="194"/>
    </row>
    <row r="353" ht="22.5" customHeight="1">
      <c r="C353" s="193"/>
      <c r="G353" s="193"/>
      <c r="H353" s="194"/>
      <c r="I353" s="194"/>
      <c r="J353" s="194"/>
      <c r="L353" s="194"/>
      <c r="M353" s="194"/>
    </row>
    <row r="354" ht="22.5" customHeight="1">
      <c r="C354" s="193"/>
      <c r="G354" s="193"/>
      <c r="H354" s="194"/>
      <c r="I354" s="194"/>
      <c r="J354" s="194"/>
      <c r="L354" s="194"/>
      <c r="M354" s="194"/>
    </row>
    <row r="355" ht="22.5" customHeight="1">
      <c r="C355" s="193"/>
      <c r="G355" s="193"/>
      <c r="H355" s="194"/>
      <c r="I355" s="194"/>
      <c r="J355" s="194"/>
      <c r="L355" s="194"/>
      <c r="M355" s="194"/>
    </row>
    <row r="356" ht="22.5" customHeight="1">
      <c r="C356" s="193"/>
      <c r="G356" s="193"/>
      <c r="H356" s="194"/>
      <c r="I356" s="194"/>
      <c r="J356" s="194"/>
      <c r="L356" s="194"/>
      <c r="M356" s="194"/>
    </row>
    <row r="357" ht="22.5" customHeight="1">
      <c r="C357" s="193"/>
      <c r="G357" s="193"/>
      <c r="H357" s="194"/>
      <c r="I357" s="194"/>
      <c r="J357" s="194"/>
      <c r="L357" s="194"/>
      <c r="M357" s="194"/>
    </row>
    <row r="358" ht="22.5" customHeight="1">
      <c r="C358" s="193"/>
      <c r="G358" s="193"/>
      <c r="H358" s="194"/>
      <c r="I358" s="194"/>
      <c r="J358" s="194"/>
      <c r="L358" s="194"/>
      <c r="M358" s="194"/>
    </row>
    <row r="359" ht="22.5" customHeight="1">
      <c r="C359" s="193"/>
      <c r="G359" s="193"/>
      <c r="H359" s="194"/>
      <c r="I359" s="194"/>
      <c r="J359" s="194"/>
      <c r="L359" s="194"/>
      <c r="M359" s="194"/>
    </row>
    <row r="360" ht="22.5" customHeight="1">
      <c r="C360" s="193"/>
      <c r="G360" s="193"/>
      <c r="H360" s="194"/>
      <c r="I360" s="194"/>
      <c r="J360" s="194"/>
      <c r="L360" s="194"/>
      <c r="M360" s="194"/>
    </row>
    <row r="361" ht="22.5" customHeight="1">
      <c r="C361" s="193"/>
      <c r="G361" s="193"/>
      <c r="H361" s="194"/>
      <c r="I361" s="194"/>
      <c r="J361" s="194"/>
      <c r="L361" s="194"/>
      <c r="M361" s="194"/>
    </row>
    <row r="362" ht="22.5" customHeight="1">
      <c r="C362" s="193"/>
      <c r="G362" s="193"/>
      <c r="H362" s="194"/>
      <c r="I362" s="194"/>
      <c r="J362" s="194"/>
      <c r="L362" s="194"/>
      <c r="M362" s="194"/>
    </row>
    <row r="363" ht="22.5" customHeight="1">
      <c r="C363" s="193"/>
      <c r="G363" s="193"/>
      <c r="H363" s="194"/>
      <c r="I363" s="194"/>
      <c r="J363" s="194"/>
      <c r="L363" s="194"/>
      <c r="M363" s="194"/>
    </row>
    <row r="364" ht="22.5" customHeight="1">
      <c r="C364" s="193"/>
      <c r="G364" s="193"/>
      <c r="H364" s="194"/>
      <c r="I364" s="194"/>
      <c r="J364" s="194"/>
      <c r="L364" s="194"/>
      <c r="M364" s="194"/>
    </row>
    <row r="365" ht="22.5" customHeight="1">
      <c r="C365" s="193"/>
      <c r="G365" s="193"/>
      <c r="H365" s="194"/>
      <c r="I365" s="194"/>
      <c r="J365" s="194"/>
      <c r="L365" s="194"/>
      <c r="M365" s="194"/>
    </row>
    <row r="366" ht="22.5" customHeight="1">
      <c r="C366" s="193"/>
      <c r="G366" s="193"/>
      <c r="H366" s="194"/>
      <c r="I366" s="194"/>
      <c r="J366" s="194"/>
      <c r="L366" s="194"/>
      <c r="M366" s="194"/>
    </row>
    <row r="367" ht="22.5" customHeight="1">
      <c r="C367" s="193"/>
      <c r="G367" s="193"/>
      <c r="H367" s="194"/>
      <c r="I367" s="194"/>
      <c r="J367" s="194"/>
      <c r="L367" s="194"/>
      <c r="M367" s="194"/>
    </row>
    <row r="368" ht="22.5" customHeight="1">
      <c r="C368" s="193"/>
      <c r="G368" s="193"/>
      <c r="H368" s="194"/>
      <c r="I368" s="194"/>
      <c r="J368" s="194"/>
      <c r="L368" s="194"/>
      <c r="M368" s="194"/>
    </row>
    <row r="369" ht="22.5" customHeight="1">
      <c r="C369" s="193"/>
      <c r="G369" s="193"/>
      <c r="H369" s="194"/>
      <c r="I369" s="194"/>
      <c r="J369" s="194"/>
      <c r="L369" s="194"/>
      <c r="M369" s="194"/>
    </row>
    <row r="370" ht="22.5" customHeight="1">
      <c r="C370" s="193"/>
      <c r="G370" s="193"/>
      <c r="H370" s="194"/>
      <c r="I370" s="194"/>
      <c r="J370" s="194"/>
      <c r="L370" s="194"/>
      <c r="M370" s="194"/>
    </row>
    <row r="371" ht="22.5" customHeight="1">
      <c r="C371" s="193"/>
      <c r="G371" s="193"/>
      <c r="H371" s="194"/>
      <c r="I371" s="194"/>
      <c r="J371" s="194"/>
      <c r="L371" s="194"/>
      <c r="M371" s="194"/>
    </row>
    <row r="372" ht="22.5" customHeight="1">
      <c r="C372" s="193"/>
      <c r="G372" s="193"/>
      <c r="H372" s="194"/>
      <c r="I372" s="194"/>
      <c r="J372" s="194"/>
      <c r="L372" s="194"/>
      <c r="M372" s="194"/>
    </row>
    <row r="373" ht="22.5" customHeight="1">
      <c r="C373" s="193"/>
      <c r="G373" s="193"/>
      <c r="H373" s="194"/>
      <c r="I373" s="194"/>
      <c r="J373" s="194"/>
      <c r="L373" s="194"/>
      <c r="M373" s="194"/>
    </row>
    <row r="374" ht="22.5" customHeight="1">
      <c r="C374" s="193"/>
      <c r="G374" s="193"/>
      <c r="H374" s="194"/>
      <c r="I374" s="194"/>
      <c r="J374" s="194"/>
      <c r="L374" s="194"/>
      <c r="M374" s="194"/>
    </row>
    <row r="375" ht="22.5" customHeight="1">
      <c r="C375" s="193"/>
      <c r="G375" s="193"/>
      <c r="H375" s="194"/>
      <c r="I375" s="194"/>
      <c r="J375" s="194"/>
      <c r="L375" s="194"/>
      <c r="M375" s="194"/>
    </row>
    <row r="376" ht="22.5" customHeight="1">
      <c r="C376" s="193"/>
      <c r="G376" s="193"/>
      <c r="H376" s="194"/>
      <c r="I376" s="194"/>
      <c r="J376" s="194"/>
      <c r="L376" s="194"/>
      <c r="M376" s="194"/>
    </row>
    <row r="377" ht="22.5" customHeight="1">
      <c r="C377" s="193"/>
      <c r="G377" s="193"/>
      <c r="H377" s="194"/>
      <c r="I377" s="194"/>
      <c r="J377" s="194"/>
      <c r="L377" s="194"/>
      <c r="M377" s="194"/>
    </row>
    <row r="378" ht="22.5" customHeight="1">
      <c r="C378" s="193"/>
      <c r="G378" s="193"/>
      <c r="H378" s="194"/>
      <c r="I378" s="194"/>
      <c r="J378" s="194"/>
      <c r="L378" s="194"/>
      <c r="M378" s="194"/>
    </row>
    <row r="379" ht="22.5" customHeight="1">
      <c r="C379" s="193"/>
      <c r="G379" s="193"/>
      <c r="H379" s="194"/>
      <c r="I379" s="194"/>
      <c r="J379" s="194"/>
      <c r="L379" s="194"/>
      <c r="M379" s="194"/>
    </row>
    <row r="380" ht="22.5" customHeight="1">
      <c r="C380" s="193"/>
      <c r="G380" s="193"/>
      <c r="H380" s="194"/>
      <c r="I380" s="194"/>
      <c r="J380" s="194"/>
      <c r="L380" s="194"/>
      <c r="M380" s="194"/>
    </row>
    <row r="381" ht="22.5" customHeight="1">
      <c r="C381" s="193"/>
      <c r="G381" s="193"/>
      <c r="H381" s="194"/>
      <c r="I381" s="194"/>
      <c r="J381" s="194"/>
      <c r="L381" s="194"/>
      <c r="M381" s="194"/>
    </row>
    <row r="382" ht="22.5" customHeight="1">
      <c r="C382" s="193"/>
      <c r="G382" s="193"/>
      <c r="H382" s="194"/>
      <c r="I382" s="194"/>
      <c r="J382" s="194"/>
      <c r="L382" s="194"/>
      <c r="M382" s="194"/>
    </row>
    <row r="383" ht="22.5" customHeight="1">
      <c r="C383" s="193"/>
      <c r="G383" s="193"/>
      <c r="H383" s="194"/>
      <c r="I383" s="194"/>
      <c r="J383" s="194"/>
      <c r="L383" s="194"/>
      <c r="M383" s="194"/>
    </row>
    <row r="384" ht="22.5" customHeight="1">
      <c r="C384" s="193"/>
      <c r="G384" s="193"/>
      <c r="H384" s="194"/>
      <c r="I384" s="194"/>
      <c r="J384" s="194"/>
      <c r="L384" s="194"/>
      <c r="M384" s="194"/>
    </row>
    <row r="385" ht="22.5" customHeight="1">
      <c r="C385" s="193"/>
      <c r="G385" s="193"/>
      <c r="H385" s="194"/>
      <c r="I385" s="194"/>
      <c r="J385" s="194"/>
      <c r="L385" s="194"/>
      <c r="M385" s="194"/>
    </row>
    <row r="386" ht="22.5" customHeight="1">
      <c r="C386" s="193"/>
      <c r="G386" s="193"/>
      <c r="H386" s="194"/>
      <c r="I386" s="194"/>
      <c r="J386" s="194"/>
      <c r="L386" s="194"/>
      <c r="M386" s="194"/>
    </row>
    <row r="387" ht="22.5" customHeight="1">
      <c r="C387" s="193"/>
      <c r="G387" s="193"/>
      <c r="H387" s="194"/>
      <c r="I387" s="194"/>
      <c r="J387" s="194"/>
      <c r="L387" s="194"/>
      <c r="M387" s="194"/>
    </row>
    <row r="388" ht="22.5" customHeight="1">
      <c r="C388" s="193"/>
      <c r="G388" s="193"/>
      <c r="H388" s="194"/>
      <c r="I388" s="194"/>
      <c r="J388" s="194"/>
      <c r="L388" s="194"/>
      <c r="M388" s="194"/>
    </row>
    <row r="389" ht="22.5" customHeight="1">
      <c r="C389" s="193"/>
      <c r="G389" s="193"/>
      <c r="H389" s="194"/>
      <c r="I389" s="194"/>
      <c r="J389" s="194"/>
      <c r="L389" s="194"/>
      <c r="M389" s="194"/>
    </row>
    <row r="390" ht="22.5" customHeight="1">
      <c r="C390" s="193"/>
      <c r="G390" s="193"/>
      <c r="H390" s="194"/>
      <c r="I390" s="194"/>
      <c r="J390" s="194"/>
      <c r="L390" s="194"/>
      <c r="M390" s="194"/>
    </row>
    <row r="391" ht="22.5" customHeight="1">
      <c r="C391" s="193"/>
      <c r="G391" s="193"/>
      <c r="H391" s="194"/>
      <c r="I391" s="194"/>
      <c r="J391" s="194"/>
      <c r="L391" s="194"/>
      <c r="M391" s="194"/>
    </row>
    <row r="392" ht="22.5" customHeight="1">
      <c r="C392" s="193"/>
      <c r="G392" s="193"/>
      <c r="H392" s="194"/>
      <c r="I392" s="194"/>
      <c r="J392" s="194"/>
      <c r="L392" s="194"/>
      <c r="M392" s="194"/>
    </row>
    <row r="393" ht="22.5" customHeight="1">
      <c r="C393" s="193"/>
      <c r="G393" s="193"/>
      <c r="H393" s="194"/>
      <c r="I393" s="194"/>
      <c r="J393" s="194"/>
      <c r="L393" s="194"/>
      <c r="M393" s="194"/>
    </row>
    <row r="394" ht="22.5" customHeight="1">
      <c r="C394" s="193"/>
      <c r="G394" s="193"/>
      <c r="H394" s="194"/>
      <c r="I394" s="194"/>
      <c r="J394" s="194"/>
      <c r="L394" s="194"/>
      <c r="M394" s="194"/>
    </row>
    <row r="395" ht="22.5" customHeight="1">
      <c r="C395" s="193"/>
      <c r="G395" s="193"/>
      <c r="H395" s="194"/>
      <c r="I395" s="194"/>
      <c r="J395" s="194"/>
      <c r="L395" s="194"/>
      <c r="M395" s="194"/>
    </row>
    <row r="396" ht="22.5" customHeight="1">
      <c r="C396" s="193"/>
      <c r="G396" s="193"/>
      <c r="H396" s="194"/>
      <c r="I396" s="194"/>
      <c r="J396" s="194"/>
      <c r="L396" s="194"/>
      <c r="M396" s="194"/>
    </row>
    <row r="397" ht="22.5" customHeight="1">
      <c r="C397" s="193"/>
      <c r="G397" s="193"/>
      <c r="H397" s="194"/>
      <c r="I397" s="194"/>
      <c r="J397" s="194"/>
      <c r="L397" s="194"/>
      <c r="M397" s="194"/>
    </row>
    <row r="398" ht="22.5" customHeight="1">
      <c r="C398" s="193"/>
      <c r="G398" s="193"/>
      <c r="H398" s="194"/>
      <c r="I398" s="194"/>
      <c r="J398" s="194"/>
      <c r="L398" s="194"/>
      <c r="M398" s="194"/>
    </row>
    <row r="399" ht="22.5" customHeight="1">
      <c r="C399" s="193"/>
      <c r="G399" s="193"/>
      <c r="H399" s="194"/>
      <c r="I399" s="194"/>
      <c r="J399" s="194"/>
      <c r="L399" s="194"/>
      <c r="M399" s="194"/>
    </row>
    <row r="400" ht="22.5" customHeight="1">
      <c r="C400" s="193"/>
      <c r="G400" s="193"/>
      <c r="H400" s="194"/>
      <c r="I400" s="194"/>
      <c r="J400" s="194"/>
      <c r="L400" s="194"/>
      <c r="M400" s="194"/>
    </row>
    <row r="401" ht="22.5" customHeight="1">
      <c r="C401" s="193"/>
      <c r="G401" s="193"/>
      <c r="H401" s="194"/>
      <c r="I401" s="194"/>
      <c r="J401" s="194"/>
      <c r="L401" s="194"/>
      <c r="M401" s="194"/>
    </row>
    <row r="402" ht="22.5" customHeight="1">
      <c r="C402" s="193"/>
      <c r="G402" s="193"/>
      <c r="H402" s="194"/>
      <c r="I402" s="194"/>
      <c r="J402" s="194"/>
      <c r="L402" s="194"/>
      <c r="M402" s="194"/>
    </row>
    <row r="403" ht="22.5" customHeight="1">
      <c r="C403" s="193"/>
      <c r="G403" s="193"/>
      <c r="H403" s="194"/>
      <c r="I403" s="194"/>
      <c r="J403" s="194"/>
      <c r="L403" s="194"/>
      <c r="M403" s="194"/>
    </row>
    <row r="404" ht="22.5" customHeight="1">
      <c r="C404" s="193"/>
      <c r="G404" s="193"/>
      <c r="H404" s="194"/>
      <c r="I404" s="194"/>
      <c r="J404" s="194"/>
      <c r="L404" s="194"/>
      <c r="M404" s="194"/>
    </row>
    <row r="405" ht="22.5" customHeight="1">
      <c r="C405" s="193"/>
      <c r="G405" s="193"/>
      <c r="H405" s="194"/>
      <c r="I405" s="194"/>
      <c r="J405" s="194"/>
      <c r="L405" s="194"/>
      <c r="M405" s="194"/>
    </row>
    <row r="406" ht="22.5" customHeight="1">
      <c r="C406" s="193"/>
      <c r="G406" s="193"/>
      <c r="H406" s="194"/>
      <c r="I406" s="194"/>
      <c r="J406" s="194"/>
      <c r="L406" s="194"/>
      <c r="M406" s="194"/>
    </row>
    <row r="407" ht="22.5" customHeight="1">
      <c r="C407" s="193"/>
      <c r="G407" s="193"/>
      <c r="H407" s="194"/>
      <c r="I407" s="194"/>
      <c r="J407" s="194"/>
      <c r="L407" s="194"/>
      <c r="M407" s="194"/>
    </row>
    <row r="408" ht="22.5" customHeight="1">
      <c r="C408" s="193"/>
      <c r="G408" s="193"/>
      <c r="H408" s="194"/>
      <c r="I408" s="194"/>
      <c r="J408" s="194"/>
      <c r="L408" s="194"/>
      <c r="M408" s="194"/>
    </row>
    <row r="409" ht="22.5" customHeight="1">
      <c r="C409" s="193"/>
      <c r="G409" s="193"/>
      <c r="H409" s="194"/>
      <c r="I409" s="194"/>
      <c r="J409" s="194"/>
      <c r="L409" s="194"/>
      <c r="M409" s="194"/>
    </row>
    <row r="410" ht="22.5" customHeight="1">
      <c r="C410" s="193"/>
      <c r="G410" s="193"/>
      <c r="H410" s="194"/>
      <c r="I410" s="194"/>
      <c r="J410" s="194"/>
      <c r="L410" s="194"/>
      <c r="M410" s="194"/>
    </row>
    <row r="411" ht="22.5" customHeight="1">
      <c r="C411" s="193"/>
      <c r="G411" s="193"/>
      <c r="H411" s="194"/>
      <c r="I411" s="194"/>
      <c r="J411" s="194"/>
      <c r="L411" s="194"/>
      <c r="M411" s="194"/>
    </row>
    <row r="412" ht="22.5" customHeight="1">
      <c r="C412" s="193"/>
      <c r="G412" s="193"/>
      <c r="H412" s="194"/>
      <c r="I412" s="194"/>
      <c r="J412" s="194"/>
      <c r="L412" s="194"/>
      <c r="M412" s="194"/>
    </row>
    <row r="413" ht="22.5" customHeight="1">
      <c r="C413" s="193"/>
      <c r="G413" s="193"/>
      <c r="H413" s="194"/>
      <c r="I413" s="194"/>
      <c r="J413" s="194"/>
      <c r="L413" s="194"/>
      <c r="M413" s="194"/>
    </row>
    <row r="414" ht="22.5" customHeight="1">
      <c r="C414" s="193"/>
      <c r="G414" s="193"/>
      <c r="H414" s="194"/>
      <c r="I414" s="194"/>
      <c r="J414" s="194"/>
      <c r="L414" s="194"/>
      <c r="M414" s="194"/>
    </row>
    <row r="415" ht="22.5" customHeight="1">
      <c r="C415" s="193"/>
      <c r="G415" s="193"/>
      <c r="H415" s="194"/>
      <c r="I415" s="194"/>
      <c r="J415" s="194"/>
      <c r="L415" s="194"/>
      <c r="M415" s="194"/>
    </row>
    <row r="416" ht="22.5" customHeight="1">
      <c r="C416" s="193"/>
      <c r="G416" s="193"/>
      <c r="H416" s="194"/>
      <c r="I416" s="194"/>
      <c r="J416" s="194"/>
      <c r="L416" s="194"/>
      <c r="M416" s="194"/>
    </row>
    <row r="417" ht="22.5" customHeight="1">
      <c r="C417" s="193"/>
      <c r="G417" s="193"/>
      <c r="H417" s="194"/>
      <c r="I417" s="194"/>
      <c r="J417" s="194"/>
      <c r="L417" s="194"/>
      <c r="M417" s="194"/>
    </row>
    <row r="418" ht="22.5" customHeight="1">
      <c r="C418" s="193"/>
      <c r="G418" s="193"/>
      <c r="H418" s="194"/>
      <c r="I418" s="194"/>
      <c r="J418" s="194"/>
      <c r="L418" s="194"/>
      <c r="M418" s="194"/>
    </row>
    <row r="419" ht="22.5" customHeight="1">
      <c r="C419" s="193"/>
      <c r="G419" s="193"/>
      <c r="H419" s="194"/>
      <c r="I419" s="194"/>
      <c r="J419" s="194"/>
      <c r="L419" s="194"/>
      <c r="M419" s="194"/>
    </row>
    <row r="420" ht="22.5" customHeight="1">
      <c r="C420" s="193"/>
      <c r="G420" s="193"/>
      <c r="H420" s="194"/>
      <c r="I420" s="194"/>
      <c r="J420" s="194"/>
      <c r="L420" s="194"/>
      <c r="M420" s="194"/>
    </row>
    <row r="421" ht="22.5" customHeight="1">
      <c r="C421" s="193"/>
      <c r="G421" s="193"/>
      <c r="H421" s="194"/>
      <c r="I421" s="194"/>
      <c r="J421" s="194"/>
      <c r="L421" s="194"/>
      <c r="M421" s="194"/>
    </row>
    <row r="422" ht="22.5" customHeight="1">
      <c r="C422" s="193"/>
      <c r="G422" s="193"/>
      <c r="H422" s="194"/>
      <c r="I422" s="194"/>
      <c r="J422" s="194"/>
      <c r="L422" s="194"/>
      <c r="M422" s="194"/>
    </row>
    <row r="423" ht="22.5" customHeight="1">
      <c r="C423" s="193"/>
      <c r="G423" s="193"/>
      <c r="H423" s="194"/>
      <c r="I423" s="194"/>
      <c r="J423" s="194"/>
      <c r="L423" s="194"/>
      <c r="M423" s="194"/>
    </row>
    <row r="424" ht="22.5" customHeight="1">
      <c r="C424" s="193"/>
      <c r="G424" s="193"/>
      <c r="H424" s="194"/>
      <c r="I424" s="194"/>
      <c r="J424" s="194"/>
      <c r="L424" s="194"/>
      <c r="M424" s="194"/>
    </row>
    <row r="425" ht="22.5" customHeight="1">
      <c r="C425" s="193"/>
      <c r="G425" s="193"/>
      <c r="H425" s="194"/>
      <c r="I425" s="194"/>
      <c r="J425" s="194"/>
      <c r="L425" s="194"/>
      <c r="M425" s="194"/>
    </row>
    <row r="426" ht="22.5" customHeight="1">
      <c r="C426" s="193"/>
      <c r="G426" s="193"/>
      <c r="H426" s="194"/>
      <c r="I426" s="194"/>
      <c r="J426" s="194"/>
      <c r="L426" s="194"/>
      <c r="M426" s="194"/>
    </row>
    <row r="427" ht="22.5" customHeight="1">
      <c r="C427" s="193"/>
      <c r="G427" s="193"/>
      <c r="H427" s="194"/>
      <c r="I427" s="194"/>
      <c r="J427" s="194"/>
      <c r="L427" s="194"/>
      <c r="M427" s="194"/>
    </row>
    <row r="428" ht="22.5" customHeight="1">
      <c r="C428" s="193"/>
      <c r="G428" s="193"/>
      <c r="H428" s="194"/>
      <c r="I428" s="194"/>
      <c r="J428" s="194"/>
      <c r="L428" s="194"/>
      <c r="M428" s="194"/>
    </row>
    <row r="429" ht="22.5" customHeight="1">
      <c r="C429" s="193"/>
      <c r="G429" s="193"/>
      <c r="H429" s="194"/>
      <c r="I429" s="194"/>
      <c r="J429" s="194"/>
      <c r="L429" s="194"/>
      <c r="M429" s="194"/>
    </row>
    <row r="430" ht="22.5" customHeight="1">
      <c r="C430" s="193"/>
      <c r="G430" s="193"/>
      <c r="H430" s="194"/>
      <c r="I430" s="194"/>
      <c r="J430" s="194"/>
      <c r="L430" s="194"/>
      <c r="M430" s="194"/>
    </row>
    <row r="431" ht="22.5" customHeight="1">
      <c r="C431" s="193"/>
      <c r="G431" s="193"/>
      <c r="H431" s="194"/>
      <c r="I431" s="194"/>
      <c r="J431" s="194"/>
      <c r="L431" s="194"/>
      <c r="M431" s="194"/>
    </row>
    <row r="432" ht="22.5" customHeight="1">
      <c r="C432" s="193"/>
      <c r="G432" s="193"/>
      <c r="H432" s="194"/>
      <c r="I432" s="194"/>
      <c r="J432" s="194"/>
      <c r="L432" s="194"/>
      <c r="M432" s="194"/>
    </row>
    <row r="433" ht="22.5" customHeight="1">
      <c r="C433" s="193"/>
      <c r="G433" s="193"/>
      <c r="H433" s="194"/>
      <c r="I433" s="194"/>
      <c r="J433" s="194"/>
      <c r="L433" s="194"/>
      <c r="M433" s="194"/>
    </row>
    <row r="434" ht="22.5" customHeight="1">
      <c r="C434" s="193"/>
      <c r="G434" s="193"/>
      <c r="H434" s="194"/>
      <c r="I434" s="194"/>
      <c r="J434" s="194"/>
      <c r="L434" s="194"/>
      <c r="M434" s="194"/>
    </row>
    <row r="435" ht="22.5" customHeight="1">
      <c r="C435" s="193"/>
      <c r="G435" s="193"/>
      <c r="H435" s="194"/>
      <c r="I435" s="194"/>
      <c r="J435" s="194"/>
      <c r="L435" s="194"/>
      <c r="M435" s="194"/>
    </row>
    <row r="436" ht="22.5" customHeight="1">
      <c r="C436" s="193"/>
      <c r="G436" s="193"/>
      <c r="H436" s="194"/>
      <c r="I436" s="194"/>
      <c r="J436" s="194"/>
      <c r="L436" s="194"/>
      <c r="M436" s="194"/>
    </row>
    <row r="437" ht="22.5" customHeight="1">
      <c r="C437" s="193"/>
      <c r="G437" s="193"/>
      <c r="H437" s="194"/>
      <c r="I437" s="194"/>
      <c r="J437" s="194"/>
      <c r="L437" s="194"/>
      <c r="M437" s="194"/>
    </row>
    <row r="438" ht="22.5" customHeight="1">
      <c r="C438" s="193"/>
      <c r="G438" s="193"/>
      <c r="H438" s="194"/>
      <c r="I438" s="194"/>
      <c r="J438" s="194"/>
      <c r="L438" s="194"/>
      <c r="M438" s="194"/>
    </row>
    <row r="439" ht="22.5" customHeight="1">
      <c r="C439" s="193"/>
      <c r="G439" s="193"/>
      <c r="H439" s="194"/>
      <c r="I439" s="194"/>
      <c r="J439" s="194"/>
      <c r="L439" s="194"/>
      <c r="M439" s="194"/>
    </row>
    <row r="440" ht="22.5" customHeight="1">
      <c r="C440" s="193"/>
      <c r="G440" s="193"/>
      <c r="H440" s="194"/>
      <c r="I440" s="194"/>
      <c r="J440" s="194"/>
      <c r="L440" s="194"/>
      <c r="M440" s="194"/>
    </row>
    <row r="441" ht="22.5" customHeight="1">
      <c r="C441" s="193"/>
      <c r="G441" s="193"/>
      <c r="H441" s="194"/>
      <c r="I441" s="194"/>
      <c r="J441" s="194"/>
      <c r="L441" s="194"/>
      <c r="M441" s="194"/>
    </row>
    <row r="442" ht="22.5" customHeight="1">
      <c r="C442" s="193"/>
      <c r="G442" s="193"/>
      <c r="H442" s="194"/>
      <c r="I442" s="194"/>
      <c r="J442" s="194"/>
      <c r="L442" s="194"/>
      <c r="M442" s="194"/>
    </row>
    <row r="443" ht="22.5" customHeight="1">
      <c r="C443" s="193"/>
      <c r="G443" s="193"/>
      <c r="H443" s="194"/>
      <c r="I443" s="194"/>
      <c r="J443" s="194"/>
      <c r="L443" s="194"/>
      <c r="M443" s="194"/>
    </row>
    <row r="444" ht="22.5" customHeight="1">
      <c r="C444" s="193"/>
      <c r="G444" s="193"/>
      <c r="H444" s="194"/>
      <c r="I444" s="194"/>
      <c r="J444" s="194"/>
      <c r="L444" s="194"/>
      <c r="M444" s="194"/>
    </row>
    <row r="445" ht="22.5" customHeight="1">
      <c r="C445" s="193"/>
      <c r="G445" s="193"/>
      <c r="H445" s="194"/>
      <c r="I445" s="194"/>
      <c r="J445" s="194"/>
      <c r="L445" s="194"/>
      <c r="M445" s="194"/>
    </row>
    <row r="446" ht="22.5" customHeight="1">
      <c r="C446" s="193"/>
      <c r="G446" s="193"/>
      <c r="H446" s="194"/>
      <c r="I446" s="194"/>
      <c r="J446" s="194"/>
      <c r="L446" s="194"/>
      <c r="M446" s="194"/>
    </row>
    <row r="447" ht="22.5" customHeight="1">
      <c r="C447" s="193"/>
      <c r="G447" s="193"/>
      <c r="H447" s="194"/>
      <c r="I447" s="194"/>
      <c r="J447" s="194"/>
      <c r="L447" s="194"/>
      <c r="M447" s="194"/>
    </row>
    <row r="448" ht="22.5" customHeight="1">
      <c r="C448" s="193"/>
      <c r="G448" s="193"/>
      <c r="H448" s="194"/>
      <c r="I448" s="194"/>
      <c r="J448" s="194"/>
      <c r="L448" s="194"/>
      <c r="M448" s="194"/>
    </row>
    <row r="449" ht="22.5" customHeight="1">
      <c r="C449" s="193"/>
      <c r="G449" s="193"/>
      <c r="H449" s="194"/>
      <c r="I449" s="194"/>
      <c r="J449" s="194"/>
      <c r="L449" s="194"/>
      <c r="M449" s="194"/>
    </row>
    <row r="450" ht="22.5" customHeight="1">
      <c r="C450" s="193"/>
      <c r="G450" s="193"/>
      <c r="H450" s="194"/>
      <c r="I450" s="194"/>
      <c r="J450" s="194"/>
      <c r="L450" s="194"/>
      <c r="M450" s="194"/>
    </row>
    <row r="451" ht="22.5" customHeight="1">
      <c r="C451" s="193"/>
      <c r="G451" s="193"/>
      <c r="H451" s="194"/>
      <c r="I451" s="194"/>
      <c r="J451" s="194"/>
      <c r="L451" s="194"/>
      <c r="M451" s="194"/>
    </row>
    <row r="452" ht="22.5" customHeight="1">
      <c r="C452" s="193"/>
      <c r="G452" s="193"/>
      <c r="H452" s="194"/>
      <c r="I452" s="194"/>
      <c r="J452" s="194"/>
      <c r="L452" s="194"/>
      <c r="M452" s="194"/>
    </row>
    <row r="453" ht="22.5" customHeight="1">
      <c r="C453" s="193"/>
      <c r="G453" s="193"/>
      <c r="H453" s="194"/>
      <c r="I453" s="194"/>
      <c r="J453" s="194"/>
      <c r="L453" s="194"/>
      <c r="M453" s="194"/>
    </row>
    <row r="454" ht="22.5" customHeight="1">
      <c r="C454" s="193"/>
      <c r="G454" s="193"/>
      <c r="H454" s="194"/>
      <c r="I454" s="194"/>
      <c r="J454" s="194"/>
      <c r="L454" s="194"/>
      <c r="M454" s="194"/>
    </row>
    <row r="455" ht="22.5" customHeight="1">
      <c r="C455" s="193"/>
      <c r="G455" s="193"/>
      <c r="H455" s="194"/>
      <c r="I455" s="194"/>
      <c r="J455" s="194"/>
      <c r="L455" s="194"/>
      <c r="M455" s="194"/>
    </row>
    <row r="456" ht="22.5" customHeight="1">
      <c r="C456" s="193"/>
      <c r="G456" s="193"/>
      <c r="H456" s="194"/>
      <c r="I456" s="194"/>
      <c r="J456" s="194"/>
      <c r="L456" s="194"/>
      <c r="M456" s="194"/>
    </row>
    <row r="457" ht="22.5" customHeight="1">
      <c r="C457" s="193"/>
      <c r="G457" s="193"/>
      <c r="H457" s="194"/>
      <c r="I457" s="194"/>
      <c r="J457" s="194"/>
      <c r="L457" s="194"/>
      <c r="M457" s="194"/>
    </row>
    <row r="458" ht="22.5" customHeight="1">
      <c r="C458" s="193"/>
      <c r="G458" s="193"/>
      <c r="H458" s="194"/>
      <c r="I458" s="194"/>
      <c r="J458" s="194"/>
      <c r="L458" s="194"/>
      <c r="M458" s="194"/>
    </row>
    <row r="459" ht="22.5" customHeight="1">
      <c r="C459" s="193"/>
      <c r="G459" s="193"/>
      <c r="H459" s="194"/>
      <c r="I459" s="194"/>
      <c r="J459" s="194"/>
      <c r="L459" s="194"/>
      <c r="M459" s="194"/>
    </row>
    <row r="460" ht="22.5" customHeight="1">
      <c r="C460" s="193"/>
      <c r="G460" s="193"/>
      <c r="H460" s="194"/>
      <c r="I460" s="194"/>
      <c r="J460" s="194"/>
      <c r="L460" s="194"/>
      <c r="M460" s="194"/>
    </row>
    <row r="461" ht="22.5" customHeight="1">
      <c r="C461" s="193"/>
      <c r="G461" s="193"/>
      <c r="H461" s="194"/>
      <c r="I461" s="194"/>
      <c r="J461" s="194"/>
      <c r="L461" s="194"/>
      <c r="M461" s="194"/>
    </row>
    <row r="462" ht="22.5" customHeight="1">
      <c r="C462" s="193"/>
      <c r="G462" s="193"/>
      <c r="H462" s="194"/>
      <c r="I462" s="194"/>
      <c r="J462" s="194"/>
      <c r="L462" s="194"/>
      <c r="M462" s="194"/>
    </row>
    <row r="463" ht="22.5" customHeight="1">
      <c r="C463" s="193"/>
      <c r="G463" s="193"/>
      <c r="H463" s="194"/>
      <c r="I463" s="194"/>
      <c r="J463" s="194"/>
      <c r="L463" s="194"/>
      <c r="M463" s="194"/>
    </row>
    <row r="464" ht="22.5" customHeight="1">
      <c r="C464" s="193"/>
      <c r="G464" s="193"/>
      <c r="H464" s="194"/>
      <c r="I464" s="194"/>
      <c r="J464" s="194"/>
      <c r="L464" s="194"/>
      <c r="M464" s="194"/>
    </row>
    <row r="465" ht="22.5" customHeight="1">
      <c r="C465" s="193"/>
      <c r="G465" s="193"/>
      <c r="H465" s="194"/>
      <c r="I465" s="194"/>
      <c r="J465" s="194"/>
      <c r="L465" s="194"/>
      <c r="M465" s="194"/>
    </row>
    <row r="466" ht="22.5" customHeight="1">
      <c r="C466" s="193"/>
      <c r="G466" s="193"/>
      <c r="H466" s="194"/>
      <c r="I466" s="194"/>
      <c r="J466" s="194"/>
      <c r="L466" s="194"/>
      <c r="M466" s="194"/>
    </row>
    <row r="467" ht="22.5" customHeight="1">
      <c r="C467" s="193"/>
      <c r="G467" s="193"/>
      <c r="H467" s="194"/>
      <c r="I467" s="194"/>
      <c r="J467" s="194"/>
      <c r="L467" s="194"/>
      <c r="M467" s="194"/>
    </row>
    <row r="468" ht="22.5" customHeight="1">
      <c r="C468" s="193"/>
      <c r="G468" s="193"/>
      <c r="H468" s="194"/>
      <c r="I468" s="194"/>
      <c r="J468" s="194"/>
      <c r="L468" s="194"/>
      <c r="M468" s="194"/>
    </row>
    <row r="469" ht="22.5" customHeight="1">
      <c r="C469" s="193"/>
      <c r="G469" s="193"/>
      <c r="H469" s="194"/>
      <c r="I469" s="194"/>
      <c r="J469" s="194"/>
      <c r="L469" s="194"/>
      <c r="M469" s="194"/>
    </row>
    <row r="470" ht="22.5" customHeight="1">
      <c r="C470" s="193"/>
      <c r="G470" s="193"/>
      <c r="H470" s="194"/>
      <c r="I470" s="194"/>
      <c r="J470" s="194"/>
      <c r="L470" s="194"/>
      <c r="M470" s="194"/>
    </row>
    <row r="471" ht="22.5" customHeight="1">
      <c r="C471" s="193"/>
      <c r="G471" s="193"/>
      <c r="H471" s="194"/>
      <c r="I471" s="194"/>
      <c r="J471" s="194"/>
      <c r="L471" s="194"/>
      <c r="M471" s="194"/>
    </row>
    <row r="472" ht="22.5" customHeight="1">
      <c r="C472" s="193"/>
      <c r="G472" s="193"/>
      <c r="H472" s="194"/>
      <c r="I472" s="194"/>
      <c r="J472" s="194"/>
      <c r="L472" s="194"/>
      <c r="M472" s="194"/>
    </row>
    <row r="473" ht="22.5" customHeight="1">
      <c r="C473" s="193"/>
      <c r="G473" s="193"/>
      <c r="H473" s="194"/>
      <c r="I473" s="194"/>
      <c r="J473" s="194"/>
      <c r="L473" s="194"/>
      <c r="M473" s="194"/>
    </row>
    <row r="474" ht="22.5" customHeight="1">
      <c r="C474" s="193"/>
      <c r="G474" s="193"/>
      <c r="H474" s="194"/>
      <c r="I474" s="194"/>
      <c r="J474" s="194"/>
      <c r="L474" s="194"/>
      <c r="M474" s="194"/>
    </row>
    <row r="475" ht="22.5" customHeight="1">
      <c r="C475" s="193"/>
      <c r="G475" s="193"/>
      <c r="H475" s="194"/>
      <c r="I475" s="194"/>
      <c r="J475" s="194"/>
      <c r="L475" s="194"/>
      <c r="M475" s="194"/>
    </row>
    <row r="476" ht="22.5" customHeight="1">
      <c r="C476" s="193"/>
      <c r="G476" s="193"/>
      <c r="H476" s="194"/>
      <c r="I476" s="194"/>
      <c r="J476" s="194"/>
      <c r="L476" s="194"/>
      <c r="M476" s="194"/>
    </row>
    <row r="477" ht="22.5" customHeight="1">
      <c r="C477" s="193"/>
      <c r="G477" s="193"/>
      <c r="H477" s="194"/>
      <c r="I477" s="194"/>
      <c r="J477" s="194"/>
      <c r="L477" s="194"/>
      <c r="M477" s="194"/>
    </row>
    <row r="478" ht="22.5" customHeight="1">
      <c r="C478" s="193"/>
      <c r="G478" s="193"/>
      <c r="H478" s="194"/>
      <c r="I478" s="194"/>
      <c r="J478" s="194"/>
      <c r="L478" s="194"/>
      <c r="M478" s="194"/>
    </row>
    <row r="479" ht="22.5" customHeight="1">
      <c r="C479" s="193"/>
      <c r="G479" s="193"/>
      <c r="H479" s="194"/>
      <c r="I479" s="194"/>
      <c r="J479" s="194"/>
      <c r="L479" s="194"/>
      <c r="M479" s="194"/>
    </row>
    <row r="480" ht="22.5" customHeight="1">
      <c r="C480" s="193"/>
      <c r="G480" s="193"/>
      <c r="H480" s="194"/>
      <c r="I480" s="194"/>
      <c r="J480" s="194"/>
      <c r="L480" s="194"/>
      <c r="M480" s="194"/>
    </row>
    <row r="481" ht="22.5" customHeight="1">
      <c r="C481" s="193"/>
      <c r="G481" s="193"/>
      <c r="H481" s="194"/>
      <c r="I481" s="194"/>
      <c r="J481" s="194"/>
      <c r="L481" s="194"/>
      <c r="M481" s="194"/>
    </row>
    <row r="482" ht="22.5" customHeight="1">
      <c r="C482" s="193"/>
      <c r="G482" s="193"/>
      <c r="H482" s="194"/>
      <c r="I482" s="194"/>
      <c r="J482" s="194"/>
      <c r="L482" s="194"/>
      <c r="M482" s="194"/>
    </row>
    <row r="483" ht="22.5" customHeight="1">
      <c r="C483" s="193"/>
      <c r="G483" s="193"/>
      <c r="H483" s="194"/>
      <c r="I483" s="194"/>
      <c r="J483" s="194"/>
      <c r="L483" s="194"/>
      <c r="M483" s="194"/>
    </row>
    <row r="484" ht="22.5" customHeight="1">
      <c r="C484" s="193"/>
      <c r="G484" s="193"/>
      <c r="H484" s="194"/>
      <c r="I484" s="194"/>
      <c r="J484" s="194"/>
      <c r="L484" s="194"/>
      <c r="M484" s="194"/>
    </row>
    <row r="485" ht="22.5" customHeight="1">
      <c r="C485" s="193"/>
      <c r="G485" s="193"/>
      <c r="H485" s="194"/>
      <c r="I485" s="194"/>
      <c r="J485" s="194"/>
      <c r="L485" s="194"/>
      <c r="M485" s="194"/>
    </row>
    <row r="486" ht="22.5" customHeight="1">
      <c r="C486" s="193"/>
      <c r="G486" s="193"/>
      <c r="H486" s="194"/>
      <c r="I486" s="194"/>
      <c r="J486" s="194"/>
      <c r="L486" s="194"/>
      <c r="M486" s="194"/>
    </row>
    <row r="487" ht="22.5" customHeight="1">
      <c r="C487" s="193"/>
      <c r="G487" s="193"/>
      <c r="H487" s="194"/>
      <c r="I487" s="194"/>
      <c r="J487" s="194"/>
      <c r="L487" s="194"/>
      <c r="M487" s="194"/>
    </row>
    <row r="488" ht="22.5" customHeight="1">
      <c r="C488" s="193"/>
      <c r="G488" s="193"/>
      <c r="H488" s="194"/>
      <c r="I488" s="194"/>
      <c r="J488" s="194"/>
      <c r="L488" s="194"/>
      <c r="M488" s="194"/>
    </row>
    <row r="489" ht="22.5" customHeight="1">
      <c r="C489" s="193"/>
      <c r="G489" s="193"/>
      <c r="H489" s="194"/>
      <c r="I489" s="194"/>
      <c r="J489" s="194"/>
      <c r="L489" s="194"/>
      <c r="M489" s="194"/>
    </row>
    <row r="490" ht="22.5" customHeight="1">
      <c r="C490" s="193"/>
      <c r="G490" s="193"/>
      <c r="H490" s="194"/>
      <c r="I490" s="194"/>
      <c r="J490" s="194"/>
      <c r="L490" s="194"/>
      <c r="M490" s="194"/>
    </row>
    <row r="491" ht="22.5" customHeight="1">
      <c r="C491" s="193"/>
      <c r="G491" s="193"/>
      <c r="H491" s="194"/>
      <c r="I491" s="194"/>
      <c r="J491" s="194"/>
      <c r="L491" s="194"/>
      <c r="M491" s="194"/>
    </row>
    <row r="492" ht="22.5" customHeight="1">
      <c r="C492" s="193"/>
      <c r="G492" s="193"/>
      <c r="H492" s="194"/>
      <c r="I492" s="194"/>
      <c r="J492" s="194"/>
      <c r="L492" s="194"/>
      <c r="M492" s="194"/>
    </row>
    <row r="493" ht="22.5" customHeight="1">
      <c r="C493" s="193"/>
      <c r="G493" s="193"/>
      <c r="H493" s="194"/>
      <c r="I493" s="194"/>
      <c r="J493" s="194"/>
      <c r="L493" s="194"/>
      <c r="M493" s="194"/>
    </row>
    <row r="494" ht="22.5" customHeight="1">
      <c r="C494" s="193"/>
      <c r="G494" s="193"/>
      <c r="H494" s="194"/>
      <c r="I494" s="194"/>
      <c r="J494" s="194"/>
      <c r="L494" s="194"/>
      <c r="M494" s="194"/>
    </row>
    <row r="495" ht="22.5" customHeight="1">
      <c r="C495" s="193"/>
      <c r="G495" s="193"/>
      <c r="H495" s="194"/>
      <c r="I495" s="194"/>
      <c r="J495" s="194"/>
      <c r="L495" s="194"/>
      <c r="M495" s="194"/>
    </row>
    <row r="496" ht="22.5" customHeight="1">
      <c r="C496" s="193"/>
      <c r="G496" s="193"/>
      <c r="H496" s="194"/>
      <c r="I496" s="194"/>
      <c r="J496" s="194"/>
      <c r="L496" s="194"/>
      <c r="M496" s="194"/>
    </row>
    <row r="497" ht="22.5" customHeight="1">
      <c r="C497" s="193"/>
      <c r="G497" s="193"/>
      <c r="H497" s="194"/>
      <c r="I497" s="194"/>
      <c r="J497" s="194"/>
      <c r="L497" s="194"/>
      <c r="M497" s="194"/>
    </row>
    <row r="498" ht="22.5" customHeight="1">
      <c r="C498" s="193"/>
      <c r="G498" s="193"/>
      <c r="H498" s="194"/>
      <c r="I498" s="194"/>
      <c r="J498" s="194"/>
      <c r="L498" s="194"/>
      <c r="M498" s="194"/>
    </row>
    <row r="499" ht="22.5" customHeight="1">
      <c r="C499" s="193"/>
      <c r="G499" s="193"/>
      <c r="H499" s="194"/>
      <c r="I499" s="194"/>
      <c r="J499" s="194"/>
      <c r="L499" s="194"/>
      <c r="M499" s="194"/>
    </row>
    <row r="500" ht="22.5" customHeight="1">
      <c r="C500" s="193"/>
      <c r="G500" s="193"/>
      <c r="H500" s="194"/>
      <c r="I500" s="194"/>
      <c r="J500" s="194"/>
      <c r="L500" s="194"/>
      <c r="M500" s="194"/>
    </row>
    <row r="501" ht="22.5" customHeight="1">
      <c r="C501" s="193"/>
      <c r="G501" s="193"/>
      <c r="H501" s="194"/>
      <c r="I501" s="194"/>
      <c r="J501" s="194"/>
      <c r="L501" s="194"/>
      <c r="M501" s="194"/>
    </row>
    <row r="502" ht="22.5" customHeight="1">
      <c r="C502" s="193"/>
      <c r="G502" s="193"/>
      <c r="H502" s="194"/>
      <c r="I502" s="194"/>
      <c r="J502" s="194"/>
      <c r="L502" s="194"/>
      <c r="M502" s="194"/>
    </row>
    <row r="503" ht="22.5" customHeight="1">
      <c r="C503" s="193"/>
      <c r="G503" s="193"/>
      <c r="H503" s="194"/>
      <c r="I503" s="194"/>
      <c r="J503" s="194"/>
      <c r="L503" s="194"/>
      <c r="M503" s="194"/>
    </row>
    <row r="504" ht="22.5" customHeight="1">
      <c r="C504" s="193"/>
      <c r="G504" s="193"/>
      <c r="H504" s="194"/>
      <c r="I504" s="194"/>
      <c r="J504" s="194"/>
      <c r="L504" s="194"/>
      <c r="M504" s="194"/>
    </row>
    <row r="505" ht="22.5" customHeight="1">
      <c r="C505" s="193"/>
      <c r="G505" s="193"/>
      <c r="H505" s="194"/>
      <c r="I505" s="194"/>
      <c r="J505" s="194"/>
      <c r="L505" s="194"/>
      <c r="M505" s="194"/>
    </row>
    <row r="506" ht="22.5" customHeight="1">
      <c r="C506" s="193"/>
      <c r="G506" s="193"/>
      <c r="H506" s="194"/>
      <c r="I506" s="194"/>
      <c r="J506" s="194"/>
      <c r="L506" s="194"/>
      <c r="M506" s="194"/>
    </row>
    <row r="507" ht="22.5" customHeight="1">
      <c r="C507" s="193"/>
      <c r="G507" s="193"/>
      <c r="H507" s="194"/>
      <c r="I507" s="194"/>
      <c r="J507" s="194"/>
      <c r="L507" s="194"/>
      <c r="M507" s="194"/>
    </row>
    <row r="508" ht="22.5" customHeight="1">
      <c r="C508" s="193"/>
      <c r="G508" s="193"/>
      <c r="H508" s="194"/>
      <c r="I508" s="194"/>
      <c r="J508" s="194"/>
      <c r="L508" s="194"/>
      <c r="M508" s="194"/>
    </row>
    <row r="509" ht="22.5" customHeight="1">
      <c r="C509" s="193"/>
      <c r="G509" s="193"/>
      <c r="H509" s="194"/>
      <c r="I509" s="194"/>
      <c r="J509" s="194"/>
      <c r="L509" s="194"/>
      <c r="M509" s="194"/>
    </row>
    <row r="510" ht="22.5" customHeight="1">
      <c r="C510" s="193"/>
      <c r="G510" s="193"/>
      <c r="H510" s="194"/>
      <c r="I510" s="194"/>
      <c r="J510" s="194"/>
      <c r="L510" s="194"/>
      <c r="M510" s="194"/>
    </row>
    <row r="511" ht="22.5" customHeight="1">
      <c r="C511" s="193"/>
      <c r="G511" s="193"/>
      <c r="H511" s="194"/>
      <c r="I511" s="194"/>
      <c r="J511" s="194"/>
      <c r="L511" s="194"/>
      <c r="M511" s="194"/>
    </row>
    <row r="512" ht="22.5" customHeight="1">
      <c r="C512" s="193"/>
      <c r="G512" s="193"/>
      <c r="H512" s="194"/>
      <c r="I512" s="194"/>
      <c r="J512" s="194"/>
      <c r="L512" s="194"/>
      <c r="M512" s="194"/>
    </row>
    <row r="513" ht="22.5" customHeight="1">
      <c r="C513" s="193"/>
      <c r="G513" s="193"/>
      <c r="H513" s="194"/>
      <c r="I513" s="194"/>
      <c r="J513" s="194"/>
      <c r="L513" s="194"/>
      <c r="M513" s="194"/>
    </row>
    <row r="514" ht="22.5" customHeight="1">
      <c r="C514" s="193"/>
      <c r="G514" s="193"/>
      <c r="H514" s="194"/>
      <c r="I514" s="194"/>
      <c r="J514" s="194"/>
      <c r="L514" s="194"/>
      <c r="M514" s="194"/>
    </row>
    <row r="515" ht="22.5" customHeight="1">
      <c r="C515" s="193"/>
      <c r="G515" s="193"/>
      <c r="H515" s="194"/>
      <c r="I515" s="194"/>
      <c r="J515" s="194"/>
      <c r="L515" s="194"/>
      <c r="M515" s="194"/>
    </row>
    <row r="516" ht="22.5" customHeight="1">
      <c r="C516" s="193"/>
      <c r="G516" s="193"/>
      <c r="H516" s="194"/>
      <c r="I516" s="194"/>
      <c r="J516" s="194"/>
      <c r="L516" s="194"/>
      <c r="M516" s="194"/>
    </row>
    <row r="517" ht="22.5" customHeight="1">
      <c r="C517" s="193"/>
      <c r="G517" s="193"/>
      <c r="H517" s="194"/>
      <c r="I517" s="194"/>
      <c r="J517" s="194"/>
      <c r="L517" s="194"/>
      <c r="M517" s="194"/>
    </row>
    <row r="518" ht="22.5" customHeight="1">
      <c r="C518" s="193"/>
      <c r="G518" s="193"/>
      <c r="H518" s="194"/>
      <c r="I518" s="194"/>
      <c r="J518" s="194"/>
      <c r="L518" s="194"/>
      <c r="M518" s="194"/>
    </row>
    <row r="519" ht="22.5" customHeight="1">
      <c r="C519" s="193"/>
      <c r="G519" s="193"/>
      <c r="H519" s="194"/>
      <c r="I519" s="194"/>
      <c r="J519" s="194"/>
      <c r="L519" s="194"/>
      <c r="M519" s="194"/>
    </row>
    <row r="520" ht="22.5" customHeight="1">
      <c r="C520" s="193"/>
      <c r="G520" s="193"/>
      <c r="H520" s="194"/>
      <c r="I520" s="194"/>
      <c r="J520" s="194"/>
      <c r="L520" s="194"/>
      <c r="M520" s="194"/>
    </row>
    <row r="521" ht="22.5" customHeight="1">
      <c r="C521" s="193"/>
      <c r="G521" s="193"/>
      <c r="H521" s="194"/>
      <c r="I521" s="194"/>
      <c r="J521" s="194"/>
      <c r="L521" s="194"/>
      <c r="M521" s="194"/>
    </row>
    <row r="522" ht="22.5" customHeight="1">
      <c r="C522" s="193"/>
      <c r="G522" s="193"/>
      <c r="H522" s="194"/>
      <c r="I522" s="194"/>
      <c r="J522" s="194"/>
      <c r="L522" s="194"/>
      <c r="M522" s="194"/>
    </row>
    <row r="523" ht="22.5" customHeight="1">
      <c r="C523" s="193"/>
      <c r="G523" s="193"/>
      <c r="H523" s="194"/>
      <c r="I523" s="194"/>
      <c r="J523" s="194"/>
      <c r="L523" s="194"/>
      <c r="M523" s="194"/>
    </row>
    <row r="524" ht="22.5" customHeight="1">
      <c r="C524" s="193"/>
      <c r="G524" s="193"/>
      <c r="H524" s="194"/>
      <c r="I524" s="194"/>
      <c r="J524" s="194"/>
      <c r="L524" s="194"/>
      <c r="M524" s="194"/>
    </row>
    <row r="525" ht="22.5" customHeight="1">
      <c r="C525" s="193"/>
      <c r="G525" s="193"/>
      <c r="H525" s="194"/>
      <c r="I525" s="194"/>
      <c r="J525" s="194"/>
      <c r="L525" s="194"/>
      <c r="M525" s="194"/>
    </row>
    <row r="526" ht="22.5" customHeight="1">
      <c r="C526" s="193"/>
      <c r="G526" s="193"/>
      <c r="H526" s="194"/>
      <c r="I526" s="194"/>
      <c r="J526" s="194"/>
      <c r="L526" s="194"/>
      <c r="M526" s="194"/>
    </row>
    <row r="527" ht="22.5" customHeight="1">
      <c r="C527" s="193"/>
      <c r="G527" s="193"/>
      <c r="H527" s="194"/>
      <c r="I527" s="194"/>
      <c r="J527" s="194"/>
      <c r="L527" s="194"/>
      <c r="M527" s="194"/>
    </row>
    <row r="528" ht="22.5" customHeight="1">
      <c r="C528" s="193"/>
      <c r="G528" s="193"/>
      <c r="H528" s="194"/>
      <c r="I528" s="194"/>
      <c r="J528" s="194"/>
      <c r="L528" s="194"/>
      <c r="M528" s="194"/>
    </row>
    <row r="529" ht="22.5" customHeight="1">
      <c r="C529" s="193"/>
      <c r="G529" s="193"/>
      <c r="H529" s="194"/>
      <c r="I529" s="194"/>
      <c r="J529" s="194"/>
      <c r="L529" s="194"/>
      <c r="M529" s="194"/>
    </row>
    <row r="530" ht="22.5" customHeight="1">
      <c r="C530" s="193"/>
      <c r="G530" s="193"/>
      <c r="H530" s="194"/>
      <c r="I530" s="194"/>
      <c r="J530" s="194"/>
      <c r="L530" s="194"/>
      <c r="M530" s="194"/>
    </row>
    <row r="531" ht="22.5" customHeight="1">
      <c r="C531" s="193"/>
      <c r="G531" s="193"/>
      <c r="H531" s="194"/>
      <c r="I531" s="194"/>
      <c r="J531" s="194"/>
      <c r="L531" s="194"/>
      <c r="M531" s="194"/>
    </row>
    <row r="532" ht="22.5" customHeight="1">
      <c r="C532" s="193"/>
      <c r="G532" s="193"/>
      <c r="H532" s="194"/>
      <c r="I532" s="194"/>
      <c r="J532" s="194"/>
      <c r="L532" s="194"/>
      <c r="M532" s="194"/>
    </row>
    <row r="533" ht="22.5" customHeight="1">
      <c r="C533" s="193"/>
      <c r="G533" s="193"/>
      <c r="H533" s="194"/>
      <c r="I533" s="194"/>
      <c r="J533" s="194"/>
      <c r="L533" s="194"/>
      <c r="M533" s="194"/>
    </row>
    <row r="534" ht="22.5" customHeight="1">
      <c r="C534" s="193"/>
      <c r="G534" s="193"/>
      <c r="H534" s="194"/>
      <c r="I534" s="194"/>
      <c r="J534" s="194"/>
      <c r="L534" s="194"/>
      <c r="M534" s="194"/>
    </row>
    <row r="535" ht="22.5" customHeight="1">
      <c r="C535" s="193"/>
      <c r="G535" s="193"/>
      <c r="H535" s="194"/>
      <c r="I535" s="194"/>
      <c r="J535" s="194"/>
      <c r="L535" s="194"/>
      <c r="M535" s="194"/>
    </row>
    <row r="536" ht="22.5" customHeight="1">
      <c r="C536" s="193"/>
      <c r="G536" s="193"/>
      <c r="H536" s="194"/>
      <c r="I536" s="194"/>
      <c r="J536" s="194"/>
      <c r="L536" s="194"/>
      <c r="M536" s="194"/>
    </row>
    <row r="537" ht="22.5" customHeight="1">
      <c r="C537" s="193"/>
      <c r="G537" s="193"/>
      <c r="H537" s="194"/>
      <c r="I537" s="194"/>
      <c r="J537" s="194"/>
      <c r="L537" s="194"/>
      <c r="M537" s="194"/>
    </row>
    <row r="538" ht="22.5" customHeight="1">
      <c r="C538" s="193"/>
      <c r="G538" s="193"/>
      <c r="H538" s="194"/>
      <c r="I538" s="194"/>
      <c r="J538" s="194"/>
      <c r="L538" s="194"/>
      <c r="M538" s="194"/>
    </row>
    <row r="539" ht="22.5" customHeight="1">
      <c r="C539" s="193"/>
      <c r="G539" s="193"/>
      <c r="H539" s="194"/>
      <c r="I539" s="194"/>
      <c r="J539" s="194"/>
      <c r="L539" s="194"/>
      <c r="M539" s="194"/>
    </row>
    <row r="540" ht="22.5" customHeight="1">
      <c r="C540" s="193"/>
      <c r="G540" s="193"/>
      <c r="H540" s="194"/>
      <c r="I540" s="194"/>
      <c r="J540" s="194"/>
      <c r="L540" s="194"/>
      <c r="M540" s="194"/>
    </row>
    <row r="541" ht="22.5" customHeight="1">
      <c r="C541" s="193"/>
      <c r="G541" s="193"/>
      <c r="H541" s="194"/>
      <c r="I541" s="194"/>
      <c r="J541" s="194"/>
      <c r="L541" s="194"/>
      <c r="M541" s="194"/>
    </row>
    <row r="542" ht="22.5" customHeight="1">
      <c r="C542" s="193"/>
      <c r="G542" s="193"/>
      <c r="H542" s="194"/>
      <c r="I542" s="194"/>
      <c r="J542" s="194"/>
      <c r="L542" s="194"/>
      <c r="M542" s="194"/>
    </row>
    <row r="543" ht="22.5" customHeight="1">
      <c r="C543" s="193"/>
      <c r="G543" s="193"/>
      <c r="H543" s="194"/>
      <c r="I543" s="194"/>
      <c r="J543" s="194"/>
      <c r="L543" s="194"/>
      <c r="M543" s="194"/>
    </row>
    <row r="544" ht="22.5" customHeight="1">
      <c r="C544" s="193"/>
      <c r="G544" s="193"/>
      <c r="H544" s="194"/>
      <c r="I544" s="194"/>
      <c r="J544" s="194"/>
      <c r="L544" s="194"/>
      <c r="M544" s="194"/>
    </row>
    <row r="545" ht="22.5" customHeight="1">
      <c r="C545" s="193"/>
      <c r="G545" s="193"/>
      <c r="H545" s="194"/>
      <c r="I545" s="194"/>
      <c r="J545" s="194"/>
      <c r="L545" s="194"/>
      <c r="M545" s="194"/>
    </row>
    <row r="546" ht="22.5" customHeight="1">
      <c r="C546" s="193"/>
      <c r="G546" s="193"/>
      <c r="H546" s="194"/>
      <c r="I546" s="194"/>
      <c r="J546" s="194"/>
      <c r="L546" s="194"/>
      <c r="M546" s="194"/>
    </row>
    <row r="547" ht="22.5" customHeight="1">
      <c r="C547" s="193"/>
      <c r="G547" s="193"/>
      <c r="H547" s="194"/>
      <c r="I547" s="194"/>
      <c r="J547" s="194"/>
      <c r="L547" s="194"/>
      <c r="M547" s="194"/>
    </row>
    <row r="548" ht="22.5" customHeight="1">
      <c r="C548" s="193"/>
      <c r="G548" s="193"/>
      <c r="H548" s="194"/>
      <c r="I548" s="194"/>
      <c r="J548" s="194"/>
      <c r="L548" s="194"/>
      <c r="M548" s="194"/>
    </row>
    <row r="549" ht="22.5" customHeight="1">
      <c r="C549" s="193"/>
      <c r="G549" s="193"/>
      <c r="H549" s="194"/>
      <c r="I549" s="194"/>
      <c r="J549" s="194"/>
      <c r="L549" s="194"/>
      <c r="M549" s="194"/>
    </row>
    <row r="550" ht="22.5" customHeight="1">
      <c r="C550" s="193"/>
      <c r="G550" s="193"/>
      <c r="H550" s="194"/>
      <c r="I550" s="194"/>
      <c r="J550" s="194"/>
      <c r="L550" s="194"/>
      <c r="M550" s="194"/>
    </row>
    <row r="551" ht="22.5" customHeight="1">
      <c r="C551" s="193"/>
      <c r="G551" s="193"/>
      <c r="H551" s="194"/>
      <c r="I551" s="194"/>
      <c r="J551" s="194"/>
      <c r="L551" s="194"/>
      <c r="M551" s="194"/>
    </row>
    <row r="552" ht="22.5" customHeight="1">
      <c r="C552" s="193"/>
      <c r="G552" s="193"/>
      <c r="H552" s="194"/>
      <c r="I552" s="194"/>
      <c r="J552" s="194"/>
      <c r="L552" s="194"/>
      <c r="M552" s="194"/>
    </row>
    <row r="553" ht="22.5" customHeight="1">
      <c r="C553" s="193"/>
      <c r="G553" s="193"/>
      <c r="H553" s="194"/>
      <c r="I553" s="194"/>
      <c r="J553" s="194"/>
      <c r="L553" s="194"/>
      <c r="M553" s="194"/>
    </row>
    <row r="554" ht="22.5" customHeight="1">
      <c r="C554" s="193"/>
      <c r="G554" s="193"/>
      <c r="H554" s="194"/>
      <c r="I554" s="194"/>
      <c r="J554" s="194"/>
      <c r="L554" s="194"/>
      <c r="M554" s="194"/>
    </row>
    <row r="555" ht="22.5" customHeight="1">
      <c r="C555" s="193"/>
      <c r="G555" s="193"/>
      <c r="H555" s="194"/>
      <c r="I555" s="194"/>
      <c r="J555" s="194"/>
      <c r="L555" s="194"/>
      <c r="M555" s="194"/>
    </row>
    <row r="556" ht="22.5" customHeight="1">
      <c r="C556" s="193"/>
      <c r="G556" s="193"/>
      <c r="H556" s="194"/>
      <c r="I556" s="194"/>
      <c r="J556" s="194"/>
      <c r="L556" s="194"/>
      <c r="M556" s="194"/>
    </row>
    <row r="557" ht="22.5" customHeight="1">
      <c r="C557" s="193"/>
      <c r="G557" s="193"/>
      <c r="H557" s="194"/>
      <c r="I557" s="194"/>
      <c r="J557" s="194"/>
      <c r="L557" s="194"/>
      <c r="M557" s="194"/>
    </row>
    <row r="558" ht="22.5" customHeight="1">
      <c r="C558" s="193"/>
      <c r="G558" s="193"/>
      <c r="H558" s="194"/>
      <c r="I558" s="194"/>
      <c r="J558" s="194"/>
      <c r="L558" s="194"/>
      <c r="M558" s="194"/>
    </row>
    <row r="559" ht="22.5" customHeight="1">
      <c r="C559" s="193"/>
      <c r="G559" s="193"/>
      <c r="H559" s="194"/>
      <c r="I559" s="194"/>
      <c r="J559" s="194"/>
      <c r="L559" s="194"/>
      <c r="M559" s="194"/>
    </row>
    <row r="560" ht="22.5" customHeight="1">
      <c r="C560" s="193"/>
      <c r="G560" s="193"/>
      <c r="H560" s="194"/>
      <c r="I560" s="194"/>
      <c r="J560" s="194"/>
      <c r="L560" s="194"/>
      <c r="M560" s="194"/>
    </row>
    <row r="561" ht="22.5" customHeight="1">
      <c r="C561" s="193"/>
      <c r="G561" s="193"/>
      <c r="H561" s="194"/>
      <c r="I561" s="194"/>
      <c r="J561" s="194"/>
      <c r="L561" s="194"/>
      <c r="M561" s="194"/>
    </row>
    <row r="562" ht="22.5" customHeight="1">
      <c r="C562" s="193"/>
      <c r="G562" s="193"/>
      <c r="H562" s="194"/>
      <c r="I562" s="194"/>
      <c r="J562" s="194"/>
      <c r="L562" s="194"/>
      <c r="M562" s="194"/>
    </row>
    <row r="563" ht="22.5" customHeight="1">
      <c r="C563" s="193"/>
      <c r="G563" s="193"/>
      <c r="H563" s="194"/>
      <c r="I563" s="194"/>
      <c r="J563" s="194"/>
      <c r="L563" s="194"/>
      <c r="M563" s="194"/>
    </row>
    <row r="564" ht="22.5" customHeight="1">
      <c r="C564" s="193"/>
      <c r="G564" s="193"/>
      <c r="H564" s="194"/>
      <c r="I564" s="194"/>
      <c r="J564" s="194"/>
      <c r="L564" s="194"/>
      <c r="M564" s="194"/>
    </row>
    <row r="565" ht="22.5" customHeight="1">
      <c r="C565" s="193"/>
      <c r="G565" s="193"/>
      <c r="H565" s="194"/>
      <c r="I565" s="194"/>
      <c r="J565" s="194"/>
      <c r="L565" s="194"/>
      <c r="M565" s="194"/>
    </row>
    <row r="566" ht="22.5" customHeight="1">
      <c r="C566" s="193"/>
      <c r="G566" s="193"/>
      <c r="H566" s="194"/>
      <c r="I566" s="194"/>
      <c r="J566" s="194"/>
      <c r="L566" s="194"/>
      <c r="M566" s="194"/>
    </row>
    <row r="567" ht="22.5" customHeight="1">
      <c r="C567" s="193"/>
      <c r="G567" s="193"/>
      <c r="H567" s="194"/>
      <c r="I567" s="194"/>
      <c r="J567" s="194"/>
      <c r="L567" s="194"/>
      <c r="M567" s="194"/>
    </row>
    <row r="568" ht="22.5" customHeight="1">
      <c r="C568" s="193"/>
      <c r="G568" s="193"/>
      <c r="H568" s="194"/>
      <c r="I568" s="194"/>
      <c r="J568" s="194"/>
      <c r="L568" s="194"/>
      <c r="M568" s="194"/>
    </row>
    <row r="569" ht="22.5" customHeight="1">
      <c r="C569" s="193"/>
      <c r="G569" s="193"/>
      <c r="H569" s="194"/>
      <c r="I569" s="194"/>
      <c r="J569" s="194"/>
      <c r="L569" s="194"/>
      <c r="M569" s="194"/>
    </row>
    <row r="570" ht="22.5" customHeight="1">
      <c r="C570" s="193"/>
      <c r="G570" s="193"/>
      <c r="H570" s="194"/>
      <c r="I570" s="194"/>
      <c r="J570" s="194"/>
      <c r="L570" s="194"/>
      <c r="M570" s="194"/>
    </row>
    <row r="571" ht="22.5" customHeight="1">
      <c r="C571" s="193"/>
      <c r="G571" s="193"/>
      <c r="H571" s="194"/>
      <c r="I571" s="194"/>
      <c r="J571" s="194"/>
      <c r="L571" s="194"/>
      <c r="M571" s="194"/>
    </row>
    <row r="572" ht="22.5" customHeight="1">
      <c r="C572" s="193"/>
      <c r="G572" s="193"/>
      <c r="H572" s="194"/>
      <c r="I572" s="194"/>
      <c r="J572" s="194"/>
      <c r="L572" s="194"/>
      <c r="M572" s="194"/>
    </row>
    <row r="573" ht="22.5" customHeight="1">
      <c r="C573" s="193"/>
      <c r="G573" s="193"/>
      <c r="H573" s="194"/>
      <c r="I573" s="194"/>
      <c r="J573" s="194"/>
      <c r="L573" s="194"/>
      <c r="M573" s="194"/>
    </row>
    <row r="574" ht="22.5" customHeight="1">
      <c r="C574" s="193"/>
      <c r="G574" s="193"/>
      <c r="H574" s="194"/>
      <c r="I574" s="194"/>
      <c r="J574" s="194"/>
      <c r="L574" s="194"/>
      <c r="M574" s="194"/>
    </row>
    <row r="575" ht="22.5" customHeight="1">
      <c r="C575" s="193"/>
      <c r="G575" s="193"/>
      <c r="H575" s="194"/>
      <c r="I575" s="194"/>
      <c r="J575" s="194"/>
      <c r="L575" s="194"/>
      <c r="M575" s="194"/>
    </row>
    <row r="576" ht="22.5" customHeight="1">
      <c r="C576" s="193"/>
      <c r="G576" s="193"/>
      <c r="H576" s="194"/>
      <c r="I576" s="194"/>
      <c r="J576" s="194"/>
      <c r="L576" s="194"/>
      <c r="M576" s="194"/>
    </row>
    <row r="577" ht="22.5" customHeight="1">
      <c r="C577" s="193"/>
      <c r="G577" s="193"/>
      <c r="H577" s="194"/>
      <c r="I577" s="194"/>
      <c r="J577" s="194"/>
      <c r="L577" s="194"/>
      <c r="M577" s="194"/>
    </row>
    <row r="578" ht="22.5" customHeight="1">
      <c r="C578" s="193"/>
      <c r="G578" s="193"/>
      <c r="H578" s="194"/>
      <c r="I578" s="194"/>
      <c r="J578" s="194"/>
      <c r="L578" s="194"/>
      <c r="M578" s="194"/>
    </row>
    <row r="579" ht="22.5" customHeight="1">
      <c r="C579" s="193"/>
      <c r="G579" s="193"/>
      <c r="H579" s="194"/>
      <c r="I579" s="194"/>
      <c r="J579" s="194"/>
      <c r="L579" s="194"/>
      <c r="M579" s="194"/>
    </row>
    <row r="580" ht="22.5" customHeight="1">
      <c r="C580" s="193"/>
      <c r="G580" s="193"/>
      <c r="H580" s="194"/>
      <c r="I580" s="194"/>
      <c r="J580" s="194"/>
      <c r="L580" s="194"/>
      <c r="M580" s="194"/>
    </row>
    <row r="581" ht="22.5" customHeight="1">
      <c r="C581" s="193"/>
      <c r="G581" s="193"/>
      <c r="H581" s="194"/>
      <c r="I581" s="194"/>
      <c r="J581" s="194"/>
      <c r="L581" s="194"/>
      <c r="M581" s="194"/>
    </row>
    <row r="582" ht="22.5" customHeight="1">
      <c r="C582" s="193"/>
      <c r="G582" s="193"/>
      <c r="H582" s="194"/>
      <c r="I582" s="194"/>
      <c r="J582" s="194"/>
      <c r="L582" s="194"/>
      <c r="M582" s="194"/>
    </row>
    <row r="583" ht="22.5" customHeight="1">
      <c r="C583" s="193"/>
      <c r="G583" s="193"/>
      <c r="H583" s="194"/>
      <c r="I583" s="194"/>
      <c r="J583" s="194"/>
      <c r="L583" s="194"/>
      <c r="M583" s="194"/>
    </row>
    <row r="584" ht="22.5" customHeight="1">
      <c r="C584" s="193"/>
      <c r="G584" s="193"/>
      <c r="H584" s="194"/>
      <c r="I584" s="194"/>
      <c r="J584" s="194"/>
      <c r="L584" s="194"/>
      <c r="M584" s="194"/>
    </row>
    <row r="585" ht="22.5" customHeight="1">
      <c r="C585" s="193"/>
      <c r="G585" s="193"/>
      <c r="H585" s="194"/>
      <c r="I585" s="194"/>
      <c r="J585" s="194"/>
      <c r="L585" s="194"/>
      <c r="M585" s="194"/>
    </row>
    <row r="586" ht="22.5" customHeight="1">
      <c r="C586" s="193"/>
      <c r="G586" s="193"/>
      <c r="H586" s="194"/>
      <c r="I586" s="194"/>
      <c r="J586" s="194"/>
      <c r="L586" s="194"/>
      <c r="M586" s="194"/>
    </row>
    <row r="587" ht="22.5" customHeight="1">
      <c r="C587" s="193"/>
      <c r="G587" s="193"/>
      <c r="H587" s="194"/>
      <c r="I587" s="194"/>
      <c r="J587" s="194"/>
      <c r="L587" s="194"/>
      <c r="M587" s="194"/>
    </row>
    <row r="588" ht="22.5" customHeight="1">
      <c r="C588" s="193"/>
      <c r="G588" s="193"/>
      <c r="H588" s="194"/>
      <c r="I588" s="194"/>
      <c r="J588" s="194"/>
      <c r="L588" s="194"/>
      <c r="M588" s="194"/>
    </row>
    <row r="589" ht="22.5" customHeight="1">
      <c r="C589" s="193"/>
      <c r="G589" s="193"/>
      <c r="H589" s="194"/>
      <c r="I589" s="194"/>
      <c r="J589" s="194"/>
      <c r="L589" s="194"/>
      <c r="M589" s="194"/>
    </row>
    <row r="590" ht="22.5" customHeight="1">
      <c r="C590" s="193"/>
      <c r="G590" s="193"/>
      <c r="H590" s="194"/>
      <c r="I590" s="194"/>
      <c r="J590" s="194"/>
      <c r="L590" s="194"/>
      <c r="M590" s="194"/>
    </row>
    <row r="591" ht="22.5" customHeight="1">
      <c r="C591" s="193"/>
      <c r="G591" s="193"/>
      <c r="H591" s="194"/>
      <c r="I591" s="194"/>
      <c r="J591" s="194"/>
      <c r="L591" s="194"/>
      <c r="M591" s="194"/>
    </row>
    <row r="592" ht="22.5" customHeight="1">
      <c r="C592" s="193"/>
      <c r="G592" s="193"/>
      <c r="H592" s="194"/>
      <c r="I592" s="194"/>
      <c r="J592" s="194"/>
      <c r="L592" s="194"/>
      <c r="M592" s="194"/>
    </row>
    <row r="593" ht="22.5" customHeight="1">
      <c r="C593" s="193"/>
      <c r="G593" s="193"/>
      <c r="H593" s="194"/>
      <c r="I593" s="194"/>
      <c r="J593" s="194"/>
      <c r="L593" s="194"/>
      <c r="M593" s="194"/>
    </row>
    <row r="594" ht="22.5" customHeight="1">
      <c r="C594" s="193"/>
      <c r="G594" s="193"/>
      <c r="H594" s="194"/>
      <c r="I594" s="194"/>
      <c r="J594" s="194"/>
      <c r="L594" s="194"/>
      <c r="M594" s="194"/>
    </row>
    <row r="595" ht="22.5" customHeight="1">
      <c r="C595" s="193"/>
      <c r="G595" s="193"/>
      <c r="H595" s="194"/>
      <c r="I595" s="194"/>
      <c r="J595" s="194"/>
      <c r="L595" s="194"/>
      <c r="M595" s="194"/>
    </row>
    <row r="596" ht="22.5" customHeight="1">
      <c r="C596" s="193"/>
      <c r="G596" s="193"/>
      <c r="H596" s="194"/>
      <c r="I596" s="194"/>
      <c r="J596" s="194"/>
      <c r="L596" s="194"/>
      <c r="M596" s="194"/>
    </row>
    <row r="597" ht="22.5" customHeight="1">
      <c r="C597" s="193"/>
      <c r="G597" s="193"/>
      <c r="H597" s="194"/>
      <c r="I597" s="194"/>
      <c r="J597" s="194"/>
      <c r="L597" s="194"/>
      <c r="M597" s="194"/>
    </row>
    <row r="598" ht="22.5" customHeight="1">
      <c r="C598" s="193"/>
      <c r="G598" s="193"/>
      <c r="H598" s="194"/>
      <c r="I598" s="194"/>
      <c r="J598" s="194"/>
      <c r="L598" s="194"/>
      <c r="M598" s="194"/>
    </row>
    <row r="599" ht="22.5" customHeight="1">
      <c r="C599" s="193"/>
      <c r="G599" s="193"/>
      <c r="H599" s="194"/>
      <c r="I599" s="194"/>
      <c r="J599" s="194"/>
      <c r="L599" s="194"/>
      <c r="M599" s="194"/>
    </row>
    <row r="600" ht="22.5" customHeight="1">
      <c r="C600" s="193"/>
      <c r="G600" s="193"/>
      <c r="H600" s="194"/>
      <c r="I600" s="194"/>
      <c r="J600" s="194"/>
      <c r="L600" s="194"/>
      <c r="M600" s="194"/>
    </row>
    <row r="601" ht="22.5" customHeight="1">
      <c r="C601" s="193"/>
      <c r="G601" s="193"/>
      <c r="H601" s="194"/>
      <c r="I601" s="194"/>
      <c r="J601" s="194"/>
      <c r="L601" s="194"/>
      <c r="M601" s="194"/>
    </row>
    <row r="602" ht="22.5" customHeight="1">
      <c r="C602" s="193"/>
      <c r="G602" s="193"/>
      <c r="H602" s="194"/>
      <c r="I602" s="194"/>
      <c r="J602" s="194"/>
      <c r="L602" s="194"/>
      <c r="M602" s="194"/>
    </row>
    <row r="603" ht="22.5" customHeight="1">
      <c r="C603" s="193"/>
      <c r="G603" s="193"/>
      <c r="H603" s="194"/>
      <c r="I603" s="194"/>
      <c r="J603" s="194"/>
      <c r="L603" s="194"/>
      <c r="M603" s="194"/>
    </row>
    <row r="604" ht="22.5" customHeight="1">
      <c r="C604" s="193"/>
      <c r="G604" s="193"/>
      <c r="H604" s="194"/>
      <c r="I604" s="194"/>
      <c r="J604" s="194"/>
      <c r="L604" s="194"/>
      <c r="M604" s="194"/>
    </row>
    <row r="605" ht="22.5" customHeight="1">
      <c r="C605" s="193"/>
      <c r="G605" s="193"/>
      <c r="H605" s="194"/>
      <c r="I605" s="194"/>
      <c r="J605" s="194"/>
      <c r="L605" s="194"/>
      <c r="M605" s="194"/>
    </row>
    <row r="606" ht="22.5" customHeight="1">
      <c r="C606" s="193"/>
      <c r="G606" s="193"/>
      <c r="H606" s="194"/>
      <c r="I606" s="194"/>
      <c r="J606" s="194"/>
      <c r="L606" s="194"/>
      <c r="M606" s="194"/>
    </row>
    <row r="607" ht="22.5" customHeight="1">
      <c r="C607" s="193"/>
      <c r="G607" s="193"/>
      <c r="H607" s="194"/>
      <c r="I607" s="194"/>
      <c r="J607" s="194"/>
      <c r="L607" s="194"/>
      <c r="M607" s="194"/>
    </row>
    <row r="608" ht="22.5" customHeight="1">
      <c r="C608" s="193"/>
      <c r="G608" s="193"/>
      <c r="H608" s="194"/>
      <c r="I608" s="194"/>
      <c r="J608" s="194"/>
      <c r="L608" s="194"/>
      <c r="M608" s="194"/>
    </row>
    <row r="609" ht="22.5" customHeight="1">
      <c r="C609" s="193"/>
      <c r="G609" s="193"/>
      <c r="H609" s="194"/>
      <c r="I609" s="194"/>
      <c r="J609" s="194"/>
      <c r="L609" s="194"/>
      <c r="M609" s="194"/>
    </row>
    <row r="610" ht="22.5" customHeight="1">
      <c r="C610" s="193"/>
      <c r="G610" s="193"/>
      <c r="H610" s="194"/>
      <c r="I610" s="194"/>
      <c r="J610" s="194"/>
      <c r="L610" s="194"/>
      <c r="M610" s="194"/>
    </row>
    <row r="611" ht="22.5" customHeight="1">
      <c r="C611" s="193"/>
      <c r="G611" s="193"/>
      <c r="H611" s="194"/>
      <c r="I611" s="194"/>
      <c r="J611" s="194"/>
      <c r="L611" s="194"/>
      <c r="M611" s="194"/>
    </row>
    <row r="612" ht="22.5" customHeight="1">
      <c r="C612" s="193"/>
      <c r="G612" s="193"/>
      <c r="H612" s="194"/>
      <c r="I612" s="194"/>
      <c r="J612" s="194"/>
      <c r="L612" s="194"/>
      <c r="M612" s="194"/>
    </row>
    <row r="613" ht="22.5" customHeight="1">
      <c r="C613" s="193"/>
      <c r="G613" s="193"/>
      <c r="H613" s="194"/>
      <c r="I613" s="194"/>
      <c r="J613" s="194"/>
      <c r="L613" s="194"/>
      <c r="M613" s="194"/>
    </row>
    <row r="614" ht="22.5" customHeight="1">
      <c r="C614" s="193"/>
      <c r="G614" s="193"/>
      <c r="H614" s="194"/>
      <c r="I614" s="194"/>
      <c r="J614" s="194"/>
      <c r="L614" s="194"/>
      <c r="M614" s="194"/>
    </row>
    <row r="615" ht="22.5" customHeight="1">
      <c r="C615" s="193"/>
      <c r="G615" s="193"/>
      <c r="H615" s="194"/>
      <c r="I615" s="194"/>
      <c r="J615" s="194"/>
      <c r="L615" s="194"/>
      <c r="M615" s="194"/>
    </row>
    <row r="616" ht="22.5" customHeight="1">
      <c r="C616" s="193"/>
      <c r="G616" s="193"/>
      <c r="H616" s="194"/>
      <c r="I616" s="194"/>
      <c r="J616" s="194"/>
      <c r="L616" s="194"/>
      <c r="M616" s="194"/>
    </row>
    <row r="617" ht="22.5" customHeight="1">
      <c r="C617" s="193"/>
      <c r="G617" s="193"/>
      <c r="H617" s="194"/>
      <c r="I617" s="194"/>
      <c r="J617" s="194"/>
      <c r="L617" s="194"/>
      <c r="M617" s="194"/>
    </row>
    <row r="618" ht="22.5" customHeight="1">
      <c r="C618" s="193"/>
      <c r="G618" s="193"/>
      <c r="H618" s="194"/>
      <c r="I618" s="194"/>
      <c r="J618" s="194"/>
      <c r="L618" s="194"/>
      <c r="M618" s="194"/>
    </row>
    <row r="619" ht="22.5" customHeight="1">
      <c r="C619" s="193"/>
      <c r="G619" s="193"/>
      <c r="H619" s="194"/>
      <c r="I619" s="194"/>
      <c r="J619" s="194"/>
      <c r="L619" s="194"/>
      <c r="M619" s="194"/>
    </row>
    <row r="620" ht="22.5" customHeight="1">
      <c r="C620" s="193"/>
      <c r="G620" s="193"/>
      <c r="H620" s="194"/>
      <c r="I620" s="194"/>
      <c r="J620" s="194"/>
      <c r="L620" s="194"/>
      <c r="M620" s="194"/>
    </row>
    <row r="621" ht="22.5" customHeight="1">
      <c r="C621" s="193"/>
      <c r="G621" s="193"/>
      <c r="H621" s="194"/>
      <c r="I621" s="194"/>
      <c r="J621" s="194"/>
      <c r="L621" s="194"/>
      <c r="M621" s="194"/>
    </row>
    <row r="622" ht="22.5" customHeight="1">
      <c r="C622" s="193"/>
      <c r="G622" s="193"/>
      <c r="H622" s="194"/>
      <c r="I622" s="194"/>
      <c r="J622" s="194"/>
      <c r="L622" s="194"/>
      <c r="M622" s="194"/>
    </row>
    <row r="623" ht="22.5" customHeight="1">
      <c r="C623" s="193"/>
      <c r="G623" s="193"/>
      <c r="H623" s="194"/>
      <c r="I623" s="194"/>
      <c r="J623" s="194"/>
      <c r="L623" s="194"/>
      <c r="M623" s="194"/>
    </row>
    <row r="624" ht="22.5" customHeight="1">
      <c r="C624" s="193"/>
      <c r="G624" s="193"/>
      <c r="H624" s="194"/>
      <c r="I624" s="194"/>
      <c r="J624" s="194"/>
      <c r="L624" s="194"/>
      <c r="M624" s="194"/>
    </row>
    <row r="625" ht="22.5" customHeight="1">
      <c r="C625" s="193"/>
      <c r="G625" s="193"/>
      <c r="H625" s="194"/>
      <c r="I625" s="194"/>
      <c r="J625" s="194"/>
      <c r="L625" s="194"/>
      <c r="M625" s="194"/>
    </row>
    <row r="626" ht="22.5" customHeight="1">
      <c r="C626" s="193"/>
      <c r="G626" s="193"/>
      <c r="H626" s="194"/>
      <c r="I626" s="194"/>
      <c r="J626" s="194"/>
      <c r="L626" s="194"/>
      <c r="M626" s="194"/>
    </row>
    <row r="627" ht="22.5" customHeight="1">
      <c r="C627" s="193"/>
      <c r="G627" s="193"/>
      <c r="H627" s="194"/>
      <c r="I627" s="194"/>
      <c r="J627" s="194"/>
      <c r="L627" s="194"/>
      <c r="M627" s="194"/>
    </row>
    <row r="628" ht="22.5" customHeight="1">
      <c r="C628" s="193"/>
      <c r="G628" s="193"/>
      <c r="H628" s="194"/>
      <c r="I628" s="194"/>
      <c r="J628" s="194"/>
      <c r="L628" s="194"/>
      <c r="M628" s="194"/>
    </row>
    <row r="629" ht="22.5" customHeight="1">
      <c r="C629" s="193"/>
      <c r="G629" s="193"/>
      <c r="H629" s="194"/>
      <c r="I629" s="194"/>
      <c r="J629" s="194"/>
      <c r="L629" s="194"/>
      <c r="M629" s="194"/>
    </row>
    <row r="630" ht="22.5" customHeight="1">
      <c r="C630" s="193"/>
      <c r="G630" s="193"/>
      <c r="H630" s="194"/>
      <c r="I630" s="194"/>
      <c r="J630" s="194"/>
      <c r="L630" s="194"/>
      <c r="M630" s="194"/>
    </row>
    <row r="631" ht="22.5" customHeight="1">
      <c r="C631" s="193"/>
      <c r="G631" s="193"/>
      <c r="H631" s="194"/>
      <c r="I631" s="194"/>
      <c r="J631" s="194"/>
      <c r="L631" s="194"/>
      <c r="M631" s="194"/>
    </row>
    <row r="632" ht="22.5" customHeight="1">
      <c r="C632" s="193"/>
      <c r="G632" s="193"/>
      <c r="H632" s="194"/>
      <c r="I632" s="194"/>
      <c r="J632" s="194"/>
      <c r="L632" s="194"/>
      <c r="M632" s="194"/>
    </row>
    <row r="633" ht="22.5" customHeight="1">
      <c r="C633" s="193"/>
      <c r="G633" s="193"/>
      <c r="H633" s="194"/>
      <c r="I633" s="194"/>
      <c r="J633" s="194"/>
      <c r="L633" s="194"/>
      <c r="M633" s="194"/>
    </row>
    <row r="634" ht="22.5" customHeight="1">
      <c r="C634" s="193"/>
      <c r="G634" s="193"/>
      <c r="H634" s="194"/>
      <c r="I634" s="194"/>
      <c r="J634" s="194"/>
      <c r="L634" s="194"/>
      <c r="M634" s="194"/>
    </row>
    <row r="635" ht="22.5" customHeight="1">
      <c r="C635" s="193"/>
      <c r="G635" s="193"/>
      <c r="H635" s="194"/>
      <c r="I635" s="194"/>
      <c r="J635" s="194"/>
      <c r="L635" s="194"/>
      <c r="M635" s="194"/>
    </row>
    <row r="636" ht="22.5" customHeight="1">
      <c r="C636" s="193"/>
      <c r="G636" s="193"/>
      <c r="H636" s="194"/>
      <c r="I636" s="194"/>
      <c r="J636" s="194"/>
      <c r="L636" s="194"/>
      <c r="M636" s="194"/>
    </row>
    <row r="637" ht="22.5" customHeight="1">
      <c r="C637" s="193"/>
      <c r="G637" s="193"/>
      <c r="H637" s="194"/>
      <c r="I637" s="194"/>
      <c r="J637" s="194"/>
      <c r="L637" s="194"/>
      <c r="M637" s="194"/>
    </row>
    <row r="638" ht="22.5" customHeight="1">
      <c r="C638" s="193"/>
      <c r="G638" s="193"/>
      <c r="H638" s="194"/>
      <c r="I638" s="194"/>
      <c r="J638" s="194"/>
      <c r="L638" s="194"/>
      <c r="M638" s="194"/>
    </row>
    <row r="639" ht="22.5" customHeight="1">
      <c r="C639" s="193"/>
      <c r="G639" s="193"/>
      <c r="H639" s="194"/>
      <c r="I639" s="194"/>
      <c r="J639" s="194"/>
      <c r="L639" s="194"/>
      <c r="M639" s="194"/>
    </row>
    <row r="640" ht="22.5" customHeight="1">
      <c r="C640" s="193"/>
      <c r="G640" s="193"/>
      <c r="H640" s="194"/>
      <c r="I640" s="194"/>
      <c r="J640" s="194"/>
      <c r="L640" s="194"/>
      <c r="M640" s="194"/>
    </row>
    <row r="641" ht="22.5" customHeight="1">
      <c r="C641" s="193"/>
      <c r="G641" s="193"/>
      <c r="H641" s="194"/>
      <c r="I641" s="194"/>
      <c r="J641" s="194"/>
      <c r="L641" s="194"/>
      <c r="M641" s="194"/>
    </row>
    <row r="642" ht="22.5" customHeight="1">
      <c r="C642" s="193"/>
      <c r="G642" s="193"/>
      <c r="H642" s="194"/>
      <c r="I642" s="194"/>
      <c r="J642" s="194"/>
      <c r="L642" s="194"/>
      <c r="M642" s="194"/>
    </row>
    <row r="643" ht="22.5" customHeight="1">
      <c r="C643" s="193"/>
      <c r="G643" s="193"/>
      <c r="H643" s="194"/>
      <c r="I643" s="194"/>
      <c r="J643" s="194"/>
      <c r="L643" s="194"/>
      <c r="M643" s="194"/>
    </row>
    <row r="644" ht="22.5" customHeight="1">
      <c r="C644" s="193"/>
      <c r="G644" s="193"/>
      <c r="H644" s="194"/>
      <c r="I644" s="194"/>
      <c r="J644" s="194"/>
      <c r="L644" s="194"/>
      <c r="M644" s="194"/>
    </row>
    <row r="645" ht="22.5" customHeight="1">
      <c r="C645" s="193"/>
      <c r="G645" s="193"/>
      <c r="H645" s="194"/>
      <c r="I645" s="194"/>
      <c r="J645" s="194"/>
      <c r="L645" s="194"/>
      <c r="M645" s="194"/>
    </row>
    <row r="646" ht="22.5" customHeight="1">
      <c r="C646" s="193"/>
      <c r="G646" s="193"/>
      <c r="H646" s="194"/>
      <c r="I646" s="194"/>
      <c r="J646" s="194"/>
      <c r="L646" s="194"/>
      <c r="M646" s="194"/>
    </row>
    <row r="647" ht="22.5" customHeight="1">
      <c r="C647" s="193"/>
      <c r="G647" s="193"/>
      <c r="H647" s="194"/>
      <c r="I647" s="194"/>
      <c r="J647" s="194"/>
      <c r="L647" s="194"/>
      <c r="M647" s="194"/>
    </row>
    <row r="648" ht="22.5" customHeight="1">
      <c r="C648" s="193"/>
      <c r="G648" s="193"/>
      <c r="H648" s="194"/>
      <c r="I648" s="194"/>
      <c r="J648" s="194"/>
      <c r="L648" s="194"/>
      <c r="M648" s="194"/>
    </row>
    <row r="649" ht="22.5" customHeight="1">
      <c r="C649" s="193"/>
      <c r="G649" s="193"/>
      <c r="H649" s="194"/>
      <c r="I649" s="194"/>
      <c r="J649" s="194"/>
      <c r="L649" s="194"/>
      <c r="M649" s="194"/>
    </row>
    <row r="650" ht="22.5" customHeight="1">
      <c r="C650" s="193"/>
      <c r="G650" s="193"/>
      <c r="H650" s="194"/>
      <c r="I650" s="194"/>
      <c r="J650" s="194"/>
      <c r="L650" s="194"/>
      <c r="M650" s="194"/>
    </row>
    <row r="651" ht="22.5" customHeight="1">
      <c r="C651" s="193"/>
      <c r="G651" s="193"/>
      <c r="H651" s="194"/>
      <c r="I651" s="194"/>
      <c r="J651" s="194"/>
      <c r="L651" s="194"/>
      <c r="M651" s="194"/>
    </row>
    <row r="652" ht="22.5" customHeight="1">
      <c r="C652" s="193"/>
      <c r="G652" s="193"/>
      <c r="H652" s="194"/>
      <c r="I652" s="194"/>
      <c r="J652" s="194"/>
      <c r="L652" s="194"/>
      <c r="M652" s="194"/>
    </row>
    <row r="653" ht="22.5" customHeight="1">
      <c r="C653" s="193"/>
      <c r="G653" s="193"/>
      <c r="H653" s="194"/>
      <c r="I653" s="194"/>
      <c r="J653" s="194"/>
      <c r="L653" s="194"/>
      <c r="M653" s="194"/>
    </row>
    <row r="654" ht="22.5" customHeight="1">
      <c r="C654" s="193"/>
      <c r="G654" s="193"/>
      <c r="H654" s="194"/>
      <c r="I654" s="194"/>
      <c r="J654" s="194"/>
      <c r="L654" s="194"/>
      <c r="M654" s="194"/>
    </row>
    <row r="655" ht="22.5" customHeight="1">
      <c r="C655" s="193"/>
      <c r="G655" s="193"/>
      <c r="H655" s="194"/>
      <c r="I655" s="194"/>
      <c r="J655" s="194"/>
      <c r="L655" s="194"/>
      <c r="M655" s="194"/>
    </row>
    <row r="656" ht="22.5" customHeight="1">
      <c r="C656" s="193"/>
      <c r="G656" s="193"/>
      <c r="H656" s="194"/>
      <c r="I656" s="194"/>
      <c r="J656" s="194"/>
      <c r="L656" s="194"/>
      <c r="M656" s="194"/>
    </row>
    <row r="657" ht="22.5" customHeight="1">
      <c r="C657" s="193"/>
      <c r="G657" s="193"/>
      <c r="H657" s="194"/>
      <c r="I657" s="194"/>
      <c r="J657" s="194"/>
      <c r="L657" s="194"/>
      <c r="M657" s="194"/>
    </row>
    <row r="658" ht="22.5" customHeight="1">
      <c r="C658" s="193"/>
      <c r="G658" s="193"/>
      <c r="H658" s="194"/>
      <c r="I658" s="194"/>
      <c r="J658" s="194"/>
      <c r="L658" s="194"/>
      <c r="M658" s="194"/>
    </row>
    <row r="659" ht="22.5" customHeight="1">
      <c r="C659" s="193"/>
      <c r="G659" s="193"/>
      <c r="H659" s="194"/>
      <c r="I659" s="194"/>
      <c r="J659" s="194"/>
      <c r="L659" s="194"/>
      <c r="M659" s="194"/>
    </row>
    <row r="660" ht="22.5" customHeight="1">
      <c r="C660" s="193"/>
      <c r="G660" s="193"/>
      <c r="H660" s="194"/>
      <c r="I660" s="194"/>
      <c r="J660" s="194"/>
      <c r="L660" s="194"/>
      <c r="M660" s="194"/>
    </row>
    <row r="661" ht="22.5" customHeight="1">
      <c r="C661" s="193"/>
      <c r="G661" s="193"/>
      <c r="H661" s="194"/>
      <c r="I661" s="194"/>
      <c r="J661" s="194"/>
      <c r="L661" s="194"/>
      <c r="M661" s="194"/>
    </row>
    <row r="662" ht="22.5" customHeight="1">
      <c r="C662" s="193"/>
      <c r="G662" s="193"/>
      <c r="H662" s="194"/>
      <c r="I662" s="194"/>
      <c r="J662" s="194"/>
      <c r="L662" s="194"/>
      <c r="M662" s="194"/>
    </row>
    <row r="663" ht="22.5" customHeight="1">
      <c r="C663" s="193"/>
      <c r="G663" s="193"/>
      <c r="H663" s="194"/>
      <c r="I663" s="194"/>
      <c r="J663" s="194"/>
      <c r="L663" s="194"/>
      <c r="M663" s="194"/>
    </row>
    <row r="664" ht="22.5" customHeight="1">
      <c r="C664" s="193"/>
      <c r="G664" s="193"/>
      <c r="H664" s="194"/>
      <c r="I664" s="194"/>
      <c r="J664" s="194"/>
      <c r="L664" s="194"/>
      <c r="M664" s="194"/>
    </row>
    <row r="665" ht="22.5" customHeight="1">
      <c r="C665" s="193"/>
      <c r="G665" s="193"/>
      <c r="H665" s="194"/>
      <c r="I665" s="194"/>
      <c r="J665" s="194"/>
      <c r="L665" s="194"/>
      <c r="M665" s="194"/>
    </row>
    <row r="666" ht="22.5" customHeight="1">
      <c r="C666" s="193"/>
      <c r="G666" s="193"/>
      <c r="H666" s="194"/>
      <c r="I666" s="194"/>
      <c r="J666" s="194"/>
      <c r="L666" s="194"/>
      <c r="M666" s="194"/>
    </row>
    <row r="667" ht="22.5" customHeight="1">
      <c r="C667" s="193"/>
      <c r="G667" s="193"/>
      <c r="H667" s="194"/>
      <c r="I667" s="194"/>
      <c r="J667" s="194"/>
      <c r="L667" s="194"/>
      <c r="M667" s="194"/>
    </row>
    <row r="668" ht="22.5" customHeight="1">
      <c r="C668" s="193"/>
      <c r="G668" s="193"/>
      <c r="H668" s="194"/>
      <c r="I668" s="194"/>
      <c r="J668" s="194"/>
      <c r="L668" s="194"/>
      <c r="M668" s="194"/>
    </row>
    <row r="669" ht="22.5" customHeight="1">
      <c r="C669" s="193"/>
      <c r="G669" s="193"/>
      <c r="H669" s="194"/>
      <c r="I669" s="194"/>
      <c r="J669" s="194"/>
      <c r="L669" s="194"/>
      <c r="M669" s="194"/>
    </row>
    <row r="670" ht="22.5" customHeight="1">
      <c r="C670" s="193"/>
      <c r="G670" s="193"/>
      <c r="H670" s="194"/>
      <c r="I670" s="194"/>
      <c r="J670" s="194"/>
      <c r="L670" s="194"/>
      <c r="M670" s="194"/>
    </row>
    <row r="671" ht="22.5" customHeight="1">
      <c r="C671" s="193"/>
      <c r="G671" s="193"/>
      <c r="H671" s="194"/>
      <c r="I671" s="194"/>
      <c r="J671" s="194"/>
      <c r="L671" s="194"/>
      <c r="M671" s="194"/>
    </row>
    <row r="672" ht="22.5" customHeight="1">
      <c r="C672" s="193"/>
      <c r="G672" s="193"/>
      <c r="H672" s="194"/>
      <c r="I672" s="194"/>
      <c r="J672" s="194"/>
      <c r="L672" s="194"/>
      <c r="M672" s="194"/>
    </row>
    <row r="673" ht="22.5" customHeight="1">
      <c r="C673" s="193"/>
      <c r="G673" s="193"/>
      <c r="H673" s="194"/>
      <c r="I673" s="194"/>
      <c r="J673" s="194"/>
      <c r="L673" s="194"/>
      <c r="M673" s="194"/>
    </row>
    <row r="674" ht="22.5" customHeight="1">
      <c r="C674" s="193"/>
      <c r="G674" s="193"/>
      <c r="H674" s="194"/>
      <c r="I674" s="194"/>
      <c r="J674" s="194"/>
      <c r="L674" s="194"/>
      <c r="M674" s="194"/>
    </row>
    <row r="675" ht="22.5" customHeight="1">
      <c r="C675" s="193"/>
      <c r="G675" s="193"/>
      <c r="H675" s="194"/>
      <c r="I675" s="194"/>
      <c r="J675" s="194"/>
      <c r="L675" s="194"/>
      <c r="M675" s="194"/>
    </row>
    <row r="676" ht="22.5" customHeight="1">
      <c r="C676" s="193"/>
      <c r="G676" s="193"/>
      <c r="H676" s="194"/>
      <c r="I676" s="194"/>
      <c r="J676" s="194"/>
      <c r="L676" s="194"/>
      <c r="M676" s="194"/>
    </row>
    <row r="677" ht="22.5" customHeight="1">
      <c r="C677" s="193"/>
      <c r="G677" s="193"/>
      <c r="H677" s="194"/>
      <c r="I677" s="194"/>
      <c r="J677" s="194"/>
      <c r="L677" s="194"/>
      <c r="M677" s="194"/>
    </row>
    <row r="678" ht="22.5" customHeight="1">
      <c r="C678" s="193"/>
      <c r="G678" s="193"/>
      <c r="H678" s="194"/>
      <c r="I678" s="194"/>
      <c r="J678" s="194"/>
      <c r="L678" s="194"/>
      <c r="M678" s="194"/>
    </row>
    <row r="679" ht="22.5" customHeight="1">
      <c r="C679" s="193"/>
      <c r="G679" s="193"/>
      <c r="H679" s="194"/>
      <c r="I679" s="194"/>
      <c r="J679" s="194"/>
      <c r="L679" s="194"/>
      <c r="M679" s="194"/>
    </row>
    <row r="680" ht="22.5" customHeight="1">
      <c r="C680" s="193"/>
      <c r="G680" s="193"/>
      <c r="H680" s="194"/>
      <c r="I680" s="194"/>
      <c r="J680" s="194"/>
      <c r="L680" s="194"/>
      <c r="M680" s="194"/>
    </row>
    <row r="681" ht="22.5" customHeight="1">
      <c r="C681" s="193"/>
      <c r="G681" s="193"/>
      <c r="H681" s="194"/>
      <c r="I681" s="194"/>
      <c r="J681" s="194"/>
      <c r="L681" s="194"/>
      <c r="M681" s="194"/>
    </row>
    <row r="682" ht="22.5" customHeight="1">
      <c r="C682" s="193"/>
      <c r="G682" s="193"/>
      <c r="H682" s="194"/>
      <c r="I682" s="194"/>
      <c r="J682" s="194"/>
      <c r="L682" s="194"/>
      <c r="M682" s="194"/>
    </row>
    <row r="683" ht="22.5" customHeight="1">
      <c r="C683" s="193"/>
      <c r="G683" s="193"/>
      <c r="H683" s="194"/>
      <c r="I683" s="194"/>
      <c r="J683" s="194"/>
      <c r="L683" s="194"/>
      <c r="M683" s="194"/>
    </row>
    <row r="684" ht="22.5" customHeight="1">
      <c r="C684" s="193"/>
      <c r="G684" s="193"/>
      <c r="H684" s="194"/>
      <c r="I684" s="194"/>
      <c r="J684" s="194"/>
      <c r="L684" s="194"/>
      <c r="M684" s="194"/>
    </row>
    <row r="685" ht="22.5" customHeight="1">
      <c r="C685" s="193"/>
      <c r="G685" s="193"/>
      <c r="H685" s="194"/>
      <c r="I685" s="194"/>
      <c r="J685" s="194"/>
      <c r="L685" s="194"/>
      <c r="M685" s="194"/>
    </row>
    <row r="686" ht="22.5" customHeight="1">
      <c r="C686" s="193"/>
      <c r="G686" s="193"/>
      <c r="H686" s="194"/>
      <c r="I686" s="194"/>
      <c r="J686" s="194"/>
      <c r="L686" s="194"/>
      <c r="M686" s="194"/>
    </row>
    <row r="687" ht="22.5" customHeight="1">
      <c r="C687" s="193"/>
      <c r="G687" s="193"/>
      <c r="H687" s="194"/>
      <c r="I687" s="194"/>
      <c r="J687" s="194"/>
      <c r="L687" s="194"/>
      <c r="M687" s="194"/>
    </row>
    <row r="688" ht="22.5" customHeight="1">
      <c r="C688" s="193"/>
      <c r="G688" s="193"/>
      <c r="H688" s="194"/>
      <c r="I688" s="194"/>
      <c r="J688" s="194"/>
      <c r="L688" s="194"/>
      <c r="M688" s="194"/>
    </row>
    <row r="689" ht="22.5" customHeight="1">
      <c r="C689" s="193"/>
      <c r="G689" s="193"/>
      <c r="H689" s="194"/>
      <c r="I689" s="194"/>
      <c r="J689" s="194"/>
      <c r="L689" s="194"/>
      <c r="M689" s="194"/>
    </row>
    <row r="690" ht="22.5" customHeight="1">
      <c r="C690" s="193"/>
      <c r="G690" s="193"/>
      <c r="H690" s="194"/>
      <c r="I690" s="194"/>
      <c r="J690" s="194"/>
      <c r="L690" s="194"/>
      <c r="M690" s="194"/>
    </row>
    <row r="691" ht="22.5" customHeight="1">
      <c r="C691" s="193"/>
      <c r="G691" s="193"/>
      <c r="H691" s="194"/>
      <c r="I691" s="194"/>
      <c r="J691" s="194"/>
      <c r="L691" s="194"/>
      <c r="M691" s="194"/>
    </row>
    <row r="692" ht="22.5" customHeight="1">
      <c r="C692" s="193"/>
      <c r="G692" s="193"/>
      <c r="H692" s="194"/>
      <c r="I692" s="194"/>
      <c r="J692" s="194"/>
      <c r="L692" s="194"/>
      <c r="M692" s="194"/>
    </row>
    <row r="693" ht="22.5" customHeight="1">
      <c r="C693" s="193"/>
      <c r="G693" s="193"/>
      <c r="H693" s="194"/>
      <c r="I693" s="194"/>
      <c r="J693" s="194"/>
      <c r="L693" s="194"/>
      <c r="M693" s="194"/>
    </row>
    <row r="694" ht="22.5" customHeight="1">
      <c r="C694" s="193"/>
      <c r="G694" s="193"/>
      <c r="H694" s="194"/>
      <c r="I694" s="194"/>
      <c r="J694" s="194"/>
      <c r="L694" s="194"/>
      <c r="M694" s="194"/>
    </row>
    <row r="695" ht="22.5" customHeight="1">
      <c r="C695" s="193"/>
      <c r="G695" s="193"/>
      <c r="H695" s="194"/>
      <c r="I695" s="194"/>
      <c r="J695" s="194"/>
      <c r="L695" s="194"/>
      <c r="M695" s="194"/>
    </row>
    <row r="696" ht="22.5" customHeight="1">
      <c r="C696" s="193"/>
      <c r="G696" s="193"/>
      <c r="H696" s="194"/>
      <c r="I696" s="194"/>
      <c r="J696" s="194"/>
      <c r="L696" s="194"/>
      <c r="M696" s="194"/>
    </row>
    <row r="697" ht="22.5" customHeight="1">
      <c r="C697" s="193"/>
      <c r="G697" s="193"/>
      <c r="H697" s="194"/>
      <c r="I697" s="194"/>
      <c r="J697" s="194"/>
      <c r="L697" s="194"/>
      <c r="M697" s="194"/>
    </row>
    <row r="698" ht="22.5" customHeight="1">
      <c r="C698" s="193"/>
      <c r="G698" s="193"/>
      <c r="H698" s="194"/>
      <c r="I698" s="194"/>
      <c r="J698" s="194"/>
      <c r="L698" s="194"/>
      <c r="M698" s="194"/>
    </row>
    <row r="699" ht="22.5" customHeight="1">
      <c r="C699" s="193"/>
      <c r="G699" s="193"/>
      <c r="H699" s="194"/>
      <c r="I699" s="194"/>
      <c r="J699" s="194"/>
      <c r="L699" s="194"/>
      <c r="M699" s="194"/>
    </row>
    <row r="700" ht="22.5" customHeight="1">
      <c r="C700" s="193"/>
      <c r="G700" s="193"/>
      <c r="H700" s="194"/>
      <c r="I700" s="194"/>
      <c r="J700" s="194"/>
      <c r="L700" s="194"/>
      <c r="M700" s="194"/>
    </row>
    <row r="701" ht="22.5" customHeight="1">
      <c r="C701" s="193"/>
      <c r="G701" s="193"/>
      <c r="H701" s="194"/>
      <c r="I701" s="194"/>
      <c r="J701" s="194"/>
      <c r="L701" s="194"/>
      <c r="M701" s="194"/>
    </row>
    <row r="702" ht="22.5" customHeight="1">
      <c r="C702" s="193"/>
      <c r="G702" s="193"/>
      <c r="H702" s="194"/>
      <c r="I702" s="194"/>
      <c r="J702" s="194"/>
      <c r="L702" s="194"/>
      <c r="M702" s="194"/>
    </row>
    <row r="703" ht="22.5" customHeight="1">
      <c r="C703" s="193"/>
      <c r="G703" s="193"/>
      <c r="H703" s="194"/>
      <c r="I703" s="194"/>
      <c r="J703" s="194"/>
      <c r="L703" s="194"/>
      <c r="M703" s="194"/>
    </row>
    <row r="704" ht="22.5" customHeight="1">
      <c r="C704" s="193"/>
      <c r="G704" s="193"/>
      <c r="H704" s="194"/>
      <c r="I704" s="194"/>
      <c r="J704" s="194"/>
      <c r="L704" s="194"/>
      <c r="M704" s="194"/>
    </row>
    <row r="705" ht="22.5" customHeight="1">
      <c r="C705" s="193"/>
      <c r="G705" s="193"/>
      <c r="H705" s="194"/>
      <c r="I705" s="194"/>
      <c r="J705" s="194"/>
      <c r="L705" s="194"/>
      <c r="M705" s="194"/>
    </row>
    <row r="706" ht="22.5" customHeight="1">
      <c r="C706" s="193"/>
      <c r="G706" s="193"/>
      <c r="H706" s="194"/>
      <c r="I706" s="194"/>
      <c r="J706" s="194"/>
      <c r="L706" s="194"/>
      <c r="M706" s="194"/>
    </row>
    <row r="707" ht="22.5" customHeight="1">
      <c r="C707" s="193"/>
      <c r="G707" s="193"/>
      <c r="H707" s="194"/>
      <c r="I707" s="194"/>
      <c r="J707" s="194"/>
      <c r="L707" s="194"/>
      <c r="M707" s="194"/>
    </row>
    <row r="708" ht="22.5" customHeight="1">
      <c r="C708" s="193"/>
      <c r="G708" s="193"/>
      <c r="H708" s="194"/>
      <c r="I708" s="194"/>
      <c r="J708" s="194"/>
      <c r="L708" s="194"/>
      <c r="M708" s="194"/>
    </row>
    <row r="709" ht="22.5" customHeight="1">
      <c r="C709" s="193"/>
      <c r="G709" s="193"/>
      <c r="H709" s="194"/>
      <c r="I709" s="194"/>
      <c r="J709" s="194"/>
      <c r="L709" s="194"/>
      <c r="M709" s="194"/>
    </row>
    <row r="710" ht="22.5" customHeight="1">
      <c r="C710" s="193"/>
      <c r="G710" s="193"/>
      <c r="H710" s="194"/>
      <c r="I710" s="194"/>
      <c r="J710" s="194"/>
      <c r="L710" s="194"/>
      <c r="M710" s="194"/>
    </row>
    <row r="711" ht="22.5" customHeight="1">
      <c r="C711" s="193"/>
      <c r="G711" s="193"/>
      <c r="H711" s="194"/>
      <c r="I711" s="194"/>
      <c r="J711" s="194"/>
      <c r="L711" s="194"/>
      <c r="M711" s="194"/>
    </row>
    <row r="712" ht="22.5" customHeight="1">
      <c r="C712" s="193"/>
      <c r="G712" s="193"/>
      <c r="H712" s="194"/>
      <c r="I712" s="194"/>
      <c r="J712" s="194"/>
      <c r="L712" s="194"/>
      <c r="M712" s="194"/>
    </row>
    <row r="713" ht="22.5" customHeight="1">
      <c r="C713" s="193"/>
      <c r="G713" s="193"/>
      <c r="H713" s="194"/>
      <c r="I713" s="194"/>
      <c r="J713" s="194"/>
      <c r="L713" s="194"/>
      <c r="M713" s="194"/>
    </row>
    <row r="714" ht="22.5" customHeight="1">
      <c r="C714" s="193"/>
      <c r="G714" s="193"/>
      <c r="H714" s="194"/>
      <c r="I714" s="194"/>
      <c r="J714" s="194"/>
      <c r="L714" s="194"/>
      <c r="M714" s="194"/>
    </row>
    <row r="715" ht="22.5" customHeight="1">
      <c r="C715" s="193"/>
      <c r="G715" s="193"/>
      <c r="H715" s="194"/>
      <c r="I715" s="194"/>
      <c r="J715" s="194"/>
      <c r="L715" s="194"/>
      <c r="M715" s="194"/>
    </row>
    <row r="716" ht="22.5" customHeight="1">
      <c r="C716" s="193"/>
      <c r="G716" s="193"/>
      <c r="H716" s="194"/>
      <c r="I716" s="194"/>
      <c r="J716" s="194"/>
      <c r="L716" s="194"/>
      <c r="M716" s="194"/>
    </row>
    <row r="717" ht="22.5" customHeight="1">
      <c r="C717" s="193"/>
      <c r="G717" s="193"/>
      <c r="H717" s="194"/>
      <c r="I717" s="194"/>
      <c r="J717" s="194"/>
      <c r="L717" s="194"/>
      <c r="M717" s="194"/>
    </row>
    <row r="718" ht="22.5" customHeight="1">
      <c r="C718" s="193"/>
      <c r="G718" s="193"/>
      <c r="H718" s="194"/>
      <c r="I718" s="194"/>
      <c r="J718" s="194"/>
      <c r="L718" s="194"/>
      <c r="M718" s="194"/>
    </row>
    <row r="719" ht="22.5" customHeight="1">
      <c r="C719" s="193"/>
      <c r="G719" s="193"/>
      <c r="H719" s="194"/>
      <c r="I719" s="194"/>
      <c r="J719" s="194"/>
      <c r="L719" s="194"/>
      <c r="M719" s="194"/>
    </row>
    <row r="720" ht="22.5" customHeight="1">
      <c r="C720" s="193"/>
      <c r="G720" s="193"/>
      <c r="H720" s="194"/>
      <c r="I720" s="194"/>
      <c r="J720" s="194"/>
      <c r="L720" s="194"/>
      <c r="M720" s="194"/>
    </row>
    <row r="721" ht="22.5" customHeight="1">
      <c r="C721" s="193"/>
      <c r="G721" s="193"/>
      <c r="H721" s="194"/>
      <c r="I721" s="194"/>
      <c r="J721" s="194"/>
      <c r="L721" s="194"/>
      <c r="M721" s="194"/>
    </row>
    <row r="722" ht="22.5" customHeight="1">
      <c r="C722" s="193"/>
      <c r="G722" s="193"/>
      <c r="H722" s="194"/>
      <c r="I722" s="194"/>
      <c r="J722" s="194"/>
      <c r="L722" s="194"/>
      <c r="M722" s="194"/>
    </row>
    <row r="723" ht="22.5" customHeight="1">
      <c r="C723" s="193"/>
      <c r="G723" s="193"/>
      <c r="H723" s="194"/>
      <c r="I723" s="194"/>
      <c r="J723" s="194"/>
      <c r="L723" s="194"/>
      <c r="M723" s="194"/>
    </row>
    <row r="724" ht="22.5" customHeight="1">
      <c r="C724" s="193"/>
      <c r="G724" s="193"/>
      <c r="H724" s="194"/>
      <c r="I724" s="194"/>
      <c r="J724" s="194"/>
      <c r="L724" s="194"/>
      <c r="M724" s="194"/>
    </row>
    <row r="725" ht="22.5" customHeight="1">
      <c r="C725" s="193"/>
      <c r="G725" s="193"/>
      <c r="H725" s="194"/>
      <c r="I725" s="194"/>
      <c r="J725" s="194"/>
      <c r="L725" s="194"/>
      <c r="M725" s="194"/>
    </row>
    <row r="726" ht="22.5" customHeight="1">
      <c r="C726" s="193"/>
      <c r="G726" s="193"/>
      <c r="H726" s="194"/>
      <c r="I726" s="194"/>
      <c r="J726" s="194"/>
      <c r="L726" s="194"/>
      <c r="M726" s="194"/>
    </row>
    <row r="727" ht="22.5" customHeight="1">
      <c r="C727" s="193"/>
      <c r="G727" s="193"/>
      <c r="H727" s="194"/>
      <c r="I727" s="194"/>
      <c r="J727" s="194"/>
      <c r="L727" s="194"/>
      <c r="M727" s="194"/>
    </row>
    <row r="728" ht="22.5" customHeight="1">
      <c r="C728" s="193"/>
      <c r="G728" s="193"/>
      <c r="H728" s="194"/>
      <c r="I728" s="194"/>
      <c r="J728" s="194"/>
      <c r="L728" s="194"/>
      <c r="M728" s="194"/>
    </row>
    <row r="729" ht="22.5" customHeight="1">
      <c r="C729" s="193"/>
      <c r="G729" s="193"/>
      <c r="H729" s="194"/>
      <c r="I729" s="194"/>
      <c r="J729" s="194"/>
      <c r="L729" s="194"/>
      <c r="M729" s="194"/>
    </row>
    <row r="730" ht="22.5" customHeight="1">
      <c r="C730" s="193"/>
      <c r="G730" s="193"/>
      <c r="H730" s="194"/>
      <c r="I730" s="194"/>
      <c r="J730" s="194"/>
      <c r="L730" s="194"/>
      <c r="M730" s="194"/>
    </row>
    <row r="731" ht="22.5" customHeight="1">
      <c r="C731" s="193"/>
      <c r="G731" s="193"/>
      <c r="H731" s="194"/>
      <c r="I731" s="194"/>
      <c r="J731" s="194"/>
      <c r="L731" s="194"/>
      <c r="M731" s="194"/>
    </row>
    <row r="732" ht="22.5" customHeight="1">
      <c r="C732" s="193"/>
      <c r="G732" s="193"/>
      <c r="H732" s="194"/>
      <c r="I732" s="194"/>
      <c r="J732" s="194"/>
      <c r="L732" s="194"/>
      <c r="M732" s="194"/>
    </row>
    <row r="733" ht="22.5" customHeight="1">
      <c r="C733" s="193"/>
      <c r="G733" s="193"/>
      <c r="H733" s="194"/>
      <c r="I733" s="194"/>
      <c r="J733" s="194"/>
      <c r="L733" s="194"/>
      <c r="M733" s="194"/>
    </row>
    <row r="734" ht="22.5" customHeight="1">
      <c r="C734" s="193"/>
      <c r="G734" s="193"/>
      <c r="H734" s="194"/>
      <c r="I734" s="194"/>
      <c r="J734" s="194"/>
      <c r="L734" s="194"/>
      <c r="M734" s="194"/>
    </row>
    <row r="735" ht="22.5" customHeight="1">
      <c r="C735" s="193"/>
      <c r="G735" s="193"/>
      <c r="H735" s="194"/>
      <c r="I735" s="194"/>
      <c r="J735" s="194"/>
      <c r="L735" s="194"/>
      <c r="M735" s="194"/>
    </row>
    <row r="736" ht="22.5" customHeight="1">
      <c r="C736" s="193"/>
      <c r="G736" s="193"/>
      <c r="H736" s="194"/>
      <c r="I736" s="194"/>
      <c r="J736" s="194"/>
      <c r="L736" s="194"/>
      <c r="M736" s="194"/>
    </row>
    <row r="737" ht="22.5" customHeight="1">
      <c r="C737" s="193"/>
      <c r="G737" s="193"/>
      <c r="H737" s="194"/>
      <c r="I737" s="194"/>
      <c r="J737" s="194"/>
      <c r="L737" s="194"/>
      <c r="M737" s="194"/>
    </row>
    <row r="738" ht="22.5" customHeight="1">
      <c r="C738" s="193"/>
      <c r="G738" s="193"/>
      <c r="H738" s="194"/>
      <c r="I738" s="194"/>
      <c r="J738" s="194"/>
      <c r="L738" s="194"/>
      <c r="M738" s="194"/>
    </row>
    <row r="739" ht="22.5" customHeight="1">
      <c r="C739" s="193"/>
      <c r="G739" s="193"/>
      <c r="H739" s="194"/>
      <c r="I739" s="194"/>
      <c r="J739" s="194"/>
      <c r="L739" s="194"/>
      <c r="M739" s="194"/>
    </row>
    <row r="740" ht="22.5" customHeight="1">
      <c r="C740" s="193"/>
      <c r="G740" s="193"/>
      <c r="H740" s="194"/>
      <c r="I740" s="194"/>
      <c r="J740" s="194"/>
      <c r="L740" s="194"/>
      <c r="M740" s="194"/>
    </row>
    <row r="741" ht="22.5" customHeight="1">
      <c r="C741" s="193"/>
      <c r="G741" s="193"/>
      <c r="H741" s="194"/>
      <c r="I741" s="194"/>
      <c r="J741" s="194"/>
      <c r="L741" s="194"/>
      <c r="M741" s="194"/>
    </row>
    <row r="742" ht="22.5" customHeight="1">
      <c r="C742" s="193"/>
      <c r="G742" s="193"/>
      <c r="H742" s="194"/>
      <c r="I742" s="194"/>
      <c r="J742" s="194"/>
      <c r="L742" s="194"/>
      <c r="M742" s="194"/>
    </row>
    <row r="743" ht="22.5" customHeight="1">
      <c r="C743" s="193"/>
      <c r="G743" s="193"/>
      <c r="H743" s="194"/>
      <c r="I743" s="194"/>
      <c r="J743" s="194"/>
      <c r="L743" s="194"/>
      <c r="M743" s="194"/>
    </row>
    <row r="744" ht="22.5" customHeight="1">
      <c r="C744" s="193"/>
      <c r="G744" s="193"/>
      <c r="H744" s="194"/>
      <c r="I744" s="194"/>
      <c r="J744" s="194"/>
      <c r="L744" s="194"/>
      <c r="M744" s="194"/>
    </row>
    <row r="745" ht="22.5" customHeight="1">
      <c r="C745" s="193"/>
      <c r="G745" s="193"/>
      <c r="H745" s="194"/>
      <c r="I745" s="194"/>
      <c r="J745" s="194"/>
      <c r="L745" s="194"/>
      <c r="M745" s="194"/>
    </row>
    <row r="746" ht="22.5" customHeight="1">
      <c r="C746" s="193"/>
      <c r="G746" s="193"/>
      <c r="H746" s="194"/>
      <c r="I746" s="194"/>
      <c r="J746" s="194"/>
      <c r="L746" s="194"/>
      <c r="M746" s="194"/>
    </row>
    <row r="747" ht="22.5" customHeight="1">
      <c r="C747" s="193"/>
      <c r="G747" s="193"/>
      <c r="H747" s="194"/>
      <c r="I747" s="194"/>
      <c r="J747" s="194"/>
      <c r="L747" s="194"/>
      <c r="M747" s="194"/>
    </row>
    <row r="748" ht="22.5" customHeight="1">
      <c r="C748" s="193"/>
      <c r="G748" s="193"/>
      <c r="H748" s="194"/>
      <c r="I748" s="194"/>
      <c r="J748" s="194"/>
      <c r="L748" s="194"/>
      <c r="M748" s="194"/>
    </row>
    <row r="749" ht="22.5" customHeight="1">
      <c r="C749" s="193"/>
      <c r="G749" s="193"/>
      <c r="H749" s="194"/>
      <c r="I749" s="194"/>
      <c r="J749" s="194"/>
      <c r="L749" s="194"/>
      <c r="M749" s="194"/>
    </row>
    <row r="750" ht="22.5" customHeight="1">
      <c r="C750" s="193"/>
      <c r="G750" s="193"/>
      <c r="H750" s="194"/>
      <c r="I750" s="194"/>
      <c r="J750" s="194"/>
      <c r="L750" s="194"/>
      <c r="M750" s="194"/>
    </row>
    <row r="751" ht="22.5" customHeight="1">
      <c r="C751" s="193"/>
      <c r="G751" s="193"/>
      <c r="H751" s="194"/>
      <c r="I751" s="194"/>
      <c r="J751" s="194"/>
      <c r="L751" s="194"/>
      <c r="M751" s="194"/>
    </row>
    <row r="752" ht="22.5" customHeight="1">
      <c r="C752" s="193"/>
      <c r="G752" s="193"/>
      <c r="H752" s="194"/>
      <c r="I752" s="194"/>
      <c r="J752" s="194"/>
      <c r="L752" s="194"/>
      <c r="M752" s="194"/>
    </row>
    <row r="753" ht="22.5" customHeight="1">
      <c r="C753" s="193"/>
      <c r="G753" s="193"/>
      <c r="H753" s="194"/>
      <c r="I753" s="194"/>
      <c r="J753" s="194"/>
      <c r="L753" s="194"/>
      <c r="M753" s="194"/>
    </row>
    <row r="754" ht="22.5" customHeight="1">
      <c r="C754" s="193"/>
      <c r="G754" s="193"/>
      <c r="H754" s="194"/>
      <c r="I754" s="194"/>
      <c r="J754" s="194"/>
      <c r="L754" s="194"/>
      <c r="M754" s="194"/>
    </row>
    <row r="755" ht="22.5" customHeight="1">
      <c r="C755" s="193"/>
      <c r="G755" s="193"/>
      <c r="H755" s="194"/>
      <c r="I755" s="194"/>
      <c r="J755" s="194"/>
      <c r="L755" s="194"/>
      <c r="M755" s="194"/>
    </row>
    <row r="756" ht="22.5" customHeight="1">
      <c r="C756" s="193"/>
      <c r="G756" s="193"/>
      <c r="H756" s="194"/>
      <c r="I756" s="194"/>
      <c r="J756" s="194"/>
      <c r="L756" s="194"/>
      <c r="M756" s="194"/>
    </row>
    <row r="757" ht="22.5" customHeight="1">
      <c r="C757" s="193"/>
      <c r="G757" s="193"/>
      <c r="H757" s="194"/>
      <c r="I757" s="194"/>
      <c r="J757" s="194"/>
      <c r="L757" s="194"/>
      <c r="M757" s="194"/>
    </row>
    <row r="758" ht="22.5" customHeight="1">
      <c r="C758" s="193"/>
      <c r="G758" s="193"/>
      <c r="H758" s="194"/>
      <c r="I758" s="194"/>
      <c r="J758" s="194"/>
      <c r="L758" s="194"/>
      <c r="M758" s="194"/>
    </row>
    <row r="759" ht="22.5" customHeight="1">
      <c r="C759" s="193"/>
      <c r="G759" s="193"/>
      <c r="H759" s="194"/>
      <c r="I759" s="194"/>
      <c r="J759" s="194"/>
      <c r="L759" s="194"/>
      <c r="M759" s="194"/>
    </row>
    <row r="760" ht="22.5" customHeight="1">
      <c r="C760" s="193"/>
      <c r="G760" s="193"/>
      <c r="H760" s="194"/>
      <c r="I760" s="194"/>
      <c r="J760" s="194"/>
      <c r="L760" s="194"/>
      <c r="M760" s="194"/>
    </row>
    <row r="761" ht="22.5" customHeight="1">
      <c r="C761" s="193"/>
      <c r="G761" s="193"/>
      <c r="H761" s="194"/>
      <c r="I761" s="194"/>
      <c r="J761" s="194"/>
      <c r="L761" s="194"/>
      <c r="M761" s="194"/>
    </row>
    <row r="762" ht="22.5" customHeight="1">
      <c r="C762" s="193"/>
      <c r="G762" s="193"/>
      <c r="H762" s="194"/>
      <c r="I762" s="194"/>
      <c r="J762" s="194"/>
      <c r="L762" s="194"/>
      <c r="M762" s="194"/>
    </row>
    <row r="763" ht="22.5" customHeight="1">
      <c r="C763" s="193"/>
      <c r="G763" s="193"/>
      <c r="H763" s="194"/>
      <c r="I763" s="194"/>
      <c r="J763" s="194"/>
      <c r="L763" s="194"/>
      <c r="M763" s="194"/>
    </row>
    <row r="764" ht="22.5" customHeight="1">
      <c r="C764" s="193"/>
      <c r="G764" s="193"/>
      <c r="H764" s="194"/>
      <c r="I764" s="194"/>
      <c r="J764" s="194"/>
      <c r="L764" s="194"/>
      <c r="M764" s="194"/>
    </row>
    <row r="765" ht="22.5" customHeight="1">
      <c r="C765" s="193"/>
      <c r="G765" s="193"/>
      <c r="H765" s="194"/>
      <c r="I765" s="194"/>
      <c r="J765" s="194"/>
      <c r="L765" s="194"/>
      <c r="M765" s="194"/>
    </row>
    <row r="766" ht="22.5" customHeight="1">
      <c r="C766" s="193"/>
      <c r="G766" s="193"/>
      <c r="H766" s="194"/>
      <c r="I766" s="194"/>
      <c r="J766" s="194"/>
      <c r="L766" s="194"/>
      <c r="M766" s="194"/>
    </row>
    <row r="767" ht="22.5" customHeight="1">
      <c r="C767" s="193"/>
      <c r="G767" s="193"/>
      <c r="H767" s="194"/>
      <c r="I767" s="194"/>
      <c r="J767" s="194"/>
      <c r="L767" s="194"/>
      <c r="M767" s="194"/>
    </row>
    <row r="768" ht="22.5" customHeight="1">
      <c r="C768" s="193"/>
      <c r="G768" s="193"/>
      <c r="H768" s="194"/>
      <c r="I768" s="194"/>
      <c r="J768" s="194"/>
      <c r="L768" s="194"/>
      <c r="M768" s="194"/>
    </row>
    <row r="769" ht="22.5" customHeight="1">
      <c r="C769" s="193"/>
      <c r="G769" s="193"/>
      <c r="H769" s="194"/>
      <c r="I769" s="194"/>
      <c r="J769" s="194"/>
      <c r="L769" s="194"/>
      <c r="M769" s="194"/>
    </row>
    <row r="770" ht="22.5" customHeight="1">
      <c r="C770" s="193"/>
      <c r="G770" s="193"/>
      <c r="H770" s="194"/>
      <c r="I770" s="194"/>
      <c r="J770" s="194"/>
      <c r="L770" s="194"/>
      <c r="M770" s="194"/>
    </row>
    <row r="771" ht="22.5" customHeight="1">
      <c r="C771" s="193"/>
      <c r="G771" s="193"/>
      <c r="H771" s="194"/>
      <c r="I771" s="194"/>
      <c r="J771" s="194"/>
      <c r="L771" s="194"/>
      <c r="M771" s="194"/>
    </row>
    <row r="772" ht="22.5" customHeight="1">
      <c r="C772" s="193"/>
      <c r="G772" s="193"/>
      <c r="H772" s="194"/>
      <c r="I772" s="194"/>
      <c r="J772" s="194"/>
      <c r="L772" s="194"/>
      <c r="M772" s="194"/>
    </row>
    <row r="773" ht="22.5" customHeight="1">
      <c r="C773" s="193"/>
      <c r="G773" s="193"/>
      <c r="H773" s="194"/>
      <c r="I773" s="194"/>
      <c r="J773" s="194"/>
      <c r="L773" s="194"/>
      <c r="M773" s="194"/>
    </row>
    <row r="774" ht="22.5" customHeight="1">
      <c r="C774" s="193"/>
      <c r="G774" s="193"/>
      <c r="H774" s="194"/>
      <c r="I774" s="194"/>
      <c r="J774" s="194"/>
      <c r="L774" s="194"/>
      <c r="M774" s="194"/>
    </row>
    <row r="775" ht="22.5" customHeight="1">
      <c r="C775" s="193"/>
      <c r="G775" s="193"/>
      <c r="H775" s="194"/>
      <c r="I775" s="194"/>
      <c r="J775" s="194"/>
      <c r="L775" s="194"/>
      <c r="M775" s="194"/>
    </row>
    <row r="776" ht="22.5" customHeight="1">
      <c r="C776" s="193"/>
      <c r="G776" s="193"/>
      <c r="H776" s="194"/>
      <c r="I776" s="194"/>
      <c r="J776" s="194"/>
      <c r="L776" s="194"/>
      <c r="M776" s="194"/>
    </row>
    <row r="777" ht="22.5" customHeight="1">
      <c r="C777" s="193"/>
      <c r="G777" s="193"/>
      <c r="H777" s="194"/>
      <c r="I777" s="194"/>
      <c r="J777" s="194"/>
      <c r="L777" s="194"/>
      <c r="M777" s="194"/>
    </row>
    <row r="778" ht="22.5" customHeight="1">
      <c r="C778" s="193"/>
      <c r="G778" s="193"/>
      <c r="H778" s="194"/>
      <c r="I778" s="194"/>
      <c r="J778" s="194"/>
      <c r="L778" s="194"/>
      <c r="M778" s="194"/>
    </row>
    <row r="779" ht="22.5" customHeight="1">
      <c r="C779" s="193"/>
      <c r="G779" s="193"/>
      <c r="H779" s="194"/>
      <c r="I779" s="194"/>
      <c r="J779" s="194"/>
      <c r="L779" s="194"/>
      <c r="M779" s="194"/>
    </row>
    <row r="780" ht="22.5" customHeight="1">
      <c r="C780" s="193"/>
      <c r="G780" s="193"/>
      <c r="H780" s="194"/>
      <c r="I780" s="194"/>
      <c r="J780" s="194"/>
      <c r="L780" s="194"/>
      <c r="M780" s="194"/>
    </row>
    <row r="781" ht="22.5" customHeight="1">
      <c r="C781" s="193"/>
      <c r="G781" s="193"/>
      <c r="H781" s="194"/>
      <c r="I781" s="194"/>
      <c r="J781" s="194"/>
      <c r="L781" s="194"/>
      <c r="M781" s="194"/>
    </row>
    <row r="782" ht="22.5" customHeight="1">
      <c r="C782" s="193"/>
      <c r="G782" s="193"/>
      <c r="H782" s="194"/>
      <c r="I782" s="194"/>
      <c r="J782" s="194"/>
      <c r="L782" s="194"/>
      <c r="M782" s="194"/>
    </row>
    <row r="783" ht="22.5" customHeight="1">
      <c r="C783" s="193"/>
      <c r="G783" s="193"/>
      <c r="H783" s="194"/>
      <c r="I783" s="194"/>
      <c r="J783" s="194"/>
      <c r="L783" s="194"/>
      <c r="M783" s="194"/>
    </row>
    <row r="784" ht="22.5" customHeight="1">
      <c r="C784" s="193"/>
      <c r="G784" s="193"/>
      <c r="H784" s="194"/>
      <c r="I784" s="194"/>
      <c r="J784" s="194"/>
      <c r="L784" s="194"/>
      <c r="M784" s="194"/>
    </row>
    <row r="785" ht="22.5" customHeight="1">
      <c r="C785" s="193"/>
      <c r="G785" s="193"/>
      <c r="H785" s="194"/>
      <c r="I785" s="194"/>
      <c r="J785" s="194"/>
      <c r="L785" s="194"/>
      <c r="M785" s="194"/>
    </row>
    <row r="786" ht="22.5" customHeight="1">
      <c r="C786" s="193"/>
      <c r="G786" s="193"/>
      <c r="H786" s="194"/>
      <c r="I786" s="194"/>
      <c r="J786" s="194"/>
      <c r="L786" s="194"/>
      <c r="M786" s="194"/>
    </row>
    <row r="787" ht="22.5" customHeight="1">
      <c r="C787" s="193"/>
      <c r="G787" s="193"/>
      <c r="H787" s="194"/>
      <c r="I787" s="194"/>
      <c r="J787" s="194"/>
      <c r="L787" s="194"/>
      <c r="M787" s="194"/>
    </row>
    <row r="788" ht="22.5" customHeight="1">
      <c r="C788" s="193"/>
      <c r="G788" s="193"/>
      <c r="H788" s="194"/>
      <c r="I788" s="194"/>
      <c r="J788" s="194"/>
      <c r="L788" s="194"/>
      <c r="M788" s="194"/>
    </row>
    <row r="789" ht="22.5" customHeight="1">
      <c r="C789" s="193"/>
      <c r="G789" s="193"/>
      <c r="H789" s="194"/>
      <c r="I789" s="194"/>
      <c r="J789" s="194"/>
      <c r="L789" s="194"/>
      <c r="M789" s="194"/>
    </row>
    <row r="790" ht="22.5" customHeight="1">
      <c r="C790" s="193"/>
      <c r="G790" s="193"/>
      <c r="H790" s="194"/>
      <c r="I790" s="194"/>
      <c r="J790" s="194"/>
      <c r="L790" s="194"/>
      <c r="M790" s="194"/>
    </row>
    <row r="791" ht="22.5" customHeight="1">
      <c r="C791" s="193"/>
      <c r="G791" s="193"/>
      <c r="H791" s="194"/>
      <c r="I791" s="194"/>
      <c r="J791" s="194"/>
      <c r="L791" s="194"/>
      <c r="M791" s="194"/>
    </row>
    <row r="792" ht="22.5" customHeight="1">
      <c r="C792" s="193"/>
      <c r="G792" s="193"/>
      <c r="H792" s="194"/>
      <c r="I792" s="194"/>
      <c r="J792" s="194"/>
      <c r="L792" s="194"/>
      <c r="M792" s="194"/>
    </row>
    <row r="793" ht="22.5" customHeight="1">
      <c r="C793" s="193"/>
      <c r="G793" s="193"/>
      <c r="H793" s="194"/>
      <c r="I793" s="194"/>
      <c r="J793" s="194"/>
      <c r="L793" s="194"/>
      <c r="M793" s="194"/>
    </row>
    <row r="794" ht="22.5" customHeight="1">
      <c r="C794" s="193"/>
      <c r="G794" s="193"/>
      <c r="H794" s="194"/>
      <c r="I794" s="194"/>
      <c r="J794" s="194"/>
      <c r="L794" s="194"/>
      <c r="M794" s="194"/>
    </row>
    <row r="795" ht="22.5" customHeight="1">
      <c r="C795" s="193"/>
      <c r="G795" s="193"/>
      <c r="H795" s="194"/>
      <c r="I795" s="194"/>
      <c r="J795" s="194"/>
      <c r="L795" s="194"/>
      <c r="M795" s="194"/>
    </row>
    <row r="796" ht="22.5" customHeight="1">
      <c r="C796" s="193"/>
      <c r="G796" s="193"/>
      <c r="H796" s="194"/>
      <c r="I796" s="194"/>
      <c r="J796" s="194"/>
      <c r="L796" s="194"/>
      <c r="M796" s="194"/>
    </row>
    <row r="797" ht="22.5" customHeight="1">
      <c r="C797" s="193"/>
      <c r="G797" s="193"/>
      <c r="H797" s="194"/>
      <c r="I797" s="194"/>
      <c r="J797" s="194"/>
      <c r="L797" s="194"/>
      <c r="M797" s="194"/>
    </row>
    <row r="798" ht="22.5" customHeight="1">
      <c r="C798" s="193"/>
      <c r="G798" s="193"/>
      <c r="H798" s="194"/>
      <c r="I798" s="194"/>
      <c r="J798" s="194"/>
      <c r="L798" s="194"/>
      <c r="M798" s="194"/>
    </row>
    <row r="799" ht="22.5" customHeight="1">
      <c r="C799" s="193"/>
      <c r="G799" s="193"/>
      <c r="H799" s="194"/>
      <c r="I799" s="194"/>
      <c r="J799" s="194"/>
      <c r="L799" s="194"/>
      <c r="M799" s="194"/>
    </row>
    <row r="800" ht="22.5" customHeight="1">
      <c r="C800" s="193"/>
      <c r="G800" s="193"/>
      <c r="H800" s="194"/>
      <c r="I800" s="194"/>
      <c r="J800" s="194"/>
      <c r="L800" s="194"/>
      <c r="M800" s="194"/>
    </row>
    <row r="801" ht="22.5" customHeight="1">
      <c r="C801" s="193"/>
      <c r="G801" s="193"/>
      <c r="H801" s="194"/>
      <c r="I801" s="194"/>
      <c r="J801" s="194"/>
      <c r="L801" s="194"/>
      <c r="M801" s="194"/>
    </row>
    <row r="802" ht="22.5" customHeight="1">
      <c r="C802" s="193"/>
      <c r="G802" s="193"/>
      <c r="H802" s="194"/>
      <c r="I802" s="194"/>
      <c r="J802" s="194"/>
      <c r="L802" s="194"/>
      <c r="M802" s="194"/>
    </row>
    <row r="803" ht="22.5" customHeight="1">
      <c r="C803" s="193"/>
      <c r="G803" s="193"/>
      <c r="H803" s="194"/>
      <c r="I803" s="194"/>
      <c r="J803" s="194"/>
      <c r="L803" s="194"/>
      <c r="M803" s="194"/>
    </row>
    <row r="804" ht="22.5" customHeight="1">
      <c r="C804" s="193"/>
      <c r="G804" s="193"/>
      <c r="H804" s="194"/>
      <c r="I804" s="194"/>
      <c r="J804" s="194"/>
      <c r="L804" s="194"/>
      <c r="M804" s="194"/>
    </row>
    <row r="805" ht="22.5" customHeight="1">
      <c r="C805" s="193"/>
      <c r="G805" s="193"/>
      <c r="H805" s="194"/>
      <c r="I805" s="194"/>
      <c r="J805" s="194"/>
      <c r="L805" s="194"/>
      <c r="M805" s="194"/>
    </row>
    <row r="806" ht="22.5" customHeight="1">
      <c r="C806" s="193"/>
      <c r="G806" s="193"/>
      <c r="H806" s="194"/>
      <c r="I806" s="194"/>
      <c r="J806" s="194"/>
      <c r="L806" s="194"/>
      <c r="M806" s="194"/>
    </row>
    <row r="807" ht="22.5" customHeight="1">
      <c r="C807" s="193"/>
      <c r="G807" s="193"/>
      <c r="H807" s="194"/>
      <c r="I807" s="194"/>
      <c r="J807" s="194"/>
      <c r="L807" s="194"/>
      <c r="M807" s="194"/>
    </row>
    <row r="808" ht="22.5" customHeight="1">
      <c r="C808" s="193"/>
      <c r="G808" s="193"/>
      <c r="H808" s="194"/>
      <c r="I808" s="194"/>
      <c r="J808" s="194"/>
      <c r="L808" s="194"/>
      <c r="M808" s="194"/>
    </row>
    <row r="809" ht="22.5" customHeight="1">
      <c r="C809" s="193"/>
      <c r="G809" s="193"/>
      <c r="H809" s="194"/>
      <c r="I809" s="194"/>
      <c r="J809" s="194"/>
      <c r="L809" s="194"/>
      <c r="M809" s="194"/>
    </row>
    <row r="810" ht="22.5" customHeight="1">
      <c r="C810" s="193"/>
      <c r="G810" s="193"/>
      <c r="H810" s="194"/>
      <c r="I810" s="194"/>
      <c r="J810" s="194"/>
      <c r="L810" s="194"/>
      <c r="M810" s="194"/>
    </row>
    <row r="811" ht="22.5" customHeight="1">
      <c r="C811" s="193"/>
      <c r="G811" s="193"/>
      <c r="H811" s="194"/>
      <c r="I811" s="194"/>
      <c r="J811" s="194"/>
      <c r="L811" s="194"/>
      <c r="M811" s="194"/>
    </row>
    <row r="812" ht="22.5" customHeight="1">
      <c r="C812" s="193"/>
      <c r="G812" s="193"/>
      <c r="H812" s="194"/>
      <c r="I812" s="194"/>
      <c r="J812" s="194"/>
      <c r="L812" s="194"/>
      <c r="M812" s="194"/>
    </row>
    <row r="813" ht="22.5" customHeight="1">
      <c r="C813" s="193"/>
      <c r="G813" s="193"/>
      <c r="H813" s="194"/>
      <c r="I813" s="194"/>
      <c r="J813" s="194"/>
      <c r="L813" s="194"/>
      <c r="M813" s="194"/>
    </row>
    <row r="814" ht="22.5" customHeight="1">
      <c r="C814" s="193"/>
      <c r="G814" s="193"/>
      <c r="H814" s="194"/>
      <c r="I814" s="194"/>
      <c r="J814" s="194"/>
      <c r="L814" s="194"/>
      <c r="M814" s="194"/>
    </row>
    <row r="815" ht="22.5" customHeight="1">
      <c r="C815" s="193"/>
      <c r="G815" s="193"/>
      <c r="H815" s="194"/>
      <c r="I815" s="194"/>
      <c r="J815" s="194"/>
      <c r="L815" s="194"/>
      <c r="M815" s="194"/>
    </row>
    <row r="816" ht="22.5" customHeight="1">
      <c r="C816" s="193"/>
      <c r="G816" s="193"/>
      <c r="H816" s="194"/>
      <c r="I816" s="194"/>
      <c r="J816" s="194"/>
      <c r="L816" s="194"/>
      <c r="M816" s="194"/>
    </row>
    <row r="817" ht="22.5" customHeight="1">
      <c r="C817" s="193"/>
      <c r="G817" s="193"/>
      <c r="H817" s="194"/>
      <c r="I817" s="194"/>
      <c r="J817" s="194"/>
      <c r="L817" s="194"/>
      <c r="M817" s="194"/>
    </row>
    <row r="818" ht="22.5" customHeight="1">
      <c r="C818" s="193"/>
      <c r="G818" s="193"/>
      <c r="H818" s="194"/>
      <c r="I818" s="194"/>
      <c r="J818" s="194"/>
      <c r="L818" s="194"/>
      <c r="M818" s="194"/>
    </row>
    <row r="819" ht="22.5" customHeight="1">
      <c r="C819" s="193"/>
      <c r="G819" s="193"/>
      <c r="H819" s="194"/>
      <c r="I819" s="194"/>
      <c r="J819" s="194"/>
      <c r="L819" s="194"/>
      <c r="M819" s="194"/>
    </row>
    <row r="820" ht="22.5" customHeight="1">
      <c r="C820" s="193"/>
      <c r="G820" s="193"/>
      <c r="H820" s="194"/>
      <c r="I820" s="194"/>
      <c r="J820" s="194"/>
      <c r="L820" s="194"/>
      <c r="M820" s="194"/>
    </row>
    <row r="821" ht="22.5" customHeight="1">
      <c r="C821" s="193"/>
      <c r="G821" s="193"/>
      <c r="H821" s="194"/>
      <c r="I821" s="194"/>
      <c r="J821" s="194"/>
      <c r="L821" s="194"/>
      <c r="M821" s="194"/>
    </row>
    <row r="822" ht="22.5" customHeight="1">
      <c r="C822" s="193"/>
      <c r="G822" s="193"/>
      <c r="H822" s="194"/>
      <c r="I822" s="194"/>
      <c r="J822" s="194"/>
      <c r="L822" s="194"/>
      <c r="M822" s="194"/>
    </row>
    <row r="823" ht="22.5" customHeight="1">
      <c r="C823" s="193"/>
      <c r="G823" s="193"/>
      <c r="H823" s="194"/>
      <c r="I823" s="194"/>
      <c r="J823" s="194"/>
      <c r="L823" s="194"/>
      <c r="M823" s="194"/>
    </row>
    <row r="824" ht="22.5" customHeight="1">
      <c r="C824" s="193"/>
      <c r="G824" s="193"/>
      <c r="H824" s="194"/>
      <c r="I824" s="194"/>
      <c r="J824" s="194"/>
      <c r="L824" s="194"/>
      <c r="M824" s="194"/>
    </row>
    <row r="825" ht="22.5" customHeight="1">
      <c r="C825" s="193"/>
      <c r="G825" s="193"/>
      <c r="H825" s="194"/>
      <c r="I825" s="194"/>
      <c r="J825" s="194"/>
      <c r="L825" s="194"/>
      <c r="M825" s="194"/>
    </row>
    <row r="826" ht="22.5" customHeight="1">
      <c r="C826" s="193"/>
      <c r="G826" s="193"/>
      <c r="H826" s="194"/>
      <c r="I826" s="194"/>
      <c r="J826" s="194"/>
      <c r="L826" s="194"/>
      <c r="M826" s="194"/>
    </row>
    <row r="827" ht="22.5" customHeight="1">
      <c r="C827" s="193"/>
      <c r="G827" s="193"/>
      <c r="H827" s="194"/>
      <c r="I827" s="194"/>
      <c r="J827" s="194"/>
      <c r="L827" s="194"/>
      <c r="M827" s="194"/>
    </row>
    <row r="828" ht="22.5" customHeight="1">
      <c r="C828" s="193"/>
      <c r="G828" s="193"/>
      <c r="H828" s="194"/>
      <c r="I828" s="194"/>
      <c r="J828" s="194"/>
      <c r="L828" s="194"/>
      <c r="M828" s="194"/>
    </row>
    <row r="829" ht="22.5" customHeight="1">
      <c r="C829" s="193"/>
      <c r="G829" s="193"/>
      <c r="H829" s="194"/>
      <c r="I829" s="194"/>
      <c r="J829" s="194"/>
      <c r="L829" s="194"/>
      <c r="M829" s="194"/>
    </row>
    <row r="830" ht="22.5" customHeight="1">
      <c r="C830" s="193"/>
      <c r="G830" s="193"/>
      <c r="H830" s="194"/>
      <c r="I830" s="194"/>
      <c r="J830" s="194"/>
      <c r="L830" s="194"/>
      <c r="M830" s="194"/>
    </row>
    <row r="831" ht="22.5" customHeight="1">
      <c r="C831" s="193"/>
      <c r="G831" s="193"/>
      <c r="H831" s="194"/>
      <c r="I831" s="194"/>
      <c r="J831" s="194"/>
      <c r="L831" s="194"/>
      <c r="M831" s="194"/>
    </row>
    <row r="832" ht="22.5" customHeight="1">
      <c r="C832" s="193"/>
      <c r="G832" s="193"/>
      <c r="H832" s="194"/>
      <c r="I832" s="194"/>
      <c r="J832" s="194"/>
      <c r="L832" s="194"/>
      <c r="M832" s="194"/>
    </row>
    <row r="833" ht="22.5" customHeight="1">
      <c r="C833" s="193"/>
      <c r="G833" s="193"/>
      <c r="H833" s="194"/>
      <c r="I833" s="194"/>
      <c r="J833" s="194"/>
      <c r="L833" s="194"/>
      <c r="M833" s="194"/>
    </row>
    <row r="834" ht="22.5" customHeight="1">
      <c r="C834" s="193"/>
      <c r="G834" s="193"/>
      <c r="H834" s="194"/>
      <c r="I834" s="194"/>
      <c r="J834" s="194"/>
      <c r="L834" s="194"/>
      <c r="M834" s="194"/>
    </row>
    <row r="835" ht="22.5" customHeight="1">
      <c r="C835" s="193"/>
      <c r="G835" s="193"/>
      <c r="H835" s="194"/>
      <c r="I835" s="194"/>
      <c r="J835" s="194"/>
      <c r="L835" s="194"/>
      <c r="M835" s="194"/>
    </row>
    <row r="836" ht="22.5" customHeight="1">
      <c r="C836" s="193"/>
      <c r="G836" s="193"/>
      <c r="H836" s="194"/>
      <c r="I836" s="194"/>
      <c r="J836" s="194"/>
      <c r="L836" s="194"/>
      <c r="M836" s="194"/>
    </row>
    <row r="837" ht="22.5" customHeight="1">
      <c r="C837" s="193"/>
      <c r="G837" s="193"/>
      <c r="H837" s="194"/>
      <c r="I837" s="194"/>
      <c r="J837" s="194"/>
      <c r="L837" s="194"/>
      <c r="M837" s="194"/>
    </row>
    <row r="838" ht="22.5" customHeight="1">
      <c r="C838" s="193"/>
      <c r="G838" s="193"/>
      <c r="H838" s="194"/>
      <c r="I838" s="194"/>
      <c r="J838" s="194"/>
      <c r="L838" s="194"/>
      <c r="M838" s="194"/>
    </row>
    <row r="839" ht="22.5" customHeight="1">
      <c r="C839" s="193"/>
      <c r="G839" s="193"/>
      <c r="H839" s="194"/>
      <c r="I839" s="194"/>
      <c r="J839" s="194"/>
      <c r="L839" s="194"/>
      <c r="M839" s="194"/>
    </row>
    <row r="840" ht="22.5" customHeight="1">
      <c r="C840" s="193"/>
      <c r="G840" s="193"/>
      <c r="H840" s="194"/>
      <c r="I840" s="194"/>
      <c r="J840" s="194"/>
      <c r="L840" s="194"/>
      <c r="M840" s="194"/>
    </row>
    <row r="841" ht="22.5" customHeight="1">
      <c r="C841" s="193"/>
      <c r="G841" s="193"/>
      <c r="H841" s="194"/>
      <c r="I841" s="194"/>
      <c r="J841" s="194"/>
      <c r="L841" s="194"/>
      <c r="M841" s="194"/>
    </row>
    <row r="842" ht="22.5" customHeight="1">
      <c r="C842" s="193"/>
      <c r="G842" s="193"/>
      <c r="H842" s="194"/>
      <c r="I842" s="194"/>
      <c r="J842" s="194"/>
      <c r="L842" s="194"/>
      <c r="M842" s="194"/>
    </row>
    <row r="843" ht="22.5" customHeight="1">
      <c r="C843" s="193"/>
      <c r="G843" s="193"/>
      <c r="H843" s="194"/>
      <c r="I843" s="194"/>
      <c r="J843" s="194"/>
      <c r="L843" s="194"/>
      <c r="M843" s="194"/>
    </row>
    <row r="844" ht="22.5" customHeight="1">
      <c r="C844" s="193"/>
      <c r="G844" s="193"/>
      <c r="H844" s="194"/>
      <c r="I844" s="194"/>
      <c r="J844" s="194"/>
      <c r="L844" s="194"/>
      <c r="M844" s="194"/>
    </row>
    <row r="845" ht="22.5" customHeight="1">
      <c r="C845" s="193"/>
      <c r="G845" s="193"/>
      <c r="H845" s="194"/>
      <c r="I845" s="194"/>
      <c r="J845" s="194"/>
      <c r="L845" s="194"/>
      <c r="M845" s="194"/>
    </row>
    <row r="846" ht="22.5" customHeight="1">
      <c r="C846" s="193"/>
      <c r="G846" s="193"/>
      <c r="H846" s="194"/>
      <c r="I846" s="194"/>
      <c r="J846" s="194"/>
      <c r="L846" s="194"/>
      <c r="M846" s="194"/>
    </row>
    <row r="847" ht="22.5" customHeight="1">
      <c r="C847" s="193"/>
      <c r="G847" s="193"/>
      <c r="H847" s="194"/>
      <c r="I847" s="194"/>
      <c r="J847" s="194"/>
      <c r="L847" s="194"/>
      <c r="M847" s="194"/>
    </row>
    <row r="848" ht="22.5" customHeight="1">
      <c r="C848" s="193"/>
      <c r="G848" s="193"/>
      <c r="H848" s="194"/>
      <c r="I848" s="194"/>
      <c r="J848" s="194"/>
      <c r="L848" s="194"/>
      <c r="M848" s="194"/>
    </row>
    <row r="849" ht="22.5" customHeight="1">
      <c r="C849" s="193"/>
      <c r="G849" s="193"/>
      <c r="H849" s="194"/>
      <c r="I849" s="194"/>
      <c r="J849" s="194"/>
      <c r="L849" s="194"/>
      <c r="M849" s="194"/>
    </row>
    <row r="850" ht="22.5" customHeight="1">
      <c r="C850" s="193"/>
      <c r="G850" s="193"/>
      <c r="H850" s="194"/>
      <c r="I850" s="194"/>
      <c r="J850" s="194"/>
      <c r="L850" s="194"/>
      <c r="M850" s="194"/>
    </row>
    <row r="851" ht="22.5" customHeight="1">
      <c r="C851" s="193"/>
      <c r="G851" s="193"/>
      <c r="H851" s="194"/>
      <c r="I851" s="194"/>
      <c r="J851" s="194"/>
      <c r="L851" s="194"/>
      <c r="M851" s="194"/>
    </row>
    <row r="852" ht="22.5" customHeight="1">
      <c r="C852" s="193"/>
      <c r="G852" s="193"/>
      <c r="H852" s="194"/>
      <c r="I852" s="194"/>
      <c r="J852" s="194"/>
      <c r="L852" s="194"/>
      <c r="M852" s="194"/>
    </row>
    <row r="853" ht="22.5" customHeight="1">
      <c r="C853" s="193"/>
      <c r="G853" s="193"/>
      <c r="H853" s="194"/>
      <c r="I853" s="194"/>
      <c r="J853" s="194"/>
      <c r="L853" s="194"/>
      <c r="M853" s="194"/>
    </row>
    <row r="854" ht="22.5" customHeight="1">
      <c r="C854" s="193"/>
      <c r="G854" s="193"/>
      <c r="H854" s="194"/>
      <c r="I854" s="194"/>
      <c r="J854" s="194"/>
      <c r="L854" s="194"/>
      <c r="M854" s="194"/>
    </row>
    <row r="855" ht="22.5" customHeight="1">
      <c r="C855" s="193"/>
      <c r="G855" s="193"/>
      <c r="H855" s="194"/>
      <c r="I855" s="194"/>
      <c r="J855" s="194"/>
      <c r="L855" s="194"/>
      <c r="M855" s="194"/>
    </row>
    <row r="856" ht="22.5" customHeight="1">
      <c r="C856" s="193"/>
      <c r="G856" s="193"/>
      <c r="H856" s="194"/>
      <c r="I856" s="194"/>
      <c r="J856" s="194"/>
      <c r="L856" s="194"/>
      <c r="M856" s="194"/>
    </row>
    <row r="857" ht="22.5" customHeight="1">
      <c r="C857" s="193"/>
      <c r="G857" s="193"/>
      <c r="H857" s="194"/>
      <c r="I857" s="194"/>
      <c r="J857" s="194"/>
      <c r="L857" s="194"/>
      <c r="M857" s="194"/>
    </row>
    <row r="858" ht="22.5" customHeight="1">
      <c r="C858" s="193"/>
      <c r="G858" s="193"/>
      <c r="H858" s="194"/>
      <c r="I858" s="194"/>
      <c r="J858" s="194"/>
      <c r="L858" s="194"/>
      <c r="M858" s="194"/>
    </row>
    <row r="859" ht="22.5" customHeight="1">
      <c r="C859" s="193"/>
      <c r="G859" s="193"/>
      <c r="H859" s="194"/>
      <c r="I859" s="194"/>
      <c r="J859" s="194"/>
      <c r="L859" s="194"/>
      <c r="M859" s="194"/>
    </row>
    <row r="860" ht="22.5" customHeight="1">
      <c r="C860" s="193"/>
      <c r="G860" s="193"/>
      <c r="H860" s="194"/>
      <c r="I860" s="194"/>
      <c r="J860" s="194"/>
      <c r="L860" s="194"/>
      <c r="M860" s="194"/>
    </row>
    <row r="861" ht="22.5" customHeight="1">
      <c r="C861" s="193"/>
      <c r="G861" s="193"/>
      <c r="H861" s="194"/>
      <c r="I861" s="194"/>
      <c r="J861" s="194"/>
      <c r="L861" s="194"/>
      <c r="M861" s="194"/>
    </row>
    <row r="862" ht="22.5" customHeight="1">
      <c r="C862" s="193"/>
      <c r="G862" s="193"/>
      <c r="H862" s="194"/>
      <c r="I862" s="194"/>
      <c r="J862" s="194"/>
      <c r="L862" s="194"/>
      <c r="M862" s="194"/>
    </row>
    <row r="863" ht="22.5" customHeight="1">
      <c r="C863" s="193"/>
      <c r="G863" s="193"/>
      <c r="H863" s="194"/>
      <c r="I863" s="194"/>
      <c r="J863" s="194"/>
      <c r="L863" s="194"/>
      <c r="M863" s="194"/>
    </row>
    <row r="864" ht="22.5" customHeight="1">
      <c r="C864" s="193"/>
      <c r="G864" s="193"/>
      <c r="H864" s="194"/>
      <c r="I864" s="194"/>
      <c r="J864" s="194"/>
      <c r="L864" s="194"/>
      <c r="M864" s="194"/>
    </row>
    <row r="865" ht="22.5" customHeight="1">
      <c r="C865" s="193"/>
      <c r="G865" s="193"/>
      <c r="H865" s="194"/>
      <c r="I865" s="194"/>
      <c r="J865" s="194"/>
      <c r="L865" s="194"/>
      <c r="M865" s="194"/>
    </row>
    <row r="866" ht="22.5" customHeight="1">
      <c r="C866" s="193"/>
      <c r="G866" s="193"/>
      <c r="H866" s="194"/>
      <c r="I866" s="194"/>
      <c r="J866" s="194"/>
      <c r="L866" s="194"/>
      <c r="M866" s="194"/>
    </row>
    <row r="867" ht="22.5" customHeight="1">
      <c r="C867" s="193"/>
      <c r="G867" s="193"/>
      <c r="H867" s="194"/>
      <c r="I867" s="194"/>
      <c r="J867" s="194"/>
      <c r="L867" s="194"/>
      <c r="M867" s="194"/>
    </row>
    <row r="868" ht="22.5" customHeight="1">
      <c r="C868" s="193"/>
      <c r="G868" s="193"/>
      <c r="H868" s="194"/>
      <c r="I868" s="194"/>
      <c r="J868" s="194"/>
      <c r="L868" s="194"/>
      <c r="M868" s="194"/>
    </row>
    <row r="869" ht="22.5" customHeight="1">
      <c r="C869" s="193"/>
      <c r="G869" s="193"/>
      <c r="H869" s="194"/>
      <c r="I869" s="194"/>
      <c r="J869" s="194"/>
      <c r="L869" s="194"/>
      <c r="M869" s="194"/>
    </row>
    <row r="870" ht="22.5" customHeight="1">
      <c r="C870" s="193"/>
      <c r="G870" s="193"/>
      <c r="H870" s="194"/>
      <c r="I870" s="194"/>
      <c r="J870" s="194"/>
      <c r="L870" s="194"/>
      <c r="M870" s="194"/>
    </row>
    <row r="871" ht="22.5" customHeight="1">
      <c r="C871" s="193"/>
      <c r="G871" s="193"/>
      <c r="H871" s="194"/>
      <c r="I871" s="194"/>
      <c r="J871" s="194"/>
      <c r="L871" s="194"/>
      <c r="M871" s="194"/>
    </row>
    <row r="872" ht="22.5" customHeight="1">
      <c r="C872" s="193"/>
      <c r="G872" s="193"/>
      <c r="H872" s="194"/>
      <c r="I872" s="194"/>
      <c r="J872" s="194"/>
      <c r="L872" s="194"/>
      <c r="M872" s="194"/>
    </row>
    <row r="873" ht="22.5" customHeight="1">
      <c r="C873" s="193"/>
      <c r="G873" s="193"/>
      <c r="H873" s="194"/>
      <c r="I873" s="194"/>
      <c r="J873" s="194"/>
      <c r="L873" s="194"/>
      <c r="M873" s="194"/>
    </row>
    <row r="874" ht="22.5" customHeight="1">
      <c r="C874" s="193"/>
      <c r="G874" s="193"/>
      <c r="H874" s="194"/>
      <c r="I874" s="194"/>
      <c r="J874" s="194"/>
      <c r="L874" s="194"/>
      <c r="M874" s="194"/>
    </row>
    <row r="875" ht="22.5" customHeight="1">
      <c r="C875" s="193"/>
      <c r="G875" s="193"/>
      <c r="H875" s="194"/>
      <c r="I875" s="194"/>
      <c r="J875" s="194"/>
      <c r="L875" s="194"/>
      <c r="M875" s="194"/>
    </row>
    <row r="876" ht="22.5" customHeight="1">
      <c r="C876" s="193"/>
      <c r="G876" s="193"/>
      <c r="H876" s="194"/>
      <c r="I876" s="194"/>
      <c r="J876" s="194"/>
      <c r="L876" s="194"/>
      <c r="M876" s="194"/>
    </row>
    <row r="877" ht="22.5" customHeight="1">
      <c r="C877" s="193"/>
      <c r="G877" s="193"/>
      <c r="H877" s="194"/>
      <c r="I877" s="194"/>
      <c r="J877" s="194"/>
      <c r="L877" s="194"/>
      <c r="M877" s="194"/>
    </row>
    <row r="878" ht="22.5" customHeight="1">
      <c r="C878" s="193"/>
      <c r="G878" s="193"/>
      <c r="H878" s="194"/>
      <c r="I878" s="194"/>
      <c r="J878" s="194"/>
      <c r="L878" s="194"/>
      <c r="M878" s="194"/>
    </row>
    <row r="879" ht="22.5" customHeight="1">
      <c r="C879" s="193"/>
      <c r="G879" s="193"/>
      <c r="H879" s="194"/>
      <c r="I879" s="194"/>
      <c r="J879" s="194"/>
      <c r="L879" s="194"/>
      <c r="M879" s="194"/>
    </row>
    <row r="880" ht="22.5" customHeight="1">
      <c r="C880" s="193"/>
      <c r="G880" s="193"/>
      <c r="H880" s="194"/>
      <c r="I880" s="194"/>
      <c r="J880" s="194"/>
      <c r="L880" s="194"/>
      <c r="M880" s="194"/>
    </row>
    <row r="881" ht="22.5" customHeight="1">
      <c r="C881" s="193"/>
      <c r="G881" s="193"/>
      <c r="H881" s="194"/>
      <c r="I881" s="194"/>
      <c r="J881" s="194"/>
      <c r="L881" s="194"/>
      <c r="M881" s="194"/>
    </row>
    <row r="882" ht="22.5" customHeight="1">
      <c r="C882" s="193"/>
      <c r="G882" s="193"/>
      <c r="H882" s="194"/>
      <c r="I882" s="194"/>
      <c r="J882" s="194"/>
      <c r="L882" s="194"/>
      <c r="M882" s="194"/>
    </row>
    <row r="883" ht="22.5" customHeight="1">
      <c r="C883" s="193"/>
      <c r="G883" s="193"/>
      <c r="H883" s="194"/>
      <c r="I883" s="194"/>
      <c r="J883" s="194"/>
      <c r="L883" s="194"/>
      <c r="M883" s="194"/>
    </row>
    <row r="884" ht="22.5" customHeight="1">
      <c r="C884" s="193"/>
      <c r="G884" s="193"/>
      <c r="H884" s="194"/>
      <c r="I884" s="194"/>
      <c r="J884" s="194"/>
      <c r="L884" s="194"/>
      <c r="M884" s="194"/>
    </row>
    <row r="885" ht="22.5" customHeight="1">
      <c r="C885" s="193"/>
      <c r="G885" s="193"/>
      <c r="H885" s="194"/>
      <c r="I885" s="194"/>
      <c r="J885" s="194"/>
      <c r="L885" s="194"/>
      <c r="M885" s="194"/>
    </row>
    <row r="886" ht="22.5" customHeight="1">
      <c r="C886" s="193"/>
      <c r="G886" s="193"/>
      <c r="H886" s="194"/>
      <c r="I886" s="194"/>
      <c r="J886" s="194"/>
      <c r="L886" s="194"/>
      <c r="M886" s="194"/>
    </row>
    <row r="887" ht="22.5" customHeight="1">
      <c r="C887" s="193"/>
      <c r="G887" s="193"/>
      <c r="H887" s="194"/>
      <c r="I887" s="194"/>
      <c r="J887" s="194"/>
      <c r="L887" s="194"/>
      <c r="M887" s="194"/>
    </row>
    <row r="888" ht="22.5" customHeight="1">
      <c r="C888" s="193"/>
      <c r="G888" s="193"/>
      <c r="H888" s="194"/>
      <c r="I888" s="194"/>
      <c r="J888" s="194"/>
      <c r="L888" s="194"/>
      <c r="M888" s="194"/>
    </row>
    <row r="889" ht="22.5" customHeight="1">
      <c r="C889" s="193"/>
      <c r="G889" s="193"/>
      <c r="H889" s="194"/>
      <c r="I889" s="194"/>
      <c r="J889" s="194"/>
      <c r="L889" s="194"/>
      <c r="M889" s="194"/>
    </row>
    <row r="890" ht="22.5" customHeight="1">
      <c r="C890" s="193"/>
      <c r="G890" s="193"/>
      <c r="H890" s="194"/>
      <c r="I890" s="194"/>
      <c r="J890" s="194"/>
      <c r="L890" s="194"/>
      <c r="M890" s="194"/>
    </row>
    <row r="891" ht="22.5" customHeight="1">
      <c r="C891" s="193"/>
      <c r="G891" s="193"/>
      <c r="H891" s="194"/>
      <c r="I891" s="194"/>
      <c r="J891" s="194"/>
      <c r="L891" s="194"/>
      <c r="M891" s="194"/>
    </row>
    <row r="892" ht="22.5" customHeight="1">
      <c r="C892" s="193"/>
      <c r="G892" s="193"/>
      <c r="H892" s="194"/>
      <c r="I892" s="194"/>
      <c r="J892" s="194"/>
      <c r="L892" s="194"/>
      <c r="M892" s="194"/>
    </row>
    <row r="893" ht="22.5" customHeight="1">
      <c r="C893" s="193"/>
      <c r="G893" s="193"/>
      <c r="H893" s="194"/>
      <c r="I893" s="194"/>
      <c r="J893" s="194"/>
      <c r="L893" s="194"/>
      <c r="M893" s="194"/>
    </row>
    <row r="894" ht="22.5" customHeight="1">
      <c r="C894" s="193"/>
      <c r="G894" s="193"/>
      <c r="H894" s="194"/>
      <c r="I894" s="194"/>
      <c r="J894" s="194"/>
      <c r="L894" s="194"/>
      <c r="M894" s="194"/>
    </row>
    <row r="895" ht="22.5" customHeight="1">
      <c r="C895" s="193"/>
      <c r="G895" s="193"/>
      <c r="H895" s="194"/>
      <c r="I895" s="194"/>
      <c r="J895" s="194"/>
      <c r="L895" s="194"/>
      <c r="M895" s="194"/>
    </row>
    <row r="896" ht="22.5" customHeight="1">
      <c r="C896" s="193"/>
      <c r="G896" s="193"/>
      <c r="H896" s="194"/>
      <c r="I896" s="194"/>
      <c r="J896" s="194"/>
      <c r="L896" s="194"/>
      <c r="M896" s="194"/>
    </row>
    <row r="897" ht="22.5" customHeight="1">
      <c r="C897" s="193"/>
      <c r="G897" s="193"/>
      <c r="H897" s="194"/>
      <c r="I897" s="194"/>
      <c r="J897" s="194"/>
      <c r="L897" s="194"/>
      <c r="M897" s="194"/>
    </row>
    <row r="898" ht="22.5" customHeight="1">
      <c r="C898" s="193"/>
      <c r="G898" s="193"/>
      <c r="H898" s="194"/>
      <c r="I898" s="194"/>
      <c r="J898" s="194"/>
      <c r="L898" s="194"/>
      <c r="M898" s="194"/>
    </row>
    <row r="899" ht="22.5" customHeight="1">
      <c r="C899" s="193"/>
      <c r="G899" s="193"/>
      <c r="H899" s="194"/>
      <c r="I899" s="194"/>
      <c r="J899" s="194"/>
      <c r="L899" s="194"/>
      <c r="M899" s="194"/>
    </row>
    <row r="900" ht="22.5" customHeight="1">
      <c r="C900" s="193"/>
      <c r="G900" s="193"/>
      <c r="H900" s="194"/>
      <c r="I900" s="194"/>
      <c r="J900" s="194"/>
      <c r="L900" s="194"/>
      <c r="M900" s="194"/>
    </row>
    <row r="901" ht="22.5" customHeight="1">
      <c r="C901" s="193"/>
      <c r="G901" s="193"/>
      <c r="H901" s="194"/>
      <c r="I901" s="194"/>
      <c r="J901" s="194"/>
      <c r="L901" s="194"/>
      <c r="M901" s="194"/>
    </row>
    <row r="902" ht="22.5" customHeight="1">
      <c r="C902" s="193"/>
      <c r="G902" s="193"/>
      <c r="H902" s="194"/>
      <c r="I902" s="194"/>
      <c r="J902" s="194"/>
      <c r="L902" s="194"/>
      <c r="M902" s="194"/>
    </row>
    <row r="903" ht="22.5" customHeight="1">
      <c r="C903" s="193"/>
      <c r="G903" s="193"/>
      <c r="H903" s="194"/>
      <c r="I903" s="194"/>
      <c r="J903" s="194"/>
      <c r="L903" s="194"/>
      <c r="M903" s="194"/>
    </row>
    <row r="904" ht="22.5" customHeight="1">
      <c r="C904" s="193"/>
      <c r="G904" s="193"/>
      <c r="H904" s="194"/>
      <c r="I904" s="194"/>
      <c r="J904" s="194"/>
      <c r="L904" s="194"/>
      <c r="M904" s="194"/>
    </row>
    <row r="905" ht="22.5" customHeight="1">
      <c r="C905" s="193"/>
      <c r="G905" s="193"/>
      <c r="H905" s="194"/>
      <c r="I905" s="194"/>
      <c r="J905" s="194"/>
      <c r="L905" s="194"/>
      <c r="M905" s="194"/>
    </row>
    <row r="906" ht="22.5" customHeight="1">
      <c r="C906" s="193"/>
      <c r="G906" s="193"/>
      <c r="H906" s="194"/>
      <c r="I906" s="194"/>
      <c r="J906" s="194"/>
      <c r="L906" s="194"/>
      <c r="M906" s="194"/>
    </row>
    <row r="907" ht="22.5" customHeight="1">
      <c r="C907" s="193"/>
      <c r="G907" s="193"/>
      <c r="H907" s="194"/>
      <c r="I907" s="194"/>
      <c r="J907" s="194"/>
      <c r="L907" s="194"/>
      <c r="M907" s="194"/>
    </row>
    <row r="908" ht="22.5" customHeight="1">
      <c r="C908" s="193"/>
      <c r="G908" s="193"/>
      <c r="H908" s="194"/>
      <c r="I908" s="194"/>
      <c r="J908" s="194"/>
      <c r="L908" s="194"/>
      <c r="M908" s="194"/>
    </row>
    <row r="909" ht="22.5" customHeight="1">
      <c r="C909" s="193"/>
      <c r="G909" s="193"/>
      <c r="H909" s="194"/>
      <c r="I909" s="194"/>
      <c r="J909" s="194"/>
      <c r="L909" s="194"/>
      <c r="M909" s="194"/>
    </row>
    <row r="910" ht="22.5" customHeight="1">
      <c r="C910" s="193"/>
      <c r="G910" s="193"/>
      <c r="H910" s="194"/>
      <c r="I910" s="194"/>
      <c r="J910" s="194"/>
      <c r="L910" s="194"/>
      <c r="M910" s="194"/>
    </row>
    <row r="911" ht="22.5" customHeight="1">
      <c r="C911" s="193"/>
      <c r="G911" s="193"/>
      <c r="H911" s="194"/>
      <c r="I911" s="194"/>
      <c r="J911" s="194"/>
      <c r="L911" s="194"/>
      <c r="M911" s="194"/>
    </row>
    <row r="912" ht="22.5" customHeight="1">
      <c r="C912" s="193"/>
      <c r="G912" s="193"/>
      <c r="H912" s="194"/>
      <c r="I912" s="194"/>
      <c r="J912" s="194"/>
      <c r="L912" s="194"/>
      <c r="M912" s="194"/>
    </row>
    <row r="913" ht="22.5" customHeight="1">
      <c r="C913" s="193"/>
      <c r="G913" s="193"/>
      <c r="H913" s="194"/>
      <c r="I913" s="194"/>
      <c r="J913" s="194"/>
      <c r="L913" s="194"/>
      <c r="M913" s="194"/>
    </row>
    <row r="914" ht="22.5" customHeight="1">
      <c r="C914" s="193"/>
      <c r="G914" s="193"/>
      <c r="H914" s="194"/>
      <c r="I914" s="194"/>
      <c r="J914" s="194"/>
      <c r="L914" s="194"/>
      <c r="M914" s="194"/>
    </row>
    <row r="915" ht="22.5" customHeight="1">
      <c r="C915" s="193"/>
      <c r="G915" s="193"/>
      <c r="H915" s="194"/>
      <c r="I915" s="194"/>
      <c r="J915" s="194"/>
      <c r="L915" s="194"/>
      <c r="M915" s="194"/>
    </row>
    <row r="916" ht="22.5" customHeight="1">
      <c r="C916" s="193"/>
      <c r="G916" s="193"/>
      <c r="H916" s="194"/>
      <c r="I916" s="194"/>
      <c r="J916" s="194"/>
      <c r="L916" s="194"/>
      <c r="M916" s="194"/>
    </row>
    <row r="917" ht="22.5" customHeight="1">
      <c r="C917" s="193"/>
      <c r="G917" s="193"/>
      <c r="H917" s="194"/>
      <c r="I917" s="194"/>
      <c r="J917" s="194"/>
      <c r="L917" s="194"/>
      <c r="M917" s="194"/>
    </row>
    <row r="918" ht="22.5" customHeight="1">
      <c r="C918" s="193"/>
      <c r="G918" s="193"/>
      <c r="H918" s="194"/>
      <c r="I918" s="194"/>
      <c r="J918" s="194"/>
      <c r="L918" s="194"/>
      <c r="M918" s="194"/>
    </row>
    <row r="919" ht="22.5" customHeight="1">
      <c r="C919" s="193"/>
      <c r="G919" s="193"/>
      <c r="H919" s="194"/>
      <c r="I919" s="194"/>
      <c r="J919" s="194"/>
      <c r="L919" s="194"/>
      <c r="M919" s="194"/>
    </row>
    <row r="920" ht="22.5" customHeight="1">
      <c r="C920" s="193"/>
      <c r="G920" s="193"/>
      <c r="H920" s="194"/>
      <c r="I920" s="194"/>
      <c r="J920" s="194"/>
      <c r="L920" s="194"/>
      <c r="M920" s="194"/>
    </row>
    <row r="921" ht="22.5" customHeight="1">
      <c r="C921" s="193"/>
      <c r="G921" s="193"/>
      <c r="H921" s="194"/>
      <c r="I921" s="194"/>
      <c r="J921" s="194"/>
      <c r="L921" s="194"/>
      <c r="M921" s="194"/>
    </row>
    <row r="922" ht="22.5" customHeight="1">
      <c r="C922" s="193"/>
      <c r="G922" s="193"/>
      <c r="H922" s="194"/>
      <c r="I922" s="194"/>
      <c r="J922" s="194"/>
      <c r="L922" s="194"/>
      <c r="M922" s="194"/>
    </row>
    <row r="923" ht="22.5" customHeight="1">
      <c r="C923" s="193"/>
      <c r="G923" s="193"/>
      <c r="H923" s="194"/>
      <c r="I923" s="194"/>
      <c r="J923" s="194"/>
      <c r="L923" s="194"/>
      <c r="M923" s="194"/>
    </row>
    <row r="924" ht="22.5" customHeight="1">
      <c r="C924" s="193"/>
      <c r="G924" s="193"/>
      <c r="H924" s="194"/>
      <c r="I924" s="194"/>
      <c r="J924" s="194"/>
      <c r="L924" s="194"/>
      <c r="M924" s="194"/>
    </row>
    <row r="925" ht="22.5" customHeight="1">
      <c r="C925" s="193"/>
      <c r="G925" s="193"/>
      <c r="H925" s="194"/>
      <c r="I925" s="194"/>
      <c r="J925" s="194"/>
      <c r="L925" s="194"/>
      <c r="M925" s="194"/>
    </row>
    <row r="926" ht="22.5" customHeight="1">
      <c r="C926" s="193"/>
      <c r="G926" s="193"/>
      <c r="H926" s="194"/>
      <c r="I926" s="194"/>
      <c r="J926" s="194"/>
      <c r="L926" s="194"/>
      <c r="M926" s="194"/>
    </row>
    <row r="927" ht="22.5" customHeight="1">
      <c r="C927" s="193"/>
      <c r="G927" s="193"/>
      <c r="H927" s="194"/>
      <c r="I927" s="194"/>
      <c r="J927" s="194"/>
      <c r="L927" s="194"/>
      <c r="M927" s="194"/>
    </row>
    <row r="928" ht="22.5" customHeight="1">
      <c r="C928" s="193"/>
      <c r="G928" s="193"/>
      <c r="H928" s="194"/>
      <c r="I928" s="194"/>
      <c r="J928" s="194"/>
      <c r="L928" s="194"/>
      <c r="M928" s="194"/>
    </row>
    <row r="929" ht="22.5" customHeight="1">
      <c r="C929" s="193"/>
      <c r="G929" s="193"/>
      <c r="H929" s="194"/>
      <c r="I929" s="194"/>
      <c r="J929" s="194"/>
      <c r="L929" s="194"/>
      <c r="M929" s="194"/>
    </row>
    <row r="930" ht="22.5" customHeight="1">
      <c r="C930" s="193"/>
      <c r="G930" s="193"/>
      <c r="H930" s="194"/>
      <c r="I930" s="194"/>
      <c r="J930" s="194"/>
      <c r="L930" s="194"/>
      <c r="M930" s="194"/>
    </row>
    <row r="931" ht="22.5" customHeight="1">
      <c r="C931" s="193"/>
      <c r="G931" s="193"/>
      <c r="H931" s="194"/>
      <c r="I931" s="194"/>
      <c r="J931" s="194"/>
      <c r="L931" s="194"/>
      <c r="M931" s="194"/>
    </row>
    <row r="932" ht="22.5" customHeight="1">
      <c r="C932" s="193"/>
      <c r="G932" s="193"/>
      <c r="H932" s="194"/>
      <c r="I932" s="194"/>
      <c r="J932" s="194"/>
      <c r="L932" s="194"/>
      <c r="M932" s="194"/>
    </row>
    <row r="933" ht="22.5" customHeight="1">
      <c r="C933" s="193"/>
      <c r="G933" s="193"/>
      <c r="H933" s="194"/>
      <c r="I933" s="194"/>
      <c r="J933" s="194"/>
      <c r="L933" s="194"/>
      <c r="M933" s="194"/>
    </row>
    <row r="934" ht="22.5" customHeight="1">
      <c r="C934" s="193"/>
      <c r="G934" s="193"/>
      <c r="H934" s="194"/>
      <c r="I934" s="194"/>
      <c r="J934" s="194"/>
      <c r="L934" s="194"/>
      <c r="M934" s="194"/>
    </row>
    <row r="935" ht="22.5" customHeight="1">
      <c r="C935" s="193"/>
      <c r="G935" s="193"/>
      <c r="H935" s="194"/>
      <c r="I935" s="194"/>
      <c r="J935" s="194"/>
      <c r="L935" s="194"/>
      <c r="M935" s="194"/>
    </row>
    <row r="936" ht="22.5" customHeight="1">
      <c r="C936" s="193"/>
      <c r="G936" s="193"/>
      <c r="H936" s="194"/>
      <c r="I936" s="194"/>
      <c r="J936" s="194"/>
      <c r="L936" s="194"/>
      <c r="M936" s="194"/>
    </row>
    <row r="937" ht="22.5" customHeight="1">
      <c r="C937" s="193"/>
      <c r="G937" s="193"/>
      <c r="H937" s="194"/>
      <c r="I937" s="194"/>
      <c r="J937" s="194"/>
      <c r="L937" s="194"/>
      <c r="M937" s="194"/>
    </row>
    <row r="938" ht="22.5" customHeight="1">
      <c r="C938" s="193"/>
      <c r="G938" s="193"/>
      <c r="H938" s="194"/>
      <c r="I938" s="194"/>
      <c r="J938" s="194"/>
      <c r="L938" s="194"/>
      <c r="M938" s="194"/>
    </row>
    <row r="939" ht="22.5" customHeight="1">
      <c r="C939" s="193"/>
      <c r="G939" s="193"/>
      <c r="H939" s="194"/>
      <c r="I939" s="194"/>
      <c r="J939" s="194"/>
      <c r="L939" s="194"/>
      <c r="M939" s="194"/>
    </row>
    <row r="940" ht="22.5" customHeight="1">
      <c r="C940" s="193"/>
      <c r="G940" s="193"/>
      <c r="H940" s="194"/>
      <c r="I940" s="194"/>
      <c r="J940" s="194"/>
      <c r="L940" s="194"/>
      <c r="M940" s="194"/>
    </row>
    <row r="941" ht="22.5" customHeight="1">
      <c r="C941" s="193"/>
      <c r="G941" s="193"/>
      <c r="H941" s="194"/>
      <c r="I941" s="194"/>
      <c r="J941" s="194"/>
      <c r="L941" s="194"/>
      <c r="M941" s="194"/>
    </row>
    <row r="942" ht="22.5" customHeight="1">
      <c r="C942" s="193"/>
      <c r="G942" s="193"/>
      <c r="H942" s="194"/>
      <c r="I942" s="194"/>
      <c r="J942" s="194"/>
      <c r="L942" s="194"/>
      <c r="M942" s="194"/>
    </row>
    <row r="943" ht="22.5" customHeight="1">
      <c r="C943" s="193"/>
      <c r="G943" s="193"/>
      <c r="H943" s="194"/>
      <c r="I943" s="194"/>
      <c r="J943" s="194"/>
      <c r="L943" s="194"/>
      <c r="M943" s="194"/>
    </row>
    <row r="944" ht="22.5" customHeight="1">
      <c r="C944" s="193"/>
      <c r="G944" s="193"/>
      <c r="H944" s="194"/>
      <c r="I944" s="194"/>
      <c r="J944" s="194"/>
      <c r="L944" s="194"/>
      <c r="M944" s="194"/>
    </row>
    <row r="945" ht="22.5" customHeight="1">
      <c r="C945" s="193"/>
      <c r="G945" s="193"/>
      <c r="H945" s="194"/>
      <c r="I945" s="194"/>
      <c r="J945" s="194"/>
      <c r="L945" s="194"/>
      <c r="M945" s="194"/>
    </row>
    <row r="946" ht="22.5" customHeight="1">
      <c r="C946" s="193"/>
      <c r="G946" s="193"/>
      <c r="H946" s="194"/>
      <c r="I946" s="194"/>
      <c r="J946" s="194"/>
      <c r="L946" s="194"/>
      <c r="M946" s="194"/>
    </row>
    <row r="947" ht="22.5" customHeight="1">
      <c r="C947" s="193"/>
      <c r="G947" s="193"/>
      <c r="H947" s="194"/>
      <c r="I947" s="194"/>
      <c r="J947" s="194"/>
      <c r="L947" s="194"/>
      <c r="M947" s="194"/>
    </row>
    <row r="948" ht="22.5" customHeight="1">
      <c r="C948" s="193"/>
      <c r="G948" s="193"/>
      <c r="H948" s="194"/>
      <c r="I948" s="194"/>
      <c r="J948" s="194"/>
      <c r="L948" s="194"/>
      <c r="M948" s="194"/>
    </row>
    <row r="949" ht="22.5" customHeight="1">
      <c r="C949" s="193"/>
      <c r="G949" s="193"/>
      <c r="H949" s="194"/>
      <c r="I949" s="194"/>
      <c r="J949" s="194"/>
      <c r="L949" s="194"/>
      <c r="M949" s="194"/>
    </row>
    <row r="950" ht="22.5" customHeight="1">
      <c r="C950" s="193"/>
      <c r="G950" s="193"/>
      <c r="H950" s="194"/>
      <c r="I950" s="194"/>
      <c r="J950" s="194"/>
      <c r="L950" s="194"/>
      <c r="M950" s="194"/>
    </row>
    <row r="951" ht="22.5" customHeight="1">
      <c r="C951" s="193"/>
      <c r="G951" s="193"/>
      <c r="H951" s="194"/>
      <c r="I951" s="194"/>
      <c r="J951" s="194"/>
      <c r="L951" s="194"/>
      <c r="M951" s="194"/>
    </row>
    <row r="952" ht="22.5" customHeight="1">
      <c r="C952" s="193"/>
      <c r="G952" s="193"/>
      <c r="H952" s="194"/>
      <c r="I952" s="194"/>
      <c r="J952" s="194"/>
      <c r="L952" s="194"/>
      <c r="M952" s="194"/>
    </row>
    <row r="953" ht="22.5" customHeight="1">
      <c r="C953" s="193"/>
      <c r="G953" s="193"/>
      <c r="H953" s="194"/>
      <c r="I953" s="194"/>
      <c r="J953" s="194"/>
      <c r="L953" s="194"/>
      <c r="M953" s="194"/>
    </row>
    <row r="954" ht="22.5" customHeight="1">
      <c r="C954" s="193"/>
      <c r="G954" s="193"/>
      <c r="H954" s="194"/>
      <c r="I954" s="194"/>
      <c r="J954" s="194"/>
      <c r="L954" s="194"/>
      <c r="M954" s="194"/>
    </row>
    <row r="955" ht="22.5" customHeight="1">
      <c r="C955" s="193"/>
      <c r="G955" s="193"/>
      <c r="H955" s="194"/>
      <c r="I955" s="194"/>
      <c r="J955" s="194"/>
      <c r="L955" s="194"/>
      <c r="M955" s="194"/>
    </row>
    <row r="956" ht="22.5" customHeight="1">
      <c r="C956" s="193"/>
      <c r="G956" s="193"/>
      <c r="H956" s="194"/>
      <c r="I956" s="194"/>
      <c r="J956" s="194"/>
      <c r="L956" s="194"/>
      <c r="M956" s="194"/>
    </row>
    <row r="957" ht="22.5" customHeight="1">
      <c r="C957" s="193"/>
      <c r="G957" s="193"/>
      <c r="H957" s="194"/>
      <c r="I957" s="194"/>
      <c r="J957" s="194"/>
      <c r="L957" s="194"/>
      <c r="M957" s="194"/>
    </row>
    <row r="958" ht="22.5" customHeight="1">
      <c r="C958" s="193"/>
      <c r="G958" s="193"/>
      <c r="H958" s="194"/>
      <c r="I958" s="194"/>
      <c r="J958" s="194"/>
      <c r="L958" s="194"/>
      <c r="M958" s="194"/>
    </row>
    <row r="959" ht="22.5" customHeight="1">
      <c r="C959" s="193"/>
      <c r="G959" s="193"/>
      <c r="H959" s="194"/>
      <c r="I959" s="194"/>
      <c r="J959" s="194"/>
      <c r="L959" s="194"/>
      <c r="M959" s="194"/>
    </row>
    <row r="960" ht="22.5" customHeight="1">
      <c r="C960" s="193"/>
      <c r="G960" s="193"/>
      <c r="H960" s="194"/>
      <c r="I960" s="194"/>
      <c r="J960" s="194"/>
      <c r="L960" s="194"/>
      <c r="M960" s="194"/>
    </row>
    <row r="961" ht="22.5" customHeight="1">
      <c r="C961" s="193"/>
      <c r="G961" s="193"/>
      <c r="H961" s="194"/>
      <c r="I961" s="194"/>
      <c r="J961" s="194"/>
      <c r="L961" s="194"/>
      <c r="M961" s="194"/>
    </row>
    <row r="962" ht="22.5" customHeight="1">
      <c r="C962" s="193"/>
      <c r="G962" s="193"/>
      <c r="H962" s="194"/>
      <c r="I962" s="194"/>
      <c r="J962" s="194"/>
      <c r="L962" s="194"/>
      <c r="M962" s="194"/>
    </row>
    <row r="963" ht="22.5" customHeight="1">
      <c r="C963" s="193"/>
      <c r="G963" s="193"/>
      <c r="H963" s="194"/>
      <c r="I963" s="194"/>
      <c r="J963" s="194"/>
      <c r="L963" s="194"/>
      <c r="M963" s="194"/>
    </row>
    <row r="964" ht="22.5" customHeight="1">
      <c r="C964" s="193"/>
      <c r="G964" s="193"/>
      <c r="H964" s="194"/>
      <c r="I964" s="194"/>
      <c r="J964" s="194"/>
      <c r="L964" s="194"/>
      <c r="M964" s="194"/>
    </row>
    <row r="965" ht="22.5" customHeight="1">
      <c r="C965" s="193"/>
      <c r="G965" s="193"/>
      <c r="H965" s="194"/>
      <c r="I965" s="194"/>
      <c r="J965" s="194"/>
      <c r="L965" s="194"/>
      <c r="M965" s="194"/>
    </row>
    <row r="966" ht="22.5" customHeight="1">
      <c r="C966" s="193"/>
      <c r="G966" s="193"/>
      <c r="H966" s="194"/>
      <c r="I966" s="194"/>
      <c r="J966" s="194"/>
      <c r="L966" s="194"/>
      <c r="M966" s="194"/>
    </row>
    <row r="967" ht="22.5" customHeight="1">
      <c r="C967" s="193"/>
      <c r="G967" s="193"/>
      <c r="H967" s="194"/>
      <c r="I967" s="194"/>
      <c r="J967" s="194"/>
      <c r="L967" s="194"/>
      <c r="M967" s="194"/>
    </row>
    <row r="968" ht="22.5" customHeight="1">
      <c r="C968" s="193"/>
      <c r="G968" s="193"/>
      <c r="H968" s="194"/>
      <c r="I968" s="194"/>
      <c r="J968" s="194"/>
      <c r="L968" s="194"/>
      <c r="M968" s="194"/>
    </row>
    <row r="969" ht="22.5" customHeight="1">
      <c r="C969" s="193"/>
      <c r="G969" s="193"/>
      <c r="H969" s="194"/>
      <c r="I969" s="194"/>
      <c r="J969" s="194"/>
      <c r="L969" s="194"/>
      <c r="M969" s="194"/>
    </row>
    <row r="970" ht="22.5" customHeight="1">
      <c r="C970" s="193"/>
      <c r="G970" s="193"/>
      <c r="H970" s="194"/>
      <c r="I970" s="194"/>
      <c r="J970" s="194"/>
      <c r="L970" s="194"/>
      <c r="M970" s="194"/>
    </row>
    <row r="971" ht="22.5" customHeight="1">
      <c r="C971" s="193"/>
      <c r="G971" s="193"/>
      <c r="H971" s="194"/>
      <c r="I971" s="194"/>
      <c r="J971" s="194"/>
      <c r="L971" s="194"/>
      <c r="M971" s="194"/>
    </row>
    <row r="972" ht="22.5" customHeight="1">
      <c r="C972" s="193"/>
      <c r="G972" s="193"/>
      <c r="H972" s="194"/>
      <c r="I972" s="194"/>
      <c r="J972" s="194"/>
      <c r="L972" s="194"/>
      <c r="M972" s="194"/>
    </row>
    <row r="973" ht="22.5" customHeight="1">
      <c r="C973" s="193"/>
      <c r="G973" s="193"/>
      <c r="H973" s="194"/>
      <c r="I973" s="194"/>
      <c r="J973" s="194"/>
      <c r="L973" s="194"/>
      <c r="M973" s="194"/>
    </row>
    <row r="974" ht="22.5" customHeight="1">
      <c r="C974" s="193"/>
      <c r="G974" s="193"/>
      <c r="H974" s="194"/>
      <c r="I974" s="194"/>
      <c r="J974" s="194"/>
      <c r="L974" s="194"/>
      <c r="M974" s="194"/>
    </row>
    <row r="975" ht="22.5" customHeight="1">
      <c r="C975" s="193"/>
      <c r="G975" s="193"/>
      <c r="H975" s="194"/>
      <c r="I975" s="194"/>
      <c r="J975" s="194"/>
      <c r="L975" s="194"/>
      <c r="M975" s="194"/>
    </row>
    <row r="976" ht="22.5" customHeight="1">
      <c r="C976" s="193"/>
      <c r="G976" s="193"/>
      <c r="H976" s="194"/>
      <c r="I976" s="194"/>
      <c r="J976" s="194"/>
      <c r="L976" s="194"/>
      <c r="M976" s="194"/>
    </row>
    <row r="977" ht="22.5" customHeight="1">
      <c r="C977" s="193"/>
      <c r="G977" s="193"/>
      <c r="H977" s="194"/>
      <c r="I977" s="194"/>
      <c r="J977" s="194"/>
      <c r="L977" s="194"/>
      <c r="M977" s="194"/>
    </row>
    <row r="978" ht="22.5" customHeight="1">
      <c r="C978" s="193"/>
      <c r="G978" s="193"/>
      <c r="H978" s="194"/>
      <c r="I978" s="194"/>
      <c r="J978" s="194"/>
      <c r="L978" s="194"/>
      <c r="M978" s="194"/>
    </row>
    <row r="979" ht="22.5" customHeight="1">
      <c r="C979" s="193"/>
      <c r="G979" s="193"/>
      <c r="H979" s="194"/>
      <c r="I979" s="194"/>
      <c r="J979" s="194"/>
      <c r="L979" s="194"/>
      <c r="M979" s="194"/>
    </row>
    <row r="980" ht="22.5" customHeight="1">
      <c r="C980" s="193"/>
      <c r="G980" s="193"/>
      <c r="H980" s="194"/>
      <c r="I980" s="194"/>
      <c r="J980" s="194"/>
      <c r="L980" s="194"/>
      <c r="M980" s="194"/>
    </row>
    <row r="981" ht="22.5" customHeight="1">
      <c r="C981" s="193"/>
      <c r="G981" s="193"/>
      <c r="H981" s="194"/>
      <c r="I981" s="194"/>
      <c r="J981" s="194"/>
      <c r="L981" s="194"/>
      <c r="M981" s="194"/>
    </row>
    <row r="982" ht="22.5" customHeight="1">
      <c r="C982" s="193"/>
      <c r="G982" s="193"/>
      <c r="H982" s="194"/>
      <c r="I982" s="194"/>
      <c r="J982" s="194"/>
      <c r="L982" s="194"/>
      <c r="M982" s="194"/>
    </row>
    <row r="983" ht="22.5" customHeight="1">
      <c r="C983" s="193"/>
      <c r="G983" s="193"/>
      <c r="H983" s="194"/>
      <c r="I983" s="194"/>
      <c r="J983" s="194"/>
      <c r="L983" s="194"/>
      <c r="M983" s="194"/>
    </row>
    <row r="984" ht="22.5" customHeight="1">
      <c r="C984" s="193"/>
      <c r="G984" s="193"/>
      <c r="H984" s="194"/>
      <c r="I984" s="194"/>
      <c r="J984" s="194"/>
      <c r="L984" s="194"/>
      <c r="M984" s="194"/>
    </row>
    <row r="985" ht="22.5" customHeight="1">
      <c r="C985" s="193"/>
      <c r="G985" s="193"/>
      <c r="H985" s="194"/>
      <c r="I985" s="194"/>
      <c r="J985" s="194"/>
      <c r="L985" s="194"/>
      <c r="M985" s="194"/>
    </row>
    <row r="986" ht="22.5" customHeight="1">
      <c r="C986" s="193"/>
      <c r="G986" s="193"/>
      <c r="H986" s="194"/>
      <c r="I986" s="194"/>
      <c r="J986" s="194"/>
      <c r="L986" s="194"/>
      <c r="M986" s="194"/>
    </row>
    <row r="987" ht="22.5" customHeight="1">
      <c r="C987" s="193"/>
      <c r="G987" s="193"/>
      <c r="H987" s="194"/>
      <c r="I987" s="194"/>
      <c r="J987" s="194"/>
      <c r="L987" s="194"/>
      <c r="M987" s="194"/>
    </row>
    <row r="988" ht="22.5" customHeight="1">
      <c r="C988" s="193"/>
      <c r="G988" s="193"/>
      <c r="H988" s="194"/>
      <c r="I988" s="194"/>
      <c r="J988" s="194"/>
      <c r="L988" s="194"/>
      <c r="M988" s="194"/>
    </row>
    <row r="989" ht="22.5" customHeight="1">
      <c r="C989" s="193"/>
      <c r="G989" s="193"/>
      <c r="H989" s="194"/>
      <c r="I989" s="194"/>
      <c r="J989" s="194"/>
      <c r="L989" s="194"/>
      <c r="M989" s="194"/>
    </row>
    <row r="990" ht="22.5" customHeight="1">
      <c r="C990" s="193"/>
      <c r="G990" s="193"/>
      <c r="H990" s="194"/>
      <c r="I990" s="194"/>
      <c r="J990" s="194"/>
      <c r="L990" s="194"/>
      <c r="M990" s="194"/>
    </row>
    <row r="991" ht="22.5" customHeight="1">
      <c r="C991" s="193"/>
      <c r="G991" s="193"/>
      <c r="H991" s="194"/>
      <c r="I991" s="194"/>
      <c r="J991" s="194"/>
      <c r="L991" s="194"/>
      <c r="M991" s="194"/>
    </row>
    <row r="992" ht="22.5" customHeight="1">
      <c r="C992" s="193"/>
      <c r="G992" s="193"/>
      <c r="H992" s="194"/>
      <c r="I992" s="194"/>
      <c r="J992" s="194"/>
      <c r="L992" s="194"/>
      <c r="M992" s="194"/>
    </row>
    <row r="993" ht="22.5" customHeight="1">
      <c r="C993" s="193"/>
      <c r="G993" s="193"/>
      <c r="H993" s="194"/>
      <c r="I993" s="194"/>
      <c r="J993" s="194"/>
      <c r="L993" s="194"/>
      <c r="M993" s="194"/>
    </row>
    <row r="994" ht="22.5" customHeight="1">
      <c r="C994" s="193"/>
      <c r="G994" s="193"/>
      <c r="H994" s="194"/>
      <c r="I994" s="194"/>
      <c r="J994" s="194"/>
      <c r="L994" s="194"/>
      <c r="M994" s="194"/>
    </row>
    <row r="995" ht="22.5" customHeight="1">
      <c r="C995" s="193"/>
      <c r="G995" s="193"/>
      <c r="H995" s="194"/>
      <c r="I995" s="194"/>
      <c r="J995" s="194"/>
      <c r="L995" s="194"/>
      <c r="M995" s="194"/>
    </row>
    <row r="996" ht="22.5" customHeight="1">
      <c r="C996" s="193"/>
      <c r="G996" s="193"/>
      <c r="H996" s="194"/>
      <c r="I996" s="194"/>
      <c r="J996" s="194"/>
      <c r="L996" s="194"/>
      <c r="M996" s="194"/>
    </row>
    <row r="997" ht="22.5" customHeight="1">
      <c r="C997" s="193"/>
      <c r="G997" s="193"/>
      <c r="H997" s="194"/>
      <c r="I997" s="194"/>
      <c r="J997" s="194"/>
      <c r="L997" s="194"/>
      <c r="M997" s="194"/>
    </row>
    <row r="998" ht="22.5" customHeight="1">
      <c r="C998" s="193"/>
      <c r="G998" s="193"/>
      <c r="H998" s="194"/>
      <c r="I998" s="194"/>
      <c r="J998" s="194"/>
      <c r="L998" s="194"/>
      <c r="M998" s="194"/>
    </row>
    <row r="999" ht="22.5" customHeight="1">
      <c r="C999" s="193"/>
      <c r="G999" s="193"/>
      <c r="H999" s="194"/>
      <c r="I999" s="194"/>
      <c r="J999" s="194"/>
      <c r="L999" s="194"/>
      <c r="M999" s="194"/>
    </row>
    <row r="1000" ht="22.5" customHeight="1">
      <c r="C1000" s="193"/>
      <c r="G1000" s="193"/>
      <c r="H1000" s="194"/>
      <c r="I1000" s="194"/>
      <c r="J1000" s="194"/>
      <c r="L1000" s="194"/>
      <c r="M1000" s="194"/>
    </row>
    <row r="1001" ht="22.5" customHeight="1">
      <c r="C1001" s="193"/>
      <c r="G1001" s="193"/>
      <c r="H1001" s="194"/>
      <c r="I1001" s="194"/>
      <c r="J1001" s="194"/>
      <c r="L1001" s="194"/>
      <c r="M1001" s="194"/>
    </row>
    <row r="1002" ht="22.5" customHeight="1">
      <c r="C1002" s="193"/>
      <c r="G1002" s="193"/>
      <c r="H1002" s="194"/>
      <c r="I1002" s="194"/>
      <c r="J1002" s="194"/>
      <c r="L1002" s="194"/>
      <c r="M1002" s="194"/>
    </row>
    <row r="1003" ht="22.5" customHeight="1">
      <c r="C1003" s="193"/>
      <c r="G1003" s="193"/>
      <c r="H1003" s="194"/>
      <c r="I1003" s="194"/>
      <c r="J1003" s="194"/>
      <c r="L1003" s="194"/>
      <c r="M1003" s="194"/>
    </row>
    <row r="1004" ht="22.5" customHeight="1">
      <c r="C1004" s="193"/>
      <c r="G1004" s="193"/>
      <c r="H1004" s="194"/>
      <c r="I1004" s="194"/>
      <c r="J1004" s="194"/>
      <c r="L1004" s="194"/>
      <c r="M1004" s="194"/>
    </row>
    <row r="1005" ht="22.5" customHeight="1">
      <c r="C1005" s="193"/>
      <c r="G1005" s="193"/>
      <c r="H1005" s="194"/>
      <c r="I1005" s="194"/>
      <c r="J1005" s="194"/>
      <c r="L1005" s="194"/>
      <c r="M1005" s="194"/>
    </row>
    <row r="1006" ht="22.5" customHeight="1">
      <c r="C1006" s="193"/>
      <c r="G1006" s="193"/>
      <c r="H1006" s="194"/>
      <c r="I1006" s="194"/>
      <c r="J1006" s="194"/>
      <c r="L1006" s="194"/>
      <c r="M1006" s="194"/>
    </row>
    <row r="1007" ht="22.5" customHeight="1">
      <c r="C1007" s="193"/>
      <c r="G1007" s="193"/>
      <c r="H1007" s="194"/>
      <c r="I1007" s="194"/>
      <c r="J1007" s="194"/>
      <c r="L1007" s="194"/>
      <c r="M1007" s="194"/>
    </row>
    <row r="1008" ht="22.5" customHeight="1">
      <c r="C1008" s="193"/>
      <c r="G1008" s="193"/>
      <c r="H1008" s="194"/>
      <c r="I1008" s="194"/>
      <c r="J1008" s="194"/>
      <c r="L1008" s="194"/>
      <c r="M1008" s="194"/>
    </row>
    <row r="1009" ht="22.5" customHeight="1">
      <c r="C1009" s="193"/>
      <c r="G1009" s="193"/>
      <c r="H1009" s="194"/>
      <c r="I1009" s="194"/>
      <c r="J1009" s="194"/>
      <c r="L1009" s="194"/>
      <c r="M1009" s="194"/>
    </row>
    <row r="1010" ht="22.5" customHeight="1">
      <c r="C1010" s="193"/>
      <c r="G1010" s="193"/>
      <c r="H1010" s="194"/>
      <c r="I1010" s="194"/>
      <c r="J1010" s="194"/>
      <c r="L1010" s="194"/>
      <c r="M1010" s="194"/>
    </row>
    <row r="1011" ht="22.5" customHeight="1">
      <c r="C1011" s="193"/>
      <c r="G1011" s="193"/>
      <c r="H1011" s="194"/>
      <c r="I1011" s="194"/>
      <c r="J1011" s="194"/>
      <c r="L1011" s="194"/>
      <c r="M1011" s="194"/>
    </row>
    <row r="1012" ht="22.5" customHeight="1">
      <c r="C1012" s="193"/>
      <c r="G1012" s="193"/>
      <c r="H1012" s="194"/>
      <c r="I1012" s="194"/>
      <c r="J1012" s="194"/>
      <c r="L1012" s="194"/>
      <c r="M1012" s="194"/>
    </row>
    <row r="1013" ht="22.5" customHeight="1">
      <c r="C1013" s="193"/>
      <c r="G1013" s="193"/>
      <c r="H1013" s="194"/>
      <c r="I1013" s="194"/>
      <c r="J1013" s="194"/>
      <c r="L1013" s="194"/>
      <c r="M1013" s="194"/>
    </row>
    <row r="1014" ht="22.5" customHeight="1">
      <c r="C1014" s="193"/>
      <c r="G1014" s="193"/>
      <c r="H1014" s="194"/>
      <c r="I1014" s="194"/>
      <c r="J1014" s="194"/>
      <c r="L1014" s="194"/>
      <c r="M1014" s="194"/>
    </row>
    <row r="1015" ht="22.5" customHeight="1">
      <c r="C1015" s="193"/>
      <c r="G1015" s="193"/>
      <c r="H1015" s="194"/>
      <c r="I1015" s="194"/>
      <c r="J1015" s="194"/>
      <c r="L1015" s="194"/>
      <c r="M1015" s="194"/>
    </row>
    <row r="1016" ht="22.5" customHeight="1">
      <c r="C1016" s="193"/>
      <c r="G1016" s="193"/>
      <c r="H1016" s="194"/>
      <c r="I1016" s="194"/>
      <c r="J1016" s="194"/>
      <c r="L1016" s="194"/>
      <c r="M1016" s="194"/>
    </row>
    <row r="1017" ht="22.5" customHeight="1">
      <c r="C1017" s="193"/>
      <c r="G1017" s="193"/>
      <c r="H1017" s="194"/>
      <c r="I1017" s="194"/>
      <c r="J1017" s="194"/>
      <c r="L1017" s="194"/>
      <c r="M1017" s="194"/>
    </row>
    <row r="1018" ht="22.5" customHeight="1">
      <c r="C1018" s="193"/>
      <c r="G1018" s="193"/>
      <c r="H1018" s="194"/>
      <c r="I1018" s="194"/>
      <c r="J1018" s="194"/>
      <c r="L1018" s="194"/>
      <c r="M1018" s="194"/>
    </row>
    <row r="1019" ht="22.5" customHeight="1">
      <c r="C1019" s="193"/>
      <c r="G1019" s="193"/>
      <c r="H1019" s="194"/>
      <c r="I1019" s="194"/>
      <c r="J1019" s="194"/>
      <c r="L1019" s="194"/>
      <c r="M1019" s="194"/>
    </row>
    <row r="1020" ht="22.5" customHeight="1">
      <c r="C1020" s="193"/>
      <c r="G1020" s="193"/>
      <c r="H1020" s="194"/>
      <c r="I1020" s="194"/>
      <c r="J1020" s="194"/>
      <c r="L1020" s="194"/>
      <c r="M1020" s="194"/>
    </row>
    <row r="1021" ht="22.5" customHeight="1">
      <c r="C1021" s="193"/>
      <c r="G1021" s="193"/>
      <c r="H1021" s="194"/>
      <c r="I1021" s="194"/>
      <c r="J1021" s="194"/>
      <c r="L1021" s="194"/>
      <c r="M1021" s="194"/>
    </row>
    <row r="1022" ht="22.5" customHeight="1">
      <c r="C1022" s="193"/>
      <c r="G1022" s="193"/>
      <c r="H1022" s="194"/>
      <c r="I1022" s="194"/>
      <c r="J1022" s="194"/>
      <c r="L1022" s="194"/>
      <c r="M1022" s="194"/>
    </row>
    <row r="1023" ht="22.5" customHeight="1">
      <c r="C1023" s="193"/>
      <c r="G1023" s="193"/>
      <c r="H1023" s="194"/>
      <c r="I1023" s="194"/>
      <c r="J1023" s="194"/>
      <c r="L1023" s="194"/>
      <c r="M1023" s="194"/>
    </row>
    <row r="1024" ht="22.5" customHeight="1">
      <c r="C1024" s="193"/>
      <c r="G1024" s="193"/>
      <c r="H1024" s="194"/>
      <c r="I1024" s="194"/>
      <c r="J1024" s="194"/>
      <c r="L1024" s="194"/>
      <c r="M1024" s="194"/>
    </row>
    <row r="1025" ht="22.5" customHeight="1">
      <c r="C1025" s="193"/>
      <c r="G1025" s="193"/>
      <c r="H1025" s="194"/>
      <c r="I1025" s="194"/>
      <c r="J1025" s="194"/>
      <c r="L1025" s="194"/>
      <c r="M1025" s="194"/>
    </row>
    <row r="1026" ht="22.5" customHeight="1">
      <c r="C1026" s="193"/>
      <c r="G1026" s="193"/>
      <c r="H1026" s="194"/>
      <c r="I1026" s="194"/>
      <c r="J1026" s="194"/>
      <c r="L1026" s="194"/>
      <c r="M1026" s="194"/>
    </row>
    <row r="1027" ht="22.5" customHeight="1">
      <c r="C1027" s="193"/>
      <c r="G1027" s="193"/>
      <c r="H1027" s="194"/>
      <c r="I1027" s="194"/>
      <c r="J1027" s="194"/>
      <c r="L1027" s="194"/>
      <c r="M1027" s="194"/>
    </row>
    <row r="1028" ht="22.5" customHeight="1">
      <c r="C1028" s="193"/>
      <c r="G1028" s="193"/>
      <c r="H1028" s="194"/>
      <c r="I1028" s="194"/>
      <c r="J1028" s="194"/>
      <c r="L1028" s="194"/>
      <c r="M1028" s="194"/>
    </row>
    <row r="1029" ht="22.5" customHeight="1">
      <c r="C1029" s="193"/>
      <c r="G1029" s="193"/>
      <c r="H1029" s="194"/>
      <c r="I1029" s="194"/>
      <c r="J1029" s="194"/>
      <c r="L1029" s="194"/>
      <c r="M1029" s="194"/>
    </row>
    <row r="1030" ht="22.5" customHeight="1">
      <c r="C1030" s="193"/>
      <c r="G1030" s="193"/>
      <c r="H1030" s="194"/>
      <c r="I1030" s="194"/>
      <c r="J1030" s="194"/>
      <c r="L1030" s="194"/>
      <c r="M1030" s="194"/>
    </row>
    <row r="1031" ht="22.5" customHeight="1">
      <c r="C1031" s="193"/>
      <c r="G1031" s="193"/>
      <c r="H1031" s="194"/>
      <c r="I1031" s="194"/>
      <c r="J1031" s="194"/>
      <c r="L1031" s="194"/>
      <c r="M1031" s="194"/>
    </row>
    <row r="1032" ht="22.5" customHeight="1">
      <c r="C1032" s="193"/>
      <c r="G1032" s="193"/>
      <c r="H1032" s="194"/>
      <c r="I1032" s="194"/>
      <c r="J1032" s="194"/>
      <c r="L1032" s="194"/>
      <c r="M1032" s="194"/>
    </row>
    <row r="1033" ht="22.5" customHeight="1">
      <c r="C1033" s="193"/>
      <c r="G1033" s="193"/>
      <c r="H1033" s="194"/>
      <c r="I1033" s="194"/>
      <c r="J1033" s="194"/>
      <c r="L1033" s="194"/>
      <c r="M1033" s="194"/>
    </row>
    <row r="1034" ht="22.5" customHeight="1">
      <c r="C1034" s="193"/>
      <c r="G1034" s="193"/>
      <c r="H1034" s="194"/>
      <c r="I1034" s="194"/>
      <c r="J1034" s="194"/>
      <c r="L1034" s="194"/>
      <c r="M1034" s="194"/>
    </row>
    <row r="1035" ht="22.5" customHeight="1">
      <c r="C1035" s="193"/>
      <c r="G1035" s="193"/>
      <c r="H1035" s="194"/>
      <c r="I1035" s="194"/>
      <c r="J1035" s="194"/>
      <c r="L1035" s="194"/>
      <c r="M1035" s="194"/>
    </row>
    <row r="1036" ht="22.5" customHeight="1">
      <c r="C1036" s="193"/>
      <c r="G1036" s="193"/>
      <c r="H1036" s="194"/>
      <c r="I1036" s="194"/>
      <c r="J1036" s="194"/>
      <c r="L1036" s="194"/>
      <c r="M1036" s="194"/>
    </row>
    <row r="1037" ht="22.5" customHeight="1">
      <c r="C1037" s="193"/>
      <c r="G1037" s="193"/>
      <c r="H1037" s="194"/>
      <c r="I1037" s="194"/>
      <c r="J1037" s="194"/>
      <c r="L1037" s="194"/>
      <c r="M1037" s="194"/>
    </row>
    <row r="1038" ht="22.5" customHeight="1">
      <c r="C1038" s="193"/>
      <c r="G1038" s="193"/>
      <c r="H1038" s="194"/>
      <c r="I1038" s="194"/>
      <c r="J1038" s="194"/>
      <c r="L1038" s="194"/>
      <c r="M1038" s="194"/>
    </row>
    <row r="1039" ht="22.5" customHeight="1">
      <c r="C1039" s="193"/>
      <c r="G1039" s="193"/>
      <c r="H1039" s="194"/>
      <c r="I1039" s="194"/>
      <c r="J1039" s="194"/>
      <c r="L1039" s="194"/>
      <c r="M1039" s="194"/>
    </row>
    <row r="1040" ht="22.5" customHeight="1">
      <c r="C1040" s="193"/>
      <c r="G1040" s="193"/>
      <c r="H1040" s="194"/>
      <c r="I1040" s="194"/>
      <c r="J1040" s="194"/>
      <c r="L1040" s="194"/>
      <c r="M1040" s="194"/>
    </row>
    <row r="1041" ht="22.5" customHeight="1">
      <c r="C1041" s="193"/>
      <c r="G1041" s="193"/>
      <c r="H1041" s="194"/>
      <c r="I1041" s="194"/>
      <c r="J1041" s="194"/>
      <c r="L1041" s="194"/>
      <c r="M1041" s="194"/>
    </row>
    <row r="1042" ht="22.5" customHeight="1">
      <c r="C1042" s="193"/>
      <c r="G1042" s="193"/>
      <c r="H1042" s="194"/>
      <c r="I1042" s="194"/>
      <c r="J1042" s="194"/>
      <c r="L1042" s="194"/>
      <c r="M1042" s="194"/>
    </row>
    <row r="1043" ht="22.5" customHeight="1">
      <c r="C1043" s="193"/>
      <c r="G1043" s="193"/>
      <c r="H1043" s="194"/>
      <c r="I1043" s="194"/>
      <c r="J1043" s="194"/>
      <c r="L1043" s="194"/>
      <c r="M1043" s="194"/>
    </row>
    <row r="1044" ht="22.5" customHeight="1">
      <c r="C1044" s="193"/>
      <c r="G1044" s="193"/>
      <c r="H1044" s="194"/>
      <c r="I1044" s="194"/>
      <c r="J1044" s="194"/>
      <c r="L1044" s="194"/>
      <c r="M1044" s="194"/>
    </row>
    <row r="1045" ht="22.5" customHeight="1">
      <c r="C1045" s="193"/>
      <c r="G1045" s="193"/>
      <c r="H1045" s="194"/>
      <c r="I1045" s="194"/>
      <c r="J1045" s="194"/>
      <c r="L1045" s="194"/>
      <c r="M1045" s="194"/>
    </row>
    <row r="1046" ht="22.5" customHeight="1">
      <c r="C1046" s="193"/>
      <c r="G1046" s="193"/>
      <c r="H1046" s="194"/>
      <c r="I1046" s="194"/>
      <c r="J1046" s="194"/>
      <c r="L1046" s="194"/>
      <c r="M1046" s="194"/>
    </row>
    <row r="1047" ht="22.5" customHeight="1">
      <c r="C1047" s="193"/>
      <c r="G1047" s="193"/>
      <c r="H1047" s="194"/>
      <c r="I1047" s="194"/>
      <c r="J1047" s="194"/>
      <c r="L1047" s="194"/>
      <c r="M1047" s="194"/>
    </row>
    <row r="1048" ht="22.5" customHeight="1">
      <c r="C1048" s="193"/>
      <c r="G1048" s="193"/>
      <c r="H1048" s="194"/>
      <c r="I1048" s="194"/>
      <c r="J1048" s="194"/>
      <c r="L1048" s="194"/>
      <c r="M1048" s="194"/>
    </row>
    <row r="1049" ht="22.5" customHeight="1">
      <c r="C1049" s="193"/>
      <c r="G1049" s="193"/>
      <c r="H1049" s="194"/>
      <c r="I1049" s="194"/>
      <c r="J1049" s="194"/>
      <c r="L1049" s="194"/>
      <c r="M1049" s="194"/>
    </row>
    <row r="1050" ht="22.5" customHeight="1">
      <c r="C1050" s="193"/>
      <c r="G1050" s="193"/>
      <c r="H1050" s="194"/>
      <c r="I1050" s="194"/>
      <c r="J1050" s="194"/>
      <c r="L1050" s="194"/>
      <c r="M1050" s="194"/>
    </row>
    <row r="1051" ht="22.5" customHeight="1">
      <c r="C1051" s="193"/>
      <c r="G1051" s="193"/>
      <c r="H1051" s="194"/>
      <c r="I1051" s="194"/>
      <c r="J1051" s="194"/>
      <c r="L1051" s="194"/>
      <c r="M1051" s="194"/>
    </row>
    <row r="1052" ht="22.5" customHeight="1">
      <c r="C1052" s="193"/>
      <c r="G1052" s="193"/>
      <c r="H1052" s="194"/>
      <c r="I1052" s="194"/>
      <c r="J1052" s="194"/>
      <c r="L1052" s="194"/>
      <c r="M1052" s="194"/>
    </row>
    <row r="1053" ht="22.5" customHeight="1">
      <c r="C1053" s="193"/>
      <c r="G1053" s="193"/>
      <c r="H1053" s="194"/>
      <c r="I1053" s="194"/>
      <c r="J1053" s="194"/>
      <c r="L1053" s="194"/>
      <c r="M1053" s="194"/>
    </row>
    <row r="1054" ht="22.5" customHeight="1">
      <c r="C1054" s="193"/>
      <c r="G1054" s="193"/>
      <c r="H1054" s="194"/>
      <c r="I1054" s="194"/>
      <c r="J1054" s="194"/>
      <c r="L1054" s="194"/>
      <c r="M1054" s="194"/>
    </row>
    <row r="1055" ht="22.5" customHeight="1">
      <c r="C1055" s="193"/>
      <c r="G1055" s="193"/>
      <c r="H1055" s="194"/>
      <c r="I1055" s="194"/>
      <c r="J1055" s="194"/>
      <c r="L1055" s="194"/>
      <c r="M1055" s="194"/>
    </row>
    <row r="1056" ht="22.5" customHeight="1">
      <c r="C1056" s="193"/>
      <c r="G1056" s="193"/>
      <c r="H1056" s="194"/>
      <c r="I1056" s="194"/>
      <c r="J1056" s="194"/>
      <c r="L1056" s="194"/>
      <c r="M1056" s="194"/>
    </row>
    <row r="1057" ht="22.5" customHeight="1">
      <c r="C1057" s="193"/>
      <c r="G1057" s="193"/>
      <c r="H1057" s="194"/>
      <c r="I1057" s="194"/>
      <c r="J1057" s="194"/>
      <c r="L1057" s="194"/>
      <c r="M1057" s="194"/>
    </row>
    <row r="1058" ht="22.5" customHeight="1">
      <c r="C1058" s="193"/>
      <c r="G1058" s="193"/>
      <c r="H1058" s="194"/>
      <c r="I1058" s="194"/>
      <c r="J1058" s="194"/>
      <c r="L1058" s="194"/>
      <c r="M1058" s="194"/>
    </row>
    <row r="1059" ht="22.5" customHeight="1">
      <c r="C1059" s="193"/>
      <c r="G1059" s="193"/>
      <c r="H1059" s="194"/>
      <c r="I1059" s="194"/>
      <c r="J1059" s="194"/>
      <c r="L1059" s="194"/>
      <c r="M1059" s="194"/>
    </row>
    <row r="1060" ht="22.5" customHeight="1">
      <c r="C1060" s="193"/>
      <c r="G1060" s="193"/>
      <c r="H1060" s="194"/>
      <c r="I1060" s="194"/>
      <c r="J1060" s="194"/>
      <c r="L1060" s="194"/>
      <c r="M1060" s="194"/>
    </row>
    <row r="1061" ht="22.5" customHeight="1">
      <c r="C1061" s="193"/>
      <c r="G1061" s="193"/>
      <c r="H1061" s="194"/>
      <c r="I1061" s="194"/>
      <c r="J1061" s="194"/>
      <c r="L1061" s="194"/>
      <c r="M1061" s="194"/>
    </row>
    <row r="1062" ht="22.5" customHeight="1">
      <c r="C1062" s="193"/>
      <c r="G1062" s="193"/>
      <c r="H1062" s="194"/>
      <c r="I1062" s="194"/>
      <c r="J1062" s="194"/>
      <c r="L1062" s="194"/>
      <c r="M1062" s="194"/>
    </row>
    <row r="1063" ht="22.5" customHeight="1">
      <c r="C1063" s="193"/>
      <c r="G1063" s="193"/>
      <c r="H1063" s="194"/>
      <c r="I1063" s="194"/>
      <c r="J1063" s="194"/>
      <c r="L1063" s="194"/>
      <c r="M1063" s="194"/>
    </row>
    <row r="1064" ht="22.5" customHeight="1">
      <c r="C1064" s="193"/>
      <c r="G1064" s="193"/>
      <c r="H1064" s="194"/>
      <c r="I1064" s="194"/>
      <c r="J1064" s="194"/>
      <c r="L1064" s="194"/>
      <c r="M1064" s="194"/>
    </row>
    <row r="1065" ht="22.5" customHeight="1">
      <c r="C1065" s="193"/>
      <c r="G1065" s="193"/>
      <c r="H1065" s="194"/>
      <c r="I1065" s="194"/>
      <c r="J1065" s="194"/>
      <c r="L1065" s="194"/>
      <c r="M1065" s="194"/>
    </row>
    <row r="1066" ht="22.5" customHeight="1">
      <c r="C1066" s="193"/>
      <c r="G1066" s="193"/>
      <c r="H1066" s="194"/>
      <c r="I1066" s="194"/>
      <c r="J1066" s="194"/>
      <c r="L1066" s="194"/>
      <c r="M1066" s="194"/>
    </row>
    <row r="1067" ht="22.5" customHeight="1">
      <c r="C1067" s="193"/>
      <c r="G1067" s="193"/>
      <c r="H1067" s="194"/>
      <c r="I1067" s="194"/>
      <c r="J1067" s="194"/>
      <c r="L1067" s="194"/>
      <c r="M1067" s="194"/>
    </row>
    <row r="1068" ht="22.5" customHeight="1">
      <c r="C1068" s="193"/>
      <c r="G1068" s="193"/>
      <c r="H1068" s="194"/>
      <c r="I1068" s="194"/>
      <c r="J1068" s="194"/>
      <c r="L1068" s="194"/>
      <c r="M1068" s="194"/>
    </row>
    <row r="1069" ht="22.5" customHeight="1">
      <c r="C1069" s="193"/>
      <c r="G1069" s="193"/>
      <c r="H1069" s="194"/>
      <c r="I1069" s="194"/>
      <c r="J1069" s="194"/>
      <c r="L1069" s="194"/>
      <c r="M1069" s="194"/>
    </row>
    <row r="1070" ht="22.5" customHeight="1">
      <c r="C1070" s="193"/>
      <c r="G1070" s="193"/>
      <c r="H1070" s="194"/>
      <c r="I1070" s="194"/>
      <c r="J1070" s="194"/>
      <c r="L1070" s="194"/>
      <c r="M1070" s="194"/>
    </row>
    <row r="1071" ht="22.5" customHeight="1">
      <c r="C1071" s="193"/>
      <c r="G1071" s="193"/>
      <c r="H1071" s="194"/>
      <c r="I1071" s="194"/>
      <c r="J1071" s="194"/>
      <c r="L1071" s="194"/>
      <c r="M1071" s="194"/>
    </row>
    <row r="1072" ht="22.5" customHeight="1">
      <c r="C1072" s="193"/>
      <c r="G1072" s="193"/>
      <c r="H1072" s="194"/>
      <c r="I1072" s="194"/>
      <c r="J1072" s="194"/>
      <c r="L1072" s="194"/>
      <c r="M1072" s="194"/>
    </row>
    <row r="1073" ht="22.5" customHeight="1">
      <c r="C1073" s="193"/>
      <c r="G1073" s="193"/>
      <c r="H1073" s="194"/>
      <c r="I1073" s="194"/>
      <c r="J1073" s="194"/>
      <c r="L1073" s="194"/>
      <c r="M1073" s="194"/>
    </row>
    <row r="1074" ht="22.5" customHeight="1">
      <c r="C1074" s="193"/>
      <c r="G1074" s="193"/>
      <c r="H1074" s="194"/>
      <c r="I1074" s="194"/>
      <c r="J1074" s="194"/>
      <c r="L1074" s="194"/>
      <c r="M1074" s="194"/>
    </row>
    <row r="1075" ht="22.5" customHeight="1">
      <c r="C1075" s="193"/>
      <c r="G1075" s="193"/>
      <c r="H1075" s="194"/>
      <c r="I1075" s="194"/>
      <c r="J1075" s="194"/>
      <c r="L1075" s="194"/>
      <c r="M1075" s="194"/>
    </row>
    <row r="1076" ht="22.5" customHeight="1">
      <c r="C1076" s="193"/>
      <c r="G1076" s="193"/>
      <c r="H1076" s="194"/>
      <c r="I1076" s="194"/>
      <c r="J1076" s="194"/>
      <c r="L1076" s="194"/>
      <c r="M1076" s="194"/>
    </row>
    <row r="1077" ht="22.5" customHeight="1">
      <c r="C1077" s="193"/>
      <c r="G1077" s="193"/>
      <c r="H1077" s="194"/>
      <c r="I1077" s="194"/>
      <c r="J1077" s="194"/>
      <c r="L1077" s="194"/>
      <c r="M1077" s="194"/>
    </row>
    <row r="1078" ht="22.5" customHeight="1">
      <c r="C1078" s="193"/>
      <c r="G1078" s="193"/>
      <c r="H1078" s="194"/>
      <c r="I1078" s="194"/>
      <c r="J1078" s="194"/>
      <c r="L1078" s="194"/>
      <c r="M1078" s="194"/>
    </row>
    <row r="1079" ht="22.5" customHeight="1">
      <c r="C1079" s="193"/>
      <c r="G1079" s="193"/>
      <c r="H1079" s="194"/>
      <c r="I1079" s="194"/>
      <c r="J1079" s="194"/>
      <c r="L1079" s="194"/>
      <c r="M1079" s="194"/>
    </row>
    <row r="1080" ht="22.5" customHeight="1">
      <c r="C1080" s="193"/>
      <c r="G1080" s="193"/>
      <c r="H1080" s="194"/>
      <c r="I1080" s="194"/>
      <c r="J1080" s="194"/>
      <c r="L1080" s="194"/>
      <c r="M1080" s="194"/>
    </row>
    <row r="1081" ht="22.5" customHeight="1">
      <c r="C1081" s="193"/>
      <c r="G1081" s="193"/>
      <c r="H1081" s="194"/>
      <c r="I1081" s="194"/>
      <c r="J1081" s="194"/>
      <c r="L1081" s="194"/>
      <c r="M1081" s="194"/>
    </row>
    <row r="1082" ht="22.5" customHeight="1">
      <c r="C1082" s="193"/>
      <c r="G1082" s="193"/>
      <c r="H1082" s="194"/>
      <c r="I1082" s="194"/>
      <c r="J1082" s="194"/>
      <c r="L1082" s="194"/>
      <c r="M1082" s="194"/>
    </row>
    <row r="1083" ht="22.5" customHeight="1">
      <c r="C1083" s="193"/>
      <c r="G1083" s="193"/>
      <c r="H1083" s="194"/>
      <c r="I1083" s="194"/>
      <c r="J1083" s="194"/>
      <c r="L1083" s="194"/>
      <c r="M1083" s="194"/>
    </row>
    <row r="1084" ht="22.5" customHeight="1">
      <c r="C1084" s="193"/>
      <c r="G1084" s="193"/>
      <c r="H1084" s="194"/>
      <c r="I1084" s="194"/>
      <c r="J1084" s="194"/>
      <c r="L1084" s="194"/>
      <c r="M1084" s="194"/>
    </row>
    <row r="1085" ht="22.5" customHeight="1">
      <c r="C1085" s="193"/>
      <c r="G1085" s="193"/>
      <c r="H1085" s="194"/>
      <c r="I1085" s="194"/>
      <c r="J1085" s="194"/>
      <c r="L1085" s="194"/>
      <c r="M1085" s="194"/>
    </row>
    <row r="1086" ht="22.5" customHeight="1">
      <c r="C1086" s="193"/>
      <c r="G1086" s="193"/>
      <c r="H1086" s="194"/>
      <c r="I1086" s="194"/>
      <c r="J1086" s="194"/>
      <c r="L1086" s="194"/>
      <c r="M1086" s="194"/>
    </row>
    <row r="1087" ht="22.5" customHeight="1">
      <c r="C1087" s="193"/>
      <c r="G1087" s="193"/>
      <c r="H1087" s="194"/>
      <c r="I1087" s="194"/>
      <c r="J1087" s="194"/>
      <c r="L1087" s="194"/>
      <c r="M1087" s="194"/>
    </row>
    <row r="1088" ht="22.5" customHeight="1">
      <c r="C1088" s="193"/>
      <c r="G1088" s="193"/>
      <c r="H1088" s="194"/>
      <c r="I1088" s="194"/>
      <c r="J1088" s="194"/>
      <c r="L1088" s="194"/>
      <c r="M1088" s="194"/>
    </row>
    <row r="1089" ht="22.5" customHeight="1">
      <c r="C1089" s="193"/>
      <c r="G1089" s="193"/>
      <c r="H1089" s="194"/>
      <c r="I1089" s="194"/>
      <c r="J1089" s="194"/>
      <c r="L1089" s="194"/>
      <c r="M1089" s="194"/>
    </row>
    <row r="1090" ht="22.5" customHeight="1">
      <c r="C1090" s="193"/>
      <c r="G1090" s="193"/>
      <c r="H1090" s="194"/>
      <c r="I1090" s="194"/>
      <c r="J1090" s="194"/>
      <c r="L1090" s="194"/>
      <c r="M1090" s="194"/>
    </row>
    <row r="1091" ht="22.5" customHeight="1">
      <c r="C1091" s="193"/>
      <c r="G1091" s="193"/>
      <c r="H1091" s="194"/>
      <c r="I1091" s="194"/>
      <c r="J1091" s="194"/>
      <c r="L1091" s="194"/>
      <c r="M1091" s="194"/>
    </row>
    <row r="1092" ht="22.5" customHeight="1">
      <c r="C1092" s="193"/>
      <c r="G1092" s="193"/>
      <c r="H1092" s="194"/>
      <c r="I1092" s="194"/>
      <c r="J1092" s="194"/>
      <c r="L1092" s="194"/>
      <c r="M1092" s="194"/>
    </row>
    <row r="1093" ht="22.5" customHeight="1">
      <c r="C1093" s="193"/>
      <c r="G1093" s="193"/>
      <c r="H1093" s="194"/>
      <c r="I1093" s="194"/>
      <c r="J1093" s="194"/>
      <c r="L1093" s="194"/>
      <c r="M1093" s="194"/>
    </row>
    <row r="1094" ht="22.5" customHeight="1">
      <c r="C1094" s="193"/>
      <c r="G1094" s="193"/>
      <c r="H1094" s="194"/>
      <c r="I1094" s="194"/>
      <c r="J1094" s="194"/>
      <c r="L1094" s="194"/>
      <c r="M1094" s="194"/>
    </row>
    <row r="1095" ht="22.5" customHeight="1">
      <c r="C1095" s="193"/>
      <c r="G1095" s="193"/>
      <c r="H1095" s="194"/>
      <c r="I1095" s="194"/>
      <c r="J1095" s="194"/>
      <c r="L1095" s="194"/>
      <c r="M1095" s="194"/>
    </row>
    <row r="1096" ht="22.5" customHeight="1">
      <c r="C1096" s="193"/>
      <c r="G1096" s="193"/>
      <c r="H1096" s="194"/>
      <c r="I1096" s="194"/>
      <c r="J1096" s="194"/>
      <c r="L1096" s="194"/>
      <c r="M1096" s="194"/>
    </row>
    <row r="1097" ht="22.5" customHeight="1">
      <c r="C1097" s="193"/>
      <c r="G1097" s="193"/>
      <c r="H1097" s="194"/>
      <c r="I1097" s="194"/>
      <c r="J1097" s="194"/>
      <c r="L1097" s="194"/>
      <c r="M1097" s="194"/>
    </row>
    <row r="1098" ht="22.5" customHeight="1">
      <c r="C1098" s="193"/>
      <c r="G1098" s="193"/>
      <c r="H1098" s="194"/>
      <c r="I1098" s="194"/>
      <c r="J1098" s="194"/>
      <c r="L1098" s="194"/>
      <c r="M1098" s="194"/>
    </row>
    <row r="1099" ht="22.5" customHeight="1">
      <c r="C1099" s="193"/>
      <c r="G1099" s="193"/>
      <c r="H1099" s="194"/>
      <c r="I1099" s="194"/>
      <c r="J1099" s="194"/>
      <c r="L1099" s="194"/>
      <c r="M1099" s="194"/>
    </row>
    <row r="1100" ht="22.5" customHeight="1">
      <c r="C1100" s="193"/>
      <c r="G1100" s="193"/>
      <c r="H1100" s="194"/>
      <c r="I1100" s="194"/>
      <c r="J1100" s="194"/>
      <c r="L1100" s="194"/>
      <c r="M1100" s="194"/>
    </row>
    <row r="1101" ht="22.5" customHeight="1">
      <c r="C1101" s="193"/>
      <c r="G1101" s="193"/>
      <c r="H1101" s="194"/>
      <c r="I1101" s="194"/>
      <c r="J1101" s="194"/>
      <c r="L1101" s="194"/>
      <c r="M1101" s="194"/>
    </row>
    <row r="1102" ht="22.5" customHeight="1">
      <c r="C1102" s="193"/>
      <c r="G1102" s="193"/>
      <c r="H1102" s="194"/>
      <c r="I1102" s="194"/>
      <c r="J1102" s="194"/>
      <c r="L1102" s="194"/>
      <c r="M1102" s="194"/>
    </row>
    <row r="1103" ht="22.5" customHeight="1">
      <c r="C1103" s="193"/>
      <c r="G1103" s="193"/>
      <c r="H1103" s="194"/>
      <c r="I1103" s="194"/>
      <c r="J1103" s="194"/>
      <c r="L1103" s="194"/>
      <c r="M1103" s="194"/>
    </row>
    <row r="1104" ht="22.5" customHeight="1">
      <c r="C1104" s="193"/>
      <c r="G1104" s="193"/>
      <c r="H1104" s="194"/>
      <c r="I1104" s="194"/>
      <c r="J1104" s="194"/>
      <c r="L1104" s="194"/>
      <c r="M1104" s="194"/>
    </row>
    <row r="1105" ht="22.5" customHeight="1">
      <c r="C1105" s="193"/>
      <c r="G1105" s="193"/>
      <c r="H1105" s="194"/>
      <c r="I1105" s="194"/>
      <c r="J1105" s="194"/>
      <c r="L1105" s="194"/>
      <c r="M1105" s="194"/>
    </row>
    <row r="1106" ht="22.5" customHeight="1">
      <c r="C1106" s="193"/>
      <c r="G1106" s="193"/>
      <c r="H1106" s="194"/>
      <c r="I1106" s="194"/>
      <c r="J1106" s="194"/>
      <c r="L1106" s="194"/>
      <c r="M1106" s="194"/>
    </row>
    <row r="1107" ht="22.5" customHeight="1">
      <c r="C1107" s="193"/>
      <c r="G1107" s="193"/>
      <c r="H1107" s="194"/>
      <c r="I1107" s="194"/>
      <c r="J1107" s="194"/>
      <c r="L1107" s="194"/>
      <c r="M1107" s="194"/>
    </row>
    <row r="1108" ht="22.5" customHeight="1">
      <c r="C1108" s="193"/>
      <c r="G1108" s="193"/>
      <c r="H1108" s="194"/>
      <c r="I1108" s="194"/>
      <c r="J1108" s="194"/>
      <c r="L1108" s="194"/>
      <c r="M1108" s="194"/>
    </row>
    <row r="1109" ht="22.5" customHeight="1">
      <c r="C1109" s="193"/>
      <c r="G1109" s="193"/>
      <c r="H1109" s="194"/>
      <c r="I1109" s="194"/>
      <c r="J1109" s="194"/>
      <c r="L1109" s="194"/>
      <c r="M1109" s="194"/>
    </row>
    <row r="1110" ht="22.5" customHeight="1">
      <c r="C1110" s="193"/>
      <c r="G1110" s="193"/>
      <c r="H1110" s="194"/>
      <c r="I1110" s="194"/>
      <c r="J1110" s="194"/>
      <c r="L1110" s="194"/>
      <c r="M1110" s="194"/>
    </row>
    <row r="1111" ht="22.5" customHeight="1">
      <c r="C1111" s="193"/>
      <c r="G1111" s="193"/>
      <c r="H1111" s="194"/>
      <c r="I1111" s="194"/>
      <c r="J1111" s="194"/>
      <c r="L1111" s="194"/>
      <c r="M1111" s="194"/>
    </row>
    <row r="1112" ht="22.5" customHeight="1">
      <c r="C1112" s="193"/>
      <c r="G1112" s="193"/>
      <c r="H1112" s="194"/>
      <c r="I1112" s="194"/>
      <c r="J1112" s="194"/>
      <c r="L1112" s="194"/>
      <c r="M1112" s="194"/>
    </row>
    <row r="1113" ht="22.5" customHeight="1">
      <c r="C1113" s="193"/>
      <c r="G1113" s="193"/>
      <c r="H1113" s="194"/>
      <c r="I1113" s="194"/>
      <c r="J1113" s="194"/>
      <c r="L1113" s="194"/>
      <c r="M1113" s="194"/>
    </row>
    <row r="1114" ht="22.5" customHeight="1">
      <c r="C1114" s="193"/>
      <c r="G1114" s="193"/>
      <c r="H1114" s="194"/>
      <c r="I1114" s="194"/>
      <c r="J1114" s="194"/>
      <c r="L1114" s="194"/>
      <c r="M1114" s="194"/>
    </row>
    <row r="1115" ht="22.5" customHeight="1">
      <c r="C1115" s="193"/>
      <c r="G1115" s="193"/>
      <c r="H1115" s="194"/>
      <c r="I1115" s="194"/>
      <c r="J1115" s="194"/>
      <c r="L1115" s="194"/>
      <c r="M1115" s="194"/>
    </row>
    <row r="1116" ht="22.5" customHeight="1">
      <c r="C1116" s="193"/>
      <c r="G1116" s="193"/>
      <c r="H1116" s="194"/>
      <c r="I1116" s="194"/>
      <c r="J1116" s="194"/>
      <c r="L1116" s="194"/>
      <c r="M1116" s="194"/>
    </row>
    <row r="1117" ht="22.5" customHeight="1">
      <c r="C1117" s="193"/>
      <c r="G1117" s="193"/>
      <c r="H1117" s="194"/>
      <c r="I1117" s="194"/>
      <c r="J1117" s="194"/>
      <c r="L1117" s="194"/>
      <c r="M1117" s="194"/>
    </row>
    <row r="1118" ht="22.5" customHeight="1">
      <c r="C1118" s="193"/>
      <c r="G1118" s="193"/>
      <c r="H1118" s="194"/>
      <c r="I1118" s="194"/>
      <c r="J1118" s="194"/>
      <c r="L1118" s="194"/>
      <c r="M1118" s="194"/>
    </row>
    <row r="1119" ht="22.5" customHeight="1">
      <c r="C1119" s="193"/>
      <c r="G1119" s="193"/>
      <c r="H1119" s="194"/>
      <c r="I1119" s="194"/>
      <c r="J1119" s="194"/>
      <c r="L1119" s="194"/>
      <c r="M1119" s="194"/>
    </row>
    <row r="1120" ht="22.5" customHeight="1">
      <c r="C1120" s="193"/>
      <c r="G1120" s="193"/>
      <c r="H1120" s="194"/>
      <c r="I1120" s="194"/>
      <c r="J1120" s="194"/>
      <c r="L1120" s="194"/>
      <c r="M1120" s="194"/>
    </row>
    <row r="1121" ht="22.5" customHeight="1">
      <c r="C1121" s="193"/>
      <c r="G1121" s="193"/>
      <c r="H1121" s="194"/>
      <c r="I1121" s="194"/>
      <c r="J1121" s="194"/>
      <c r="L1121" s="194"/>
      <c r="M1121" s="194"/>
    </row>
    <row r="1122" ht="22.5" customHeight="1">
      <c r="C1122" s="193"/>
      <c r="G1122" s="193"/>
      <c r="H1122" s="194"/>
      <c r="I1122" s="194"/>
      <c r="J1122" s="194"/>
      <c r="L1122" s="194"/>
      <c r="M1122" s="194"/>
    </row>
    <row r="1123" ht="22.5" customHeight="1">
      <c r="C1123" s="193"/>
      <c r="G1123" s="193"/>
      <c r="H1123" s="194"/>
      <c r="I1123" s="194"/>
      <c r="J1123" s="194"/>
      <c r="L1123" s="194"/>
      <c r="M1123" s="194"/>
    </row>
    <row r="1124" ht="22.5" customHeight="1">
      <c r="C1124" s="193"/>
      <c r="G1124" s="193"/>
      <c r="H1124" s="194"/>
      <c r="I1124" s="194"/>
      <c r="J1124" s="194"/>
      <c r="L1124" s="194"/>
      <c r="M1124" s="194"/>
    </row>
    <row r="1125" ht="22.5" customHeight="1">
      <c r="C1125" s="193"/>
      <c r="G1125" s="193"/>
      <c r="H1125" s="194"/>
      <c r="I1125" s="194"/>
      <c r="J1125" s="194"/>
      <c r="L1125" s="194"/>
      <c r="M1125" s="194"/>
    </row>
    <row r="1126" ht="22.5" customHeight="1">
      <c r="C1126" s="193"/>
      <c r="G1126" s="193"/>
      <c r="H1126" s="194"/>
      <c r="I1126" s="194"/>
      <c r="J1126" s="194"/>
      <c r="L1126" s="194"/>
      <c r="M1126" s="194"/>
    </row>
    <row r="1127" ht="22.5" customHeight="1">
      <c r="C1127" s="193"/>
      <c r="G1127" s="193"/>
      <c r="H1127" s="194"/>
      <c r="I1127" s="194"/>
      <c r="J1127" s="194"/>
      <c r="L1127" s="194"/>
      <c r="M1127" s="194"/>
    </row>
    <row r="1128" ht="22.5" customHeight="1">
      <c r="C1128" s="193"/>
      <c r="G1128" s="193"/>
      <c r="H1128" s="194"/>
      <c r="I1128" s="194"/>
      <c r="J1128" s="194"/>
      <c r="L1128" s="194"/>
      <c r="M1128" s="194"/>
    </row>
    <row r="1129" ht="22.5" customHeight="1">
      <c r="C1129" s="193"/>
      <c r="G1129" s="193"/>
      <c r="H1129" s="194"/>
      <c r="I1129" s="194"/>
      <c r="J1129" s="194"/>
      <c r="L1129" s="194"/>
      <c r="M1129" s="194"/>
    </row>
    <row r="1130" ht="22.5" customHeight="1">
      <c r="C1130" s="193"/>
      <c r="G1130" s="193"/>
      <c r="H1130" s="194"/>
      <c r="I1130" s="194"/>
      <c r="J1130" s="194"/>
      <c r="L1130" s="194"/>
      <c r="M1130" s="194"/>
    </row>
    <row r="1131" ht="22.5" customHeight="1">
      <c r="C1131" s="193"/>
      <c r="G1131" s="193"/>
      <c r="H1131" s="194"/>
      <c r="I1131" s="194"/>
      <c r="J1131" s="194"/>
      <c r="L1131" s="194"/>
      <c r="M1131" s="194"/>
    </row>
    <row r="1132" ht="22.5" customHeight="1">
      <c r="C1132" s="193"/>
      <c r="G1132" s="193"/>
      <c r="H1132" s="194"/>
      <c r="I1132" s="194"/>
      <c r="J1132" s="194"/>
      <c r="L1132" s="194"/>
      <c r="M1132" s="194"/>
    </row>
    <row r="1133" ht="22.5" customHeight="1">
      <c r="C1133" s="193"/>
      <c r="G1133" s="193"/>
      <c r="H1133" s="194"/>
      <c r="I1133" s="194"/>
      <c r="J1133" s="194"/>
      <c r="L1133" s="194"/>
      <c r="M1133" s="194"/>
    </row>
    <row r="1134" ht="22.5" customHeight="1">
      <c r="C1134" s="193"/>
      <c r="G1134" s="193"/>
      <c r="H1134" s="194"/>
      <c r="I1134" s="194"/>
      <c r="J1134" s="194"/>
      <c r="L1134" s="194"/>
      <c r="M1134" s="194"/>
    </row>
    <row r="1135" ht="22.5" customHeight="1">
      <c r="C1135" s="193"/>
      <c r="G1135" s="193"/>
      <c r="H1135" s="194"/>
      <c r="I1135" s="194"/>
      <c r="J1135" s="194"/>
      <c r="L1135" s="194"/>
      <c r="M1135" s="194"/>
    </row>
    <row r="1136" ht="22.5" customHeight="1">
      <c r="C1136" s="193"/>
      <c r="G1136" s="193"/>
      <c r="H1136" s="194"/>
      <c r="I1136" s="194"/>
      <c r="J1136" s="194"/>
      <c r="L1136" s="194"/>
      <c r="M1136" s="194"/>
    </row>
    <row r="1137" ht="22.5" customHeight="1">
      <c r="C1137" s="193"/>
      <c r="G1137" s="193"/>
      <c r="H1137" s="194"/>
      <c r="I1137" s="194"/>
      <c r="J1137" s="194"/>
      <c r="L1137" s="194"/>
      <c r="M1137" s="194"/>
    </row>
    <row r="1138" ht="22.5" customHeight="1">
      <c r="C1138" s="193"/>
      <c r="G1138" s="193"/>
      <c r="H1138" s="194"/>
      <c r="I1138" s="194"/>
      <c r="J1138" s="194"/>
      <c r="L1138" s="194"/>
      <c r="M1138" s="194"/>
    </row>
    <row r="1139" ht="22.5" customHeight="1">
      <c r="C1139" s="193"/>
      <c r="G1139" s="193"/>
      <c r="H1139" s="194"/>
      <c r="I1139" s="194"/>
      <c r="J1139" s="194"/>
      <c r="L1139" s="194"/>
      <c r="M1139" s="194"/>
    </row>
    <row r="1140" ht="22.5" customHeight="1">
      <c r="C1140" s="193"/>
      <c r="G1140" s="193"/>
      <c r="H1140" s="194"/>
      <c r="I1140" s="194"/>
      <c r="J1140" s="194"/>
      <c r="L1140" s="194"/>
      <c r="M1140" s="194"/>
    </row>
    <row r="1141" ht="22.5" customHeight="1">
      <c r="C1141" s="193"/>
      <c r="G1141" s="193"/>
      <c r="H1141" s="194"/>
      <c r="I1141" s="194"/>
      <c r="J1141" s="194"/>
      <c r="L1141" s="194"/>
      <c r="M1141" s="194"/>
    </row>
    <row r="1142" ht="22.5" customHeight="1">
      <c r="C1142" s="193"/>
      <c r="G1142" s="193"/>
      <c r="H1142" s="194"/>
      <c r="I1142" s="194"/>
      <c r="J1142" s="194"/>
      <c r="L1142" s="194"/>
      <c r="M1142" s="194"/>
    </row>
    <row r="1143" ht="22.5" customHeight="1">
      <c r="C1143" s="193"/>
      <c r="G1143" s="193"/>
      <c r="H1143" s="194"/>
      <c r="I1143" s="194"/>
      <c r="J1143" s="194"/>
      <c r="L1143" s="194"/>
      <c r="M1143" s="194"/>
    </row>
    <row r="1144" ht="22.5" customHeight="1">
      <c r="C1144" s="193"/>
      <c r="G1144" s="193"/>
      <c r="H1144" s="194"/>
      <c r="I1144" s="194"/>
      <c r="J1144" s="194"/>
      <c r="L1144" s="194"/>
      <c r="M1144" s="194"/>
    </row>
    <row r="1145" ht="22.5" customHeight="1">
      <c r="C1145" s="193"/>
      <c r="G1145" s="193"/>
      <c r="H1145" s="194"/>
      <c r="I1145" s="194"/>
      <c r="J1145" s="194"/>
      <c r="L1145" s="194"/>
      <c r="M1145" s="194"/>
    </row>
    <row r="1146" ht="22.5" customHeight="1">
      <c r="C1146" s="193"/>
      <c r="G1146" s="193"/>
      <c r="H1146" s="194"/>
      <c r="I1146" s="194"/>
      <c r="J1146" s="194"/>
      <c r="L1146" s="194"/>
      <c r="M1146" s="194"/>
    </row>
    <row r="1147" ht="22.5" customHeight="1">
      <c r="C1147" s="193"/>
      <c r="G1147" s="193"/>
      <c r="H1147" s="194"/>
      <c r="I1147" s="194"/>
      <c r="J1147" s="194"/>
      <c r="L1147" s="194"/>
      <c r="M1147" s="194"/>
    </row>
    <row r="1148" ht="22.5" customHeight="1">
      <c r="C1148" s="193"/>
      <c r="G1148" s="193"/>
      <c r="H1148" s="194"/>
      <c r="I1148" s="194"/>
      <c r="J1148" s="194"/>
      <c r="L1148" s="194"/>
      <c r="M1148" s="194"/>
    </row>
    <row r="1149" ht="22.5" customHeight="1">
      <c r="C1149" s="193"/>
      <c r="G1149" s="193"/>
      <c r="H1149" s="194"/>
      <c r="I1149" s="194"/>
      <c r="J1149" s="194"/>
      <c r="L1149" s="194"/>
      <c r="M1149" s="194"/>
    </row>
    <row r="1150" ht="22.5" customHeight="1">
      <c r="C1150" s="193"/>
      <c r="G1150" s="193"/>
      <c r="H1150" s="194"/>
      <c r="I1150" s="194"/>
      <c r="J1150" s="194"/>
      <c r="L1150" s="194"/>
      <c r="M1150" s="194"/>
    </row>
    <row r="1151" ht="22.5" customHeight="1">
      <c r="C1151" s="193"/>
      <c r="G1151" s="193"/>
      <c r="H1151" s="194"/>
      <c r="I1151" s="194"/>
      <c r="J1151" s="194"/>
      <c r="L1151" s="194"/>
      <c r="M1151" s="194"/>
    </row>
    <row r="1152" ht="22.5" customHeight="1">
      <c r="C1152" s="193"/>
      <c r="G1152" s="193"/>
      <c r="H1152" s="194"/>
      <c r="I1152" s="194"/>
      <c r="J1152" s="194"/>
      <c r="L1152" s="194"/>
      <c r="M1152" s="194"/>
    </row>
    <row r="1153" ht="22.5" customHeight="1">
      <c r="C1153" s="193"/>
      <c r="G1153" s="193"/>
      <c r="H1153" s="194"/>
      <c r="I1153" s="194"/>
      <c r="J1153" s="194"/>
      <c r="L1153" s="194"/>
      <c r="M1153" s="194"/>
    </row>
    <row r="1154" ht="22.5" customHeight="1">
      <c r="C1154" s="193"/>
      <c r="G1154" s="193"/>
      <c r="H1154" s="194"/>
      <c r="I1154" s="194"/>
      <c r="J1154" s="194"/>
      <c r="L1154" s="194"/>
      <c r="M1154" s="194"/>
    </row>
    <row r="1155" ht="22.5" customHeight="1">
      <c r="C1155" s="193"/>
      <c r="G1155" s="193"/>
      <c r="H1155" s="194"/>
      <c r="I1155" s="194"/>
      <c r="J1155" s="194"/>
      <c r="L1155" s="194"/>
      <c r="M1155" s="194"/>
    </row>
    <row r="1156" ht="22.5" customHeight="1">
      <c r="C1156" s="193"/>
      <c r="G1156" s="193"/>
      <c r="H1156" s="194"/>
      <c r="I1156" s="194"/>
      <c r="J1156" s="194"/>
      <c r="L1156" s="194"/>
      <c r="M1156" s="194"/>
    </row>
    <row r="1157" ht="22.5" customHeight="1">
      <c r="C1157" s="193"/>
      <c r="G1157" s="193"/>
      <c r="H1157" s="194"/>
      <c r="I1157" s="194"/>
      <c r="J1157" s="194"/>
      <c r="L1157" s="194"/>
      <c r="M1157" s="194"/>
    </row>
    <row r="1158" ht="22.5" customHeight="1">
      <c r="C1158" s="193"/>
      <c r="G1158" s="193"/>
      <c r="H1158" s="194"/>
      <c r="I1158" s="194"/>
      <c r="J1158" s="194"/>
      <c r="L1158" s="194"/>
      <c r="M1158" s="194"/>
    </row>
    <row r="1159" ht="22.5" customHeight="1">
      <c r="C1159" s="193"/>
      <c r="G1159" s="193"/>
      <c r="H1159" s="194"/>
      <c r="I1159" s="194"/>
      <c r="J1159" s="194"/>
      <c r="L1159" s="194"/>
      <c r="M1159" s="194"/>
    </row>
    <row r="1160" ht="22.5" customHeight="1">
      <c r="C1160" s="193"/>
      <c r="G1160" s="193"/>
      <c r="H1160" s="194"/>
      <c r="I1160" s="194"/>
      <c r="J1160" s="194"/>
      <c r="L1160" s="194"/>
      <c r="M1160" s="194"/>
    </row>
    <row r="1161" ht="22.5" customHeight="1">
      <c r="C1161" s="193"/>
      <c r="G1161" s="193"/>
      <c r="H1161" s="194"/>
      <c r="I1161" s="194"/>
      <c r="J1161" s="194"/>
      <c r="L1161" s="194"/>
      <c r="M1161" s="194"/>
    </row>
    <row r="1162" ht="22.5" customHeight="1">
      <c r="C1162" s="193"/>
      <c r="G1162" s="193"/>
      <c r="H1162" s="194"/>
      <c r="I1162" s="194"/>
      <c r="J1162" s="194"/>
      <c r="L1162" s="194"/>
      <c r="M1162" s="194"/>
    </row>
    <row r="1163" ht="22.5" customHeight="1">
      <c r="C1163" s="193"/>
      <c r="G1163" s="193"/>
      <c r="H1163" s="194"/>
      <c r="I1163" s="194"/>
      <c r="J1163" s="194"/>
      <c r="L1163" s="194"/>
      <c r="M1163" s="194"/>
    </row>
    <row r="1164" ht="22.5" customHeight="1">
      <c r="C1164" s="193"/>
      <c r="G1164" s="193"/>
      <c r="H1164" s="194"/>
      <c r="I1164" s="194"/>
      <c r="J1164" s="194"/>
      <c r="L1164" s="194"/>
      <c r="M1164" s="194"/>
    </row>
    <row r="1165" ht="22.5" customHeight="1">
      <c r="C1165" s="193"/>
      <c r="G1165" s="193"/>
      <c r="H1165" s="194"/>
      <c r="I1165" s="194"/>
      <c r="J1165" s="194"/>
      <c r="L1165" s="194"/>
      <c r="M1165" s="194"/>
    </row>
    <row r="1166" ht="22.5" customHeight="1">
      <c r="C1166" s="193"/>
      <c r="G1166" s="193"/>
      <c r="H1166" s="194"/>
      <c r="I1166" s="194"/>
      <c r="J1166" s="194"/>
      <c r="L1166" s="194"/>
      <c r="M1166" s="194"/>
    </row>
    <row r="1167" ht="22.5" customHeight="1">
      <c r="C1167" s="193"/>
      <c r="G1167" s="193"/>
      <c r="H1167" s="194"/>
      <c r="I1167" s="194"/>
      <c r="J1167" s="194"/>
      <c r="L1167" s="194"/>
      <c r="M1167" s="194"/>
    </row>
    <row r="1168" ht="22.5" customHeight="1">
      <c r="C1168" s="193"/>
      <c r="G1168" s="193"/>
      <c r="H1168" s="194"/>
      <c r="I1168" s="194"/>
      <c r="J1168" s="194"/>
      <c r="L1168" s="194"/>
      <c r="M1168" s="194"/>
    </row>
    <row r="1169" ht="22.5" customHeight="1">
      <c r="C1169" s="193"/>
      <c r="G1169" s="193"/>
      <c r="H1169" s="194"/>
      <c r="I1169" s="194"/>
      <c r="J1169" s="194"/>
      <c r="L1169" s="194"/>
      <c r="M1169" s="194"/>
    </row>
    <row r="1170" ht="22.5" customHeight="1">
      <c r="C1170" s="193"/>
      <c r="G1170" s="193"/>
      <c r="H1170" s="194"/>
      <c r="I1170" s="194"/>
      <c r="J1170" s="194"/>
      <c r="L1170" s="194"/>
      <c r="M1170" s="194"/>
    </row>
    <row r="1171" ht="22.5" customHeight="1">
      <c r="C1171" s="193"/>
      <c r="G1171" s="193"/>
      <c r="H1171" s="194"/>
      <c r="I1171" s="194"/>
      <c r="J1171" s="194"/>
      <c r="L1171" s="194"/>
      <c r="M1171" s="194"/>
    </row>
    <row r="1172" ht="22.5" customHeight="1">
      <c r="C1172" s="193"/>
      <c r="G1172" s="193"/>
      <c r="H1172" s="194"/>
      <c r="I1172" s="194"/>
      <c r="J1172" s="194"/>
      <c r="L1172" s="194"/>
      <c r="M1172" s="194"/>
    </row>
    <row r="1173" ht="22.5" customHeight="1">
      <c r="C1173" s="193"/>
      <c r="G1173" s="193"/>
      <c r="H1173" s="194"/>
      <c r="I1173" s="194"/>
      <c r="J1173" s="194"/>
      <c r="L1173" s="194"/>
      <c r="M1173" s="194"/>
    </row>
    <row r="1174" ht="22.5" customHeight="1">
      <c r="C1174" s="193"/>
      <c r="G1174" s="193"/>
      <c r="H1174" s="194"/>
      <c r="I1174" s="194"/>
      <c r="J1174" s="194"/>
      <c r="L1174" s="194"/>
      <c r="M1174" s="194"/>
    </row>
    <row r="1175" ht="22.5" customHeight="1">
      <c r="C1175" s="193"/>
      <c r="G1175" s="193"/>
      <c r="H1175" s="194"/>
      <c r="I1175" s="194"/>
      <c r="J1175" s="194"/>
      <c r="L1175" s="194"/>
      <c r="M1175" s="194"/>
    </row>
    <row r="1176" ht="22.5" customHeight="1">
      <c r="C1176" s="193"/>
      <c r="G1176" s="193"/>
      <c r="H1176" s="194"/>
      <c r="I1176" s="194"/>
      <c r="J1176" s="194"/>
      <c r="L1176" s="194"/>
      <c r="M1176" s="194"/>
    </row>
    <row r="1177" ht="22.5" customHeight="1">
      <c r="C1177" s="193"/>
      <c r="G1177" s="193"/>
      <c r="H1177" s="194"/>
      <c r="I1177" s="194"/>
      <c r="J1177" s="194"/>
      <c r="L1177" s="194"/>
      <c r="M1177" s="194"/>
    </row>
    <row r="1178" ht="22.5" customHeight="1">
      <c r="C1178" s="193"/>
      <c r="G1178" s="193"/>
      <c r="H1178" s="194"/>
      <c r="I1178" s="194"/>
      <c r="J1178" s="194"/>
      <c r="L1178" s="194"/>
      <c r="M1178" s="194"/>
    </row>
    <row r="1179" ht="22.5" customHeight="1">
      <c r="C1179" s="193"/>
      <c r="G1179" s="193"/>
      <c r="H1179" s="194"/>
      <c r="I1179" s="194"/>
      <c r="J1179" s="194"/>
      <c r="L1179" s="194"/>
      <c r="M1179" s="194"/>
    </row>
    <row r="1180" ht="22.5" customHeight="1">
      <c r="C1180" s="193"/>
      <c r="G1180" s="193"/>
      <c r="H1180" s="194"/>
      <c r="I1180" s="194"/>
      <c r="J1180" s="194"/>
      <c r="L1180" s="194"/>
      <c r="M1180" s="194"/>
    </row>
    <row r="1181" ht="22.5" customHeight="1">
      <c r="C1181" s="193"/>
      <c r="G1181" s="193"/>
      <c r="H1181" s="194"/>
      <c r="I1181" s="194"/>
      <c r="J1181" s="194"/>
      <c r="L1181" s="194"/>
      <c r="M1181" s="194"/>
    </row>
    <row r="1182" ht="22.5" customHeight="1">
      <c r="C1182" s="193"/>
      <c r="G1182" s="193"/>
      <c r="H1182" s="194"/>
      <c r="I1182" s="194"/>
      <c r="J1182" s="194"/>
      <c r="L1182" s="194"/>
      <c r="M1182" s="194"/>
    </row>
    <row r="1183" ht="22.5" customHeight="1">
      <c r="C1183" s="193"/>
      <c r="G1183" s="193"/>
      <c r="H1183" s="194"/>
      <c r="I1183" s="194"/>
      <c r="J1183" s="194"/>
      <c r="L1183" s="194"/>
      <c r="M1183" s="194"/>
    </row>
    <row r="1184" ht="22.5" customHeight="1">
      <c r="C1184" s="193"/>
      <c r="G1184" s="193"/>
      <c r="H1184" s="194"/>
      <c r="I1184" s="194"/>
      <c r="J1184" s="194"/>
      <c r="L1184" s="194"/>
      <c r="M1184" s="194"/>
    </row>
    <row r="1185" ht="22.5" customHeight="1">
      <c r="C1185" s="193"/>
      <c r="G1185" s="193"/>
      <c r="H1185" s="194"/>
      <c r="I1185" s="194"/>
      <c r="J1185" s="194"/>
      <c r="L1185" s="194"/>
      <c r="M1185" s="194"/>
    </row>
    <row r="1186" ht="22.5" customHeight="1">
      <c r="C1186" s="193"/>
      <c r="G1186" s="193"/>
      <c r="H1186" s="194"/>
      <c r="I1186" s="194"/>
      <c r="J1186" s="194"/>
      <c r="L1186" s="194"/>
      <c r="M1186" s="194"/>
    </row>
    <row r="1187" ht="22.5" customHeight="1">
      <c r="C1187" s="193"/>
      <c r="G1187" s="193"/>
      <c r="H1187" s="194"/>
      <c r="I1187" s="194"/>
      <c r="J1187" s="194"/>
      <c r="L1187" s="194"/>
      <c r="M1187" s="194"/>
    </row>
    <row r="1188" ht="22.5" customHeight="1">
      <c r="C1188" s="193"/>
      <c r="G1188" s="193"/>
      <c r="H1188" s="194"/>
      <c r="I1188" s="194"/>
      <c r="J1188" s="194"/>
      <c r="L1188" s="194"/>
      <c r="M1188" s="194"/>
    </row>
    <row r="1189" ht="22.5" customHeight="1">
      <c r="C1189" s="193"/>
      <c r="G1189" s="193"/>
      <c r="H1189" s="194"/>
      <c r="I1189" s="194"/>
      <c r="J1189" s="194"/>
      <c r="L1189" s="194"/>
      <c r="M1189" s="194"/>
    </row>
    <row r="1190" ht="22.5" customHeight="1">
      <c r="C1190" s="193"/>
      <c r="G1190" s="193"/>
      <c r="H1190" s="194"/>
      <c r="I1190" s="194"/>
      <c r="J1190" s="194"/>
      <c r="L1190" s="194"/>
      <c r="M1190" s="194"/>
    </row>
    <row r="1191" ht="22.5" customHeight="1">
      <c r="C1191" s="193"/>
      <c r="G1191" s="193"/>
      <c r="H1191" s="194"/>
      <c r="I1191" s="194"/>
      <c r="J1191" s="194"/>
      <c r="L1191" s="194"/>
      <c r="M1191" s="194"/>
    </row>
    <row r="1192" ht="22.5" customHeight="1">
      <c r="C1192" s="193"/>
      <c r="G1192" s="193"/>
      <c r="H1192" s="194"/>
      <c r="I1192" s="194"/>
      <c r="J1192" s="194"/>
      <c r="L1192" s="194"/>
      <c r="M1192" s="194"/>
    </row>
    <row r="1193" ht="22.5" customHeight="1">
      <c r="C1193" s="193"/>
      <c r="G1193" s="193"/>
      <c r="H1193" s="194"/>
      <c r="I1193" s="194"/>
      <c r="J1193" s="194"/>
      <c r="L1193" s="194"/>
      <c r="M1193" s="194"/>
    </row>
    <row r="1194" ht="22.5" customHeight="1">
      <c r="C1194" s="193"/>
      <c r="G1194" s="193"/>
      <c r="H1194" s="194"/>
      <c r="I1194" s="194"/>
      <c r="J1194" s="194"/>
      <c r="L1194" s="194"/>
      <c r="M1194" s="194"/>
    </row>
    <row r="1195" ht="22.5" customHeight="1">
      <c r="C1195" s="193"/>
      <c r="G1195" s="193"/>
      <c r="H1195" s="194"/>
      <c r="I1195" s="194"/>
      <c r="J1195" s="194"/>
      <c r="L1195" s="194"/>
      <c r="M1195" s="194"/>
    </row>
    <row r="1196" ht="22.5" customHeight="1">
      <c r="C1196" s="193"/>
      <c r="G1196" s="193"/>
      <c r="H1196" s="194"/>
      <c r="I1196" s="194"/>
      <c r="J1196" s="194"/>
      <c r="L1196" s="194"/>
      <c r="M1196" s="194"/>
    </row>
    <row r="1197" ht="22.5" customHeight="1">
      <c r="C1197" s="193"/>
      <c r="G1197" s="193"/>
      <c r="H1197" s="194"/>
      <c r="I1197" s="194"/>
      <c r="J1197" s="194"/>
      <c r="L1197" s="194"/>
      <c r="M1197" s="194"/>
    </row>
    <row r="1198" ht="22.5" customHeight="1">
      <c r="C1198" s="193"/>
      <c r="G1198" s="193"/>
      <c r="H1198" s="194"/>
      <c r="I1198" s="194"/>
      <c r="J1198" s="194"/>
      <c r="L1198" s="194"/>
      <c r="M1198" s="194"/>
    </row>
    <row r="1199" ht="22.5" customHeight="1">
      <c r="C1199" s="193"/>
      <c r="G1199" s="193"/>
      <c r="H1199" s="194"/>
      <c r="I1199" s="194"/>
      <c r="J1199" s="194"/>
      <c r="L1199" s="194"/>
      <c r="M1199" s="194"/>
    </row>
    <row r="1200" ht="22.5" customHeight="1">
      <c r="C1200" s="193"/>
      <c r="G1200" s="193"/>
      <c r="H1200" s="194"/>
      <c r="I1200" s="194"/>
      <c r="J1200" s="194"/>
      <c r="L1200" s="194"/>
      <c r="M1200" s="194"/>
    </row>
    <row r="1201" ht="22.5" customHeight="1">
      <c r="C1201" s="193"/>
      <c r="G1201" s="193"/>
      <c r="H1201" s="194"/>
      <c r="I1201" s="194"/>
      <c r="J1201" s="194"/>
      <c r="L1201" s="194"/>
      <c r="M1201" s="194"/>
    </row>
    <row r="1202" ht="22.5" customHeight="1">
      <c r="C1202" s="193"/>
      <c r="G1202" s="193"/>
      <c r="H1202" s="194"/>
      <c r="I1202" s="194"/>
      <c r="J1202" s="194"/>
      <c r="L1202" s="194"/>
      <c r="M1202" s="194"/>
    </row>
    <row r="1203" ht="22.5" customHeight="1">
      <c r="C1203" s="193"/>
      <c r="G1203" s="193"/>
      <c r="H1203" s="194"/>
      <c r="I1203" s="194"/>
      <c r="J1203" s="194"/>
      <c r="L1203" s="194"/>
      <c r="M1203" s="194"/>
    </row>
    <row r="1204" ht="22.5" customHeight="1">
      <c r="C1204" s="193"/>
      <c r="G1204" s="193"/>
      <c r="H1204" s="194"/>
      <c r="I1204" s="194"/>
      <c r="J1204" s="194"/>
      <c r="L1204" s="194"/>
      <c r="M1204" s="194"/>
    </row>
    <row r="1205" ht="22.5" customHeight="1">
      <c r="C1205" s="193"/>
      <c r="G1205" s="193"/>
      <c r="H1205" s="194"/>
      <c r="I1205" s="194"/>
      <c r="J1205" s="194"/>
      <c r="L1205" s="194"/>
      <c r="M1205" s="194"/>
    </row>
    <row r="1206" ht="22.5" customHeight="1">
      <c r="C1206" s="193"/>
      <c r="G1206" s="193"/>
      <c r="H1206" s="194"/>
      <c r="I1206" s="194"/>
      <c r="J1206" s="194"/>
      <c r="L1206" s="194"/>
      <c r="M1206" s="194"/>
    </row>
    <row r="1207" ht="22.5" customHeight="1">
      <c r="C1207" s="193"/>
      <c r="G1207" s="193"/>
      <c r="H1207" s="194"/>
      <c r="I1207" s="194"/>
      <c r="J1207" s="194"/>
      <c r="L1207" s="194"/>
      <c r="M1207" s="194"/>
    </row>
    <row r="1208" ht="22.5" customHeight="1">
      <c r="C1208" s="193"/>
      <c r="G1208" s="193"/>
      <c r="H1208" s="194"/>
      <c r="I1208" s="194"/>
      <c r="J1208" s="194"/>
      <c r="L1208" s="194"/>
      <c r="M1208" s="194"/>
    </row>
    <row r="1209" ht="22.5" customHeight="1">
      <c r="C1209" s="193"/>
      <c r="G1209" s="193"/>
      <c r="H1209" s="194"/>
      <c r="I1209" s="194"/>
      <c r="J1209" s="194"/>
      <c r="L1209" s="194"/>
      <c r="M1209" s="194"/>
    </row>
    <row r="1210" ht="22.5" customHeight="1">
      <c r="C1210" s="193"/>
      <c r="G1210" s="193"/>
      <c r="H1210" s="194"/>
      <c r="I1210" s="194"/>
      <c r="J1210" s="194"/>
      <c r="L1210" s="194"/>
      <c r="M1210" s="194"/>
    </row>
    <row r="1211" ht="22.5" customHeight="1">
      <c r="C1211" s="193"/>
      <c r="G1211" s="193"/>
      <c r="H1211" s="194"/>
      <c r="I1211" s="194"/>
      <c r="J1211" s="194"/>
      <c r="L1211" s="194"/>
      <c r="M1211" s="194"/>
    </row>
    <row r="1212" ht="22.5" customHeight="1">
      <c r="C1212" s="193"/>
      <c r="G1212" s="193"/>
      <c r="H1212" s="194"/>
      <c r="I1212" s="194"/>
      <c r="J1212" s="194"/>
      <c r="L1212" s="194"/>
      <c r="M1212" s="194"/>
    </row>
    <row r="1213" ht="22.5" customHeight="1">
      <c r="C1213" s="193"/>
      <c r="G1213" s="193"/>
      <c r="H1213" s="194"/>
      <c r="I1213" s="194"/>
      <c r="J1213" s="194"/>
      <c r="L1213" s="194"/>
      <c r="M1213" s="194"/>
    </row>
    <row r="1214" ht="22.5" customHeight="1">
      <c r="C1214" s="193"/>
      <c r="G1214" s="193"/>
      <c r="H1214" s="194"/>
      <c r="I1214" s="194"/>
      <c r="J1214" s="194"/>
      <c r="L1214" s="194"/>
      <c r="M1214" s="194"/>
    </row>
    <row r="1215" ht="22.5" customHeight="1">
      <c r="C1215" s="193"/>
      <c r="G1215" s="193"/>
      <c r="H1215" s="194"/>
      <c r="I1215" s="194"/>
      <c r="J1215" s="194"/>
      <c r="L1215" s="194"/>
      <c r="M1215" s="194"/>
    </row>
    <row r="1216" ht="22.5" customHeight="1">
      <c r="C1216" s="193"/>
      <c r="G1216" s="193"/>
      <c r="H1216" s="194"/>
      <c r="I1216" s="194"/>
      <c r="J1216" s="194"/>
      <c r="L1216" s="194"/>
      <c r="M1216" s="194"/>
    </row>
    <row r="1217" ht="22.5" customHeight="1">
      <c r="C1217" s="193"/>
      <c r="G1217" s="193"/>
      <c r="H1217" s="194"/>
      <c r="I1217" s="194"/>
      <c r="J1217" s="194"/>
      <c r="L1217" s="194"/>
      <c r="M1217" s="194"/>
    </row>
    <row r="1218" ht="22.5" customHeight="1">
      <c r="C1218" s="193"/>
      <c r="G1218" s="193"/>
      <c r="H1218" s="194"/>
      <c r="I1218" s="194"/>
      <c r="J1218" s="194"/>
      <c r="L1218" s="194"/>
      <c r="M1218" s="194"/>
    </row>
    <row r="1219" ht="22.5" customHeight="1">
      <c r="C1219" s="193"/>
      <c r="G1219" s="193"/>
      <c r="H1219" s="194"/>
      <c r="I1219" s="194"/>
      <c r="J1219" s="194"/>
      <c r="L1219" s="194"/>
      <c r="M1219" s="194"/>
    </row>
    <row r="1220" ht="22.5" customHeight="1">
      <c r="C1220" s="193"/>
      <c r="G1220" s="193"/>
      <c r="H1220" s="194"/>
      <c r="I1220" s="194"/>
      <c r="J1220" s="194"/>
      <c r="L1220" s="194"/>
      <c r="M1220" s="194"/>
    </row>
    <row r="1221" ht="22.5" customHeight="1">
      <c r="C1221" s="193"/>
      <c r="G1221" s="193"/>
      <c r="H1221" s="194"/>
      <c r="I1221" s="194"/>
      <c r="J1221" s="194"/>
      <c r="L1221" s="194"/>
      <c r="M1221" s="194"/>
    </row>
    <row r="1222" ht="22.5" customHeight="1">
      <c r="C1222" s="193"/>
      <c r="G1222" s="193"/>
      <c r="H1222" s="194"/>
      <c r="I1222" s="194"/>
      <c r="J1222" s="194"/>
      <c r="L1222" s="194"/>
      <c r="M1222" s="194"/>
    </row>
    <row r="1223" ht="22.5" customHeight="1">
      <c r="C1223" s="193"/>
      <c r="G1223" s="193"/>
      <c r="H1223" s="194"/>
      <c r="I1223" s="194"/>
      <c r="J1223" s="194"/>
      <c r="L1223" s="194"/>
      <c r="M1223" s="194"/>
    </row>
    <row r="1224" ht="22.5" customHeight="1">
      <c r="C1224" s="193"/>
      <c r="G1224" s="193"/>
      <c r="H1224" s="194"/>
      <c r="I1224" s="194"/>
      <c r="J1224" s="194"/>
      <c r="L1224" s="194"/>
      <c r="M1224" s="194"/>
    </row>
    <row r="1225" ht="22.5" customHeight="1">
      <c r="C1225" s="193"/>
      <c r="G1225" s="193"/>
      <c r="H1225" s="194"/>
      <c r="I1225" s="194"/>
      <c r="J1225" s="194"/>
      <c r="L1225" s="194"/>
      <c r="M1225" s="194"/>
    </row>
    <row r="1226" ht="22.5" customHeight="1">
      <c r="C1226" s="193"/>
      <c r="G1226" s="193"/>
      <c r="H1226" s="194"/>
      <c r="I1226" s="194"/>
      <c r="J1226" s="194"/>
      <c r="L1226" s="194"/>
      <c r="M1226" s="194"/>
    </row>
    <row r="1227" ht="22.5" customHeight="1">
      <c r="C1227" s="193"/>
      <c r="G1227" s="193"/>
      <c r="H1227" s="194"/>
      <c r="I1227" s="194"/>
      <c r="J1227" s="194"/>
      <c r="L1227" s="194"/>
      <c r="M1227" s="194"/>
    </row>
    <row r="1228" ht="22.5" customHeight="1">
      <c r="C1228" s="193"/>
      <c r="G1228" s="193"/>
      <c r="H1228" s="194"/>
      <c r="I1228" s="194"/>
      <c r="J1228" s="194"/>
      <c r="L1228" s="194"/>
      <c r="M1228" s="194"/>
    </row>
    <row r="1229" ht="22.5" customHeight="1">
      <c r="C1229" s="193"/>
      <c r="G1229" s="193"/>
      <c r="H1229" s="194"/>
      <c r="I1229" s="194"/>
      <c r="J1229" s="194"/>
      <c r="L1229" s="194"/>
      <c r="M1229" s="194"/>
    </row>
    <row r="1230" ht="22.5" customHeight="1">
      <c r="C1230" s="193"/>
      <c r="G1230" s="193"/>
      <c r="H1230" s="194"/>
      <c r="I1230" s="194"/>
      <c r="J1230" s="194"/>
      <c r="L1230" s="194"/>
      <c r="M1230" s="194"/>
    </row>
    <row r="1231" ht="22.5" customHeight="1">
      <c r="C1231" s="193"/>
      <c r="G1231" s="193"/>
      <c r="H1231" s="194"/>
      <c r="I1231" s="194"/>
      <c r="J1231" s="194"/>
      <c r="L1231" s="194"/>
      <c r="M1231" s="194"/>
    </row>
    <row r="1232" ht="22.5" customHeight="1">
      <c r="C1232" s="193"/>
      <c r="G1232" s="193"/>
      <c r="H1232" s="194"/>
      <c r="I1232" s="194"/>
      <c r="J1232" s="194"/>
      <c r="L1232" s="194"/>
      <c r="M1232" s="194"/>
    </row>
    <row r="1233" ht="22.5" customHeight="1">
      <c r="C1233" s="193"/>
      <c r="G1233" s="193"/>
      <c r="H1233" s="194"/>
      <c r="I1233" s="194"/>
      <c r="J1233" s="194"/>
      <c r="L1233" s="194"/>
      <c r="M1233" s="194"/>
    </row>
    <row r="1234" ht="22.5" customHeight="1">
      <c r="C1234" s="193"/>
      <c r="G1234" s="193"/>
      <c r="H1234" s="194"/>
      <c r="I1234" s="194"/>
      <c r="J1234" s="194"/>
      <c r="L1234" s="194"/>
      <c r="M1234" s="194"/>
    </row>
    <row r="1235" ht="22.5" customHeight="1">
      <c r="C1235" s="193"/>
      <c r="G1235" s="193"/>
      <c r="H1235" s="194"/>
      <c r="I1235" s="194"/>
      <c r="J1235" s="194"/>
      <c r="L1235" s="194"/>
      <c r="M1235" s="194"/>
    </row>
    <row r="1236" ht="22.5" customHeight="1">
      <c r="C1236" s="193"/>
      <c r="G1236" s="193"/>
      <c r="H1236" s="194"/>
      <c r="I1236" s="194"/>
      <c r="J1236" s="194"/>
      <c r="L1236" s="194"/>
      <c r="M1236" s="194"/>
    </row>
    <row r="1237" ht="22.5" customHeight="1">
      <c r="C1237" s="193"/>
      <c r="G1237" s="193"/>
      <c r="H1237" s="194"/>
      <c r="I1237" s="194"/>
      <c r="J1237" s="194"/>
      <c r="L1237" s="194"/>
      <c r="M1237" s="194"/>
    </row>
    <row r="1238" ht="22.5" customHeight="1">
      <c r="C1238" s="193"/>
      <c r="G1238" s="193"/>
      <c r="H1238" s="194"/>
      <c r="I1238" s="194"/>
      <c r="J1238" s="194"/>
      <c r="L1238" s="194"/>
      <c r="M1238" s="194"/>
    </row>
    <row r="1239" ht="22.5" customHeight="1">
      <c r="C1239" s="193"/>
      <c r="G1239" s="193"/>
      <c r="H1239" s="194"/>
      <c r="I1239" s="194"/>
      <c r="J1239" s="194"/>
      <c r="L1239" s="194"/>
      <c r="M1239" s="194"/>
    </row>
    <row r="1240" ht="22.5" customHeight="1">
      <c r="C1240" s="193"/>
      <c r="G1240" s="193"/>
      <c r="H1240" s="194"/>
      <c r="I1240" s="194"/>
      <c r="J1240" s="194"/>
      <c r="L1240" s="194"/>
      <c r="M1240" s="194"/>
    </row>
    <row r="1241" ht="22.5" customHeight="1">
      <c r="C1241" s="193"/>
      <c r="G1241" s="193"/>
      <c r="H1241" s="194"/>
      <c r="I1241" s="194"/>
      <c r="J1241" s="194"/>
      <c r="L1241" s="194"/>
      <c r="M1241" s="194"/>
    </row>
    <row r="1242" ht="22.5" customHeight="1">
      <c r="C1242" s="193"/>
      <c r="G1242" s="193"/>
      <c r="H1242" s="194"/>
      <c r="I1242" s="194"/>
      <c r="J1242" s="194"/>
      <c r="L1242" s="194"/>
      <c r="M1242" s="194"/>
    </row>
    <row r="1243" ht="22.5" customHeight="1">
      <c r="C1243" s="193"/>
      <c r="G1243" s="193"/>
      <c r="H1243" s="194"/>
      <c r="I1243" s="194"/>
      <c r="J1243" s="194"/>
      <c r="L1243" s="194"/>
      <c r="M1243" s="194"/>
    </row>
    <row r="1244" ht="22.5" customHeight="1">
      <c r="C1244" s="193"/>
      <c r="G1244" s="193"/>
      <c r="H1244" s="194"/>
      <c r="I1244" s="194"/>
      <c r="J1244" s="194"/>
      <c r="L1244" s="194"/>
      <c r="M1244" s="194"/>
    </row>
    <row r="1245" ht="22.5" customHeight="1">
      <c r="C1245" s="193"/>
      <c r="G1245" s="193"/>
      <c r="H1245" s="194"/>
      <c r="I1245" s="194"/>
      <c r="J1245" s="194"/>
      <c r="L1245" s="194"/>
      <c r="M1245" s="194"/>
    </row>
    <row r="1246" ht="22.5" customHeight="1">
      <c r="C1246" s="193"/>
      <c r="G1246" s="193"/>
      <c r="H1246" s="194"/>
      <c r="I1246" s="194"/>
      <c r="J1246" s="194"/>
      <c r="L1246" s="194"/>
      <c r="M1246" s="194"/>
    </row>
    <row r="1247" ht="22.5" customHeight="1">
      <c r="C1247" s="193"/>
      <c r="G1247" s="193"/>
      <c r="H1247" s="194"/>
      <c r="I1247" s="194"/>
      <c r="J1247" s="194"/>
      <c r="L1247" s="194"/>
      <c r="M1247" s="194"/>
    </row>
    <row r="1248" ht="22.5" customHeight="1">
      <c r="C1248" s="193"/>
      <c r="G1248" s="193"/>
      <c r="H1248" s="194"/>
      <c r="I1248" s="194"/>
      <c r="J1248" s="194"/>
      <c r="L1248" s="194"/>
      <c r="M1248" s="194"/>
    </row>
    <row r="1249" ht="22.5" customHeight="1">
      <c r="C1249" s="193"/>
      <c r="G1249" s="193"/>
      <c r="H1249" s="194"/>
      <c r="I1249" s="194"/>
      <c r="J1249" s="194"/>
      <c r="L1249" s="194"/>
      <c r="M1249" s="194"/>
    </row>
    <row r="1250" ht="22.5" customHeight="1">
      <c r="C1250" s="193"/>
      <c r="G1250" s="193"/>
      <c r="H1250" s="194"/>
      <c r="I1250" s="194"/>
      <c r="J1250" s="194"/>
      <c r="L1250" s="194"/>
      <c r="M1250" s="194"/>
    </row>
    <row r="1251" ht="22.5" customHeight="1">
      <c r="C1251" s="193"/>
      <c r="G1251" s="193"/>
      <c r="H1251" s="194"/>
      <c r="I1251" s="194"/>
      <c r="J1251" s="194"/>
      <c r="L1251" s="194"/>
      <c r="M1251" s="194"/>
    </row>
    <row r="1252" ht="22.5" customHeight="1">
      <c r="C1252" s="193"/>
      <c r="G1252" s="193"/>
      <c r="H1252" s="194"/>
      <c r="I1252" s="194"/>
      <c r="J1252" s="194"/>
      <c r="L1252" s="194"/>
      <c r="M1252" s="194"/>
    </row>
    <row r="1253" ht="22.5" customHeight="1">
      <c r="C1253" s="193"/>
      <c r="G1253" s="193"/>
      <c r="H1253" s="194"/>
      <c r="I1253" s="194"/>
      <c r="J1253" s="194"/>
      <c r="L1253" s="194"/>
      <c r="M1253" s="194"/>
    </row>
    <row r="1254" ht="22.5" customHeight="1">
      <c r="C1254" s="193"/>
      <c r="G1254" s="193"/>
      <c r="H1254" s="194"/>
      <c r="I1254" s="194"/>
      <c r="J1254" s="194"/>
      <c r="L1254" s="194"/>
      <c r="M1254" s="194"/>
    </row>
    <row r="1255" ht="22.5" customHeight="1">
      <c r="C1255" s="193"/>
      <c r="G1255" s="193"/>
      <c r="H1255" s="194"/>
      <c r="I1255" s="194"/>
      <c r="J1255" s="194"/>
      <c r="L1255" s="194"/>
      <c r="M1255" s="194"/>
    </row>
    <row r="1256" ht="22.5" customHeight="1">
      <c r="C1256" s="193"/>
      <c r="G1256" s="193"/>
      <c r="H1256" s="194"/>
      <c r="I1256" s="194"/>
      <c r="J1256" s="194"/>
      <c r="L1256" s="194"/>
      <c r="M1256" s="194"/>
    </row>
    <row r="1257" ht="22.5" customHeight="1">
      <c r="C1257" s="193"/>
      <c r="G1257" s="193"/>
      <c r="H1257" s="194"/>
      <c r="I1257" s="194"/>
      <c r="J1257" s="194"/>
      <c r="L1257" s="194"/>
      <c r="M1257" s="194"/>
    </row>
    <row r="1258" ht="22.5" customHeight="1">
      <c r="C1258" s="193"/>
      <c r="G1258" s="193"/>
      <c r="H1258" s="194"/>
      <c r="I1258" s="194"/>
      <c r="J1258" s="194"/>
      <c r="L1258" s="194"/>
      <c r="M1258" s="194"/>
    </row>
    <row r="1259" ht="22.5" customHeight="1">
      <c r="C1259" s="193"/>
      <c r="G1259" s="193"/>
      <c r="H1259" s="194"/>
      <c r="I1259" s="194"/>
      <c r="J1259" s="194"/>
      <c r="L1259" s="194"/>
      <c r="M1259" s="194"/>
    </row>
    <row r="1260" ht="22.5" customHeight="1">
      <c r="C1260" s="193"/>
      <c r="G1260" s="193"/>
      <c r="H1260" s="194"/>
      <c r="I1260" s="194"/>
      <c r="J1260" s="194"/>
      <c r="L1260" s="194"/>
      <c r="M1260" s="194"/>
    </row>
    <row r="1261" ht="22.5" customHeight="1">
      <c r="C1261" s="193"/>
      <c r="G1261" s="193"/>
      <c r="H1261" s="194"/>
      <c r="I1261" s="194"/>
      <c r="J1261" s="194"/>
      <c r="L1261" s="194"/>
      <c r="M1261" s="194"/>
    </row>
    <row r="1262" ht="22.5" customHeight="1">
      <c r="C1262" s="193"/>
      <c r="G1262" s="193"/>
      <c r="H1262" s="194"/>
      <c r="I1262" s="194"/>
      <c r="J1262" s="194"/>
      <c r="L1262" s="194"/>
      <c r="M1262" s="194"/>
    </row>
    <row r="1263" ht="22.5" customHeight="1">
      <c r="C1263" s="193"/>
      <c r="G1263" s="193"/>
      <c r="H1263" s="194"/>
      <c r="I1263" s="194"/>
      <c r="J1263" s="194"/>
      <c r="L1263" s="194"/>
      <c r="M1263" s="194"/>
    </row>
    <row r="1264" ht="22.5" customHeight="1">
      <c r="C1264" s="193"/>
      <c r="G1264" s="193"/>
      <c r="H1264" s="194"/>
      <c r="I1264" s="194"/>
      <c r="J1264" s="194"/>
      <c r="L1264" s="194"/>
      <c r="M1264" s="194"/>
    </row>
    <row r="1265" ht="22.5" customHeight="1">
      <c r="C1265" s="193"/>
      <c r="G1265" s="193"/>
      <c r="H1265" s="194"/>
      <c r="I1265" s="194"/>
      <c r="J1265" s="194"/>
      <c r="L1265" s="194"/>
      <c r="M1265" s="194"/>
    </row>
    <row r="1266" ht="22.5" customHeight="1">
      <c r="C1266" s="193"/>
      <c r="G1266" s="193"/>
      <c r="H1266" s="194"/>
      <c r="I1266" s="194"/>
      <c r="J1266" s="194"/>
      <c r="L1266" s="194"/>
      <c r="M1266" s="194"/>
    </row>
    <row r="1267" ht="22.5" customHeight="1">
      <c r="C1267" s="193"/>
      <c r="G1267" s="193"/>
      <c r="H1267" s="194"/>
      <c r="I1267" s="194"/>
      <c r="J1267" s="194"/>
      <c r="L1267" s="194"/>
      <c r="M1267" s="194"/>
    </row>
    <row r="1268" ht="22.5" customHeight="1">
      <c r="C1268" s="193"/>
      <c r="G1268" s="193"/>
      <c r="H1268" s="194"/>
      <c r="I1268" s="194"/>
      <c r="J1268" s="194"/>
      <c r="L1268" s="194"/>
      <c r="M1268" s="194"/>
    </row>
    <row r="1269" ht="22.5" customHeight="1">
      <c r="C1269" s="193"/>
      <c r="G1269" s="193"/>
      <c r="H1269" s="194"/>
      <c r="I1269" s="194"/>
      <c r="J1269" s="194"/>
      <c r="L1269" s="194"/>
      <c r="M1269" s="194"/>
    </row>
    <row r="1270" ht="22.5" customHeight="1">
      <c r="C1270" s="193"/>
      <c r="G1270" s="193"/>
      <c r="H1270" s="194"/>
      <c r="I1270" s="194"/>
      <c r="J1270" s="194"/>
      <c r="L1270" s="194"/>
      <c r="M1270" s="194"/>
    </row>
    <row r="1271" ht="22.5" customHeight="1">
      <c r="C1271" s="193"/>
      <c r="G1271" s="193"/>
      <c r="H1271" s="194"/>
      <c r="I1271" s="194"/>
      <c r="J1271" s="194"/>
      <c r="L1271" s="194"/>
      <c r="M1271" s="194"/>
    </row>
    <row r="1272" ht="22.5" customHeight="1">
      <c r="C1272" s="193"/>
      <c r="G1272" s="193"/>
      <c r="H1272" s="194"/>
      <c r="I1272" s="194"/>
      <c r="J1272" s="194"/>
      <c r="L1272" s="194"/>
      <c r="M1272" s="194"/>
    </row>
    <row r="1273" ht="22.5" customHeight="1">
      <c r="C1273" s="193"/>
      <c r="G1273" s="193"/>
      <c r="H1273" s="194"/>
      <c r="I1273" s="194"/>
      <c r="J1273" s="194"/>
      <c r="L1273" s="194"/>
      <c r="M1273" s="194"/>
    </row>
    <row r="1274" ht="22.5" customHeight="1">
      <c r="C1274" s="193"/>
      <c r="G1274" s="193"/>
      <c r="H1274" s="194"/>
      <c r="I1274" s="194"/>
      <c r="J1274" s="194"/>
      <c r="L1274" s="194"/>
      <c r="M1274" s="194"/>
    </row>
    <row r="1275" ht="22.5" customHeight="1">
      <c r="C1275" s="193"/>
      <c r="G1275" s="193"/>
      <c r="H1275" s="194"/>
      <c r="I1275" s="194"/>
      <c r="J1275" s="194"/>
      <c r="L1275" s="194"/>
      <c r="M1275" s="194"/>
    </row>
    <row r="1276" ht="22.5" customHeight="1">
      <c r="C1276" s="193"/>
      <c r="G1276" s="193"/>
      <c r="H1276" s="194"/>
      <c r="I1276" s="194"/>
      <c r="J1276" s="194"/>
      <c r="L1276" s="194"/>
      <c r="M1276" s="194"/>
    </row>
    <row r="1277" ht="22.5" customHeight="1">
      <c r="C1277" s="193"/>
      <c r="G1277" s="193"/>
      <c r="H1277" s="194"/>
      <c r="I1277" s="194"/>
      <c r="J1277" s="194"/>
      <c r="L1277" s="194"/>
      <c r="M1277" s="194"/>
    </row>
    <row r="1278" ht="22.5" customHeight="1">
      <c r="C1278" s="193"/>
      <c r="G1278" s="193"/>
      <c r="H1278" s="194"/>
      <c r="I1278" s="194"/>
      <c r="J1278" s="194"/>
      <c r="L1278" s="194"/>
      <c r="M1278" s="194"/>
    </row>
    <row r="1279" ht="22.5" customHeight="1">
      <c r="C1279" s="193"/>
      <c r="G1279" s="193"/>
      <c r="H1279" s="194"/>
      <c r="I1279" s="194"/>
      <c r="J1279" s="194"/>
      <c r="L1279" s="194"/>
      <c r="M1279" s="194"/>
    </row>
    <row r="1280" ht="22.5" customHeight="1">
      <c r="C1280" s="193"/>
      <c r="G1280" s="193"/>
      <c r="H1280" s="194"/>
      <c r="I1280" s="194"/>
      <c r="J1280" s="194"/>
      <c r="L1280" s="194"/>
      <c r="M1280" s="194"/>
    </row>
    <row r="1281" ht="22.5" customHeight="1">
      <c r="C1281" s="193"/>
      <c r="G1281" s="193"/>
      <c r="H1281" s="194"/>
      <c r="I1281" s="194"/>
      <c r="J1281" s="194"/>
      <c r="L1281" s="194"/>
      <c r="M1281" s="194"/>
    </row>
    <row r="1282" ht="22.5" customHeight="1">
      <c r="C1282" s="193"/>
      <c r="G1282" s="193"/>
      <c r="H1282" s="194"/>
      <c r="I1282" s="194"/>
      <c r="J1282" s="194"/>
      <c r="L1282" s="194"/>
      <c r="M1282" s="194"/>
    </row>
    <row r="1283" ht="22.5" customHeight="1">
      <c r="C1283" s="193"/>
      <c r="G1283" s="193"/>
      <c r="H1283" s="194"/>
      <c r="I1283" s="194"/>
      <c r="J1283" s="194"/>
      <c r="L1283" s="194"/>
      <c r="M1283" s="194"/>
    </row>
    <row r="1284" ht="22.5" customHeight="1">
      <c r="C1284" s="193"/>
      <c r="G1284" s="193"/>
      <c r="H1284" s="194"/>
      <c r="I1284" s="194"/>
      <c r="J1284" s="194"/>
      <c r="L1284" s="194"/>
      <c r="M1284" s="194"/>
    </row>
    <row r="1285" ht="22.5" customHeight="1">
      <c r="C1285" s="193"/>
      <c r="G1285" s="193"/>
      <c r="H1285" s="194"/>
      <c r="I1285" s="194"/>
      <c r="J1285" s="194"/>
      <c r="L1285" s="194"/>
      <c r="M1285" s="194"/>
    </row>
    <row r="1286" ht="22.5" customHeight="1">
      <c r="C1286" s="193"/>
      <c r="G1286" s="193"/>
      <c r="H1286" s="194"/>
      <c r="I1286" s="194"/>
      <c r="J1286" s="194"/>
      <c r="L1286" s="194"/>
      <c r="M1286" s="194"/>
    </row>
    <row r="1287" ht="22.5" customHeight="1">
      <c r="C1287" s="193"/>
      <c r="G1287" s="193"/>
      <c r="H1287" s="194"/>
      <c r="I1287" s="194"/>
      <c r="J1287" s="194"/>
      <c r="L1287" s="194"/>
      <c r="M1287" s="194"/>
    </row>
    <row r="1288" ht="22.5" customHeight="1">
      <c r="C1288" s="193"/>
      <c r="G1288" s="193"/>
      <c r="H1288" s="194"/>
      <c r="I1288" s="194"/>
      <c r="J1288" s="194"/>
      <c r="L1288" s="194"/>
      <c r="M1288" s="194"/>
    </row>
    <row r="1289" ht="22.5" customHeight="1">
      <c r="C1289" s="193"/>
      <c r="G1289" s="193"/>
      <c r="H1289" s="194"/>
      <c r="I1289" s="194"/>
      <c r="J1289" s="194"/>
      <c r="L1289" s="194"/>
      <c r="M1289" s="194"/>
    </row>
    <row r="1290" ht="22.5" customHeight="1">
      <c r="C1290" s="193"/>
      <c r="G1290" s="193"/>
      <c r="H1290" s="194"/>
      <c r="I1290" s="194"/>
      <c r="J1290" s="194"/>
      <c r="L1290" s="194"/>
      <c r="M1290" s="194"/>
    </row>
    <row r="1291" ht="22.5" customHeight="1">
      <c r="C1291" s="193"/>
      <c r="G1291" s="193"/>
      <c r="H1291" s="194"/>
      <c r="I1291" s="194"/>
      <c r="J1291" s="194"/>
      <c r="L1291" s="194"/>
      <c r="M1291" s="194"/>
    </row>
    <row r="1292" ht="22.5" customHeight="1">
      <c r="C1292" s="193"/>
      <c r="G1292" s="193"/>
      <c r="H1292" s="194"/>
      <c r="I1292" s="194"/>
      <c r="J1292" s="194"/>
      <c r="L1292" s="194"/>
      <c r="M1292" s="194"/>
    </row>
    <row r="1293" ht="22.5" customHeight="1">
      <c r="C1293" s="193"/>
      <c r="G1293" s="193"/>
      <c r="H1293" s="194"/>
      <c r="I1293" s="194"/>
      <c r="J1293" s="194"/>
      <c r="L1293" s="194"/>
      <c r="M1293" s="194"/>
    </row>
    <row r="1294" ht="22.5" customHeight="1">
      <c r="C1294" s="193"/>
      <c r="G1294" s="193"/>
      <c r="H1294" s="194"/>
      <c r="I1294" s="194"/>
      <c r="J1294" s="194"/>
      <c r="L1294" s="194"/>
      <c r="M1294" s="194"/>
    </row>
    <row r="1295" ht="22.5" customHeight="1">
      <c r="C1295" s="193"/>
      <c r="G1295" s="193"/>
      <c r="H1295" s="194"/>
      <c r="I1295" s="194"/>
      <c r="J1295" s="194"/>
      <c r="L1295" s="194"/>
      <c r="M1295" s="194"/>
    </row>
    <row r="1296" ht="22.5" customHeight="1">
      <c r="C1296" s="193"/>
      <c r="G1296" s="193"/>
      <c r="H1296" s="194"/>
      <c r="I1296" s="194"/>
      <c r="J1296" s="194"/>
      <c r="L1296" s="194"/>
      <c r="M1296" s="194"/>
    </row>
    <row r="1297" ht="22.5" customHeight="1">
      <c r="C1297" s="193"/>
      <c r="G1297" s="193"/>
      <c r="H1297" s="194"/>
      <c r="I1297" s="194"/>
      <c r="J1297" s="194"/>
      <c r="L1297" s="194"/>
      <c r="M1297" s="194"/>
    </row>
    <row r="1298" ht="22.5" customHeight="1">
      <c r="C1298" s="193"/>
      <c r="G1298" s="193"/>
      <c r="H1298" s="194"/>
      <c r="I1298" s="194"/>
      <c r="J1298" s="194"/>
      <c r="L1298" s="194"/>
      <c r="M1298" s="194"/>
    </row>
    <row r="1299" ht="22.5" customHeight="1">
      <c r="C1299" s="193"/>
      <c r="G1299" s="193"/>
      <c r="H1299" s="194"/>
      <c r="I1299" s="194"/>
      <c r="J1299" s="194"/>
      <c r="L1299" s="194"/>
      <c r="M1299" s="194"/>
    </row>
    <row r="1300" ht="22.5" customHeight="1">
      <c r="C1300" s="193"/>
      <c r="G1300" s="193"/>
      <c r="H1300" s="194"/>
      <c r="I1300" s="194"/>
      <c r="J1300" s="194"/>
      <c r="L1300" s="194"/>
      <c r="M1300" s="194"/>
    </row>
    <row r="1301" ht="22.5" customHeight="1">
      <c r="C1301" s="193"/>
      <c r="G1301" s="193"/>
      <c r="H1301" s="194"/>
      <c r="I1301" s="194"/>
      <c r="J1301" s="194"/>
      <c r="L1301" s="194"/>
      <c r="M1301" s="194"/>
    </row>
    <row r="1302" ht="22.5" customHeight="1">
      <c r="C1302" s="193"/>
      <c r="G1302" s="193"/>
      <c r="H1302" s="194"/>
      <c r="I1302" s="194"/>
      <c r="J1302" s="194"/>
      <c r="L1302" s="194"/>
      <c r="M1302" s="194"/>
    </row>
    <row r="1303" ht="22.5" customHeight="1">
      <c r="C1303" s="193"/>
      <c r="G1303" s="193"/>
      <c r="H1303" s="194"/>
      <c r="I1303" s="194"/>
      <c r="J1303" s="194"/>
      <c r="L1303" s="194"/>
      <c r="M1303" s="194"/>
    </row>
    <row r="1304" ht="22.5" customHeight="1">
      <c r="C1304" s="193"/>
      <c r="G1304" s="193"/>
      <c r="H1304" s="194"/>
      <c r="I1304" s="194"/>
      <c r="J1304" s="194"/>
      <c r="L1304" s="194"/>
      <c r="M1304" s="194"/>
    </row>
    <row r="1305" ht="22.5" customHeight="1">
      <c r="C1305" s="193"/>
      <c r="G1305" s="193"/>
      <c r="H1305" s="194"/>
      <c r="I1305" s="194"/>
      <c r="J1305" s="194"/>
      <c r="L1305" s="194"/>
      <c r="M1305" s="194"/>
    </row>
    <row r="1306" ht="22.5" customHeight="1">
      <c r="C1306" s="193"/>
      <c r="G1306" s="193"/>
      <c r="H1306" s="194"/>
      <c r="I1306" s="194"/>
      <c r="J1306" s="194"/>
      <c r="L1306" s="194"/>
      <c r="M1306" s="194"/>
    </row>
    <row r="1307" ht="22.5" customHeight="1">
      <c r="C1307" s="193"/>
      <c r="G1307" s="193"/>
      <c r="H1307" s="194"/>
      <c r="I1307" s="194"/>
      <c r="J1307" s="194"/>
      <c r="L1307" s="194"/>
      <c r="M1307" s="194"/>
    </row>
    <row r="1308" ht="22.5" customHeight="1">
      <c r="C1308" s="193"/>
      <c r="G1308" s="193"/>
      <c r="H1308" s="194"/>
      <c r="I1308" s="194"/>
      <c r="J1308" s="194"/>
      <c r="L1308" s="194"/>
      <c r="M1308" s="194"/>
    </row>
    <row r="1309" ht="22.5" customHeight="1">
      <c r="C1309" s="193"/>
      <c r="G1309" s="193"/>
      <c r="H1309" s="194"/>
      <c r="I1309" s="194"/>
      <c r="J1309" s="194"/>
      <c r="L1309" s="194"/>
      <c r="M1309" s="194"/>
    </row>
    <row r="1310" ht="22.5" customHeight="1">
      <c r="C1310" s="193"/>
      <c r="G1310" s="193"/>
      <c r="H1310" s="194"/>
      <c r="I1310" s="194"/>
      <c r="J1310" s="194"/>
      <c r="L1310" s="194"/>
      <c r="M1310" s="194"/>
    </row>
    <row r="1311" ht="22.5" customHeight="1">
      <c r="C1311" s="193"/>
      <c r="G1311" s="193"/>
      <c r="H1311" s="194"/>
      <c r="I1311" s="194"/>
      <c r="J1311" s="194"/>
      <c r="L1311" s="194"/>
      <c r="M1311" s="194"/>
    </row>
    <row r="1312" ht="22.5" customHeight="1">
      <c r="C1312" s="193"/>
      <c r="G1312" s="193"/>
      <c r="H1312" s="194"/>
      <c r="I1312" s="194"/>
      <c r="J1312" s="194"/>
      <c r="L1312" s="194"/>
      <c r="M1312" s="194"/>
    </row>
    <row r="1313" ht="22.5" customHeight="1">
      <c r="C1313" s="193"/>
      <c r="G1313" s="193"/>
      <c r="H1313" s="194"/>
      <c r="I1313" s="194"/>
      <c r="J1313" s="194"/>
      <c r="L1313" s="194"/>
      <c r="M1313" s="194"/>
    </row>
    <row r="1314" ht="22.5" customHeight="1">
      <c r="C1314" s="193"/>
      <c r="G1314" s="193"/>
      <c r="H1314" s="194"/>
      <c r="I1314" s="194"/>
      <c r="J1314" s="194"/>
      <c r="L1314" s="194"/>
      <c r="M1314" s="194"/>
    </row>
    <row r="1315" ht="22.5" customHeight="1">
      <c r="C1315" s="193"/>
      <c r="G1315" s="193"/>
      <c r="H1315" s="194"/>
      <c r="I1315" s="194"/>
      <c r="J1315" s="194"/>
      <c r="L1315" s="194"/>
      <c r="M1315" s="194"/>
    </row>
    <row r="1316" ht="22.5" customHeight="1">
      <c r="C1316" s="193"/>
      <c r="G1316" s="193"/>
      <c r="H1316" s="194"/>
      <c r="I1316" s="194"/>
      <c r="J1316" s="194"/>
      <c r="L1316" s="194"/>
      <c r="M1316" s="194"/>
    </row>
    <row r="1317" ht="22.5" customHeight="1">
      <c r="C1317" s="193"/>
      <c r="G1317" s="193"/>
      <c r="H1317" s="194"/>
      <c r="I1317" s="194"/>
      <c r="J1317" s="194"/>
      <c r="L1317" s="194"/>
      <c r="M1317" s="194"/>
    </row>
    <row r="1318" ht="22.5" customHeight="1">
      <c r="C1318" s="193"/>
      <c r="G1318" s="193"/>
      <c r="H1318" s="194"/>
      <c r="I1318" s="194"/>
      <c r="J1318" s="194"/>
      <c r="L1318" s="194"/>
      <c r="M1318" s="194"/>
    </row>
    <row r="1319" ht="22.5" customHeight="1">
      <c r="C1319" s="193"/>
      <c r="G1319" s="193"/>
      <c r="H1319" s="194"/>
      <c r="I1319" s="194"/>
      <c r="J1319" s="194"/>
      <c r="L1319" s="194"/>
      <c r="M1319" s="194"/>
    </row>
    <row r="1320" ht="22.5" customHeight="1">
      <c r="C1320" s="193"/>
      <c r="G1320" s="193"/>
      <c r="H1320" s="194"/>
      <c r="I1320" s="194"/>
      <c r="J1320" s="194"/>
      <c r="L1320" s="194"/>
      <c r="M1320" s="194"/>
    </row>
    <row r="1321" ht="22.5" customHeight="1">
      <c r="C1321" s="193"/>
      <c r="G1321" s="193"/>
      <c r="H1321" s="194"/>
      <c r="I1321" s="194"/>
      <c r="J1321" s="194"/>
      <c r="L1321" s="194"/>
      <c r="M1321" s="194"/>
    </row>
    <row r="1322" ht="22.5" customHeight="1">
      <c r="C1322" s="193"/>
      <c r="G1322" s="193"/>
      <c r="H1322" s="194"/>
      <c r="I1322" s="194"/>
      <c r="J1322" s="194"/>
      <c r="L1322" s="194"/>
      <c r="M1322" s="194"/>
    </row>
    <row r="1323" ht="22.5" customHeight="1">
      <c r="C1323" s="193"/>
      <c r="G1323" s="193"/>
      <c r="H1323" s="194"/>
      <c r="I1323" s="194"/>
      <c r="J1323" s="194"/>
      <c r="L1323" s="194"/>
      <c r="M1323" s="194"/>
    </row>
    <row r="1324" ht="22.5" customHeight="1">
      <c r="C1324" s="193"/>
      <c r="G1324" s="193"/>
      <c r="H1324" s="194"/>
      <c r="I1324" s="194"/>
      <c r="J1324" s="194"/>
      <c r="L1324" s="194"/>
      <c r="M1324" s="194"/>
    </row>
    <row r="1325" ht="22.5" customHeight="1">
      <c r="C1325" s="193"/>
      <c r="G1325" s="193"/>
      <c r="H1325" s="194"/>
      <c r="I1325" s="194"/>
      <c r="J1325" s="194"/>
      <c r="L1325" s="194"/>
      <c r="M1325" s="194"/>
    </row>
    <row r="1326" ht="22.5" customHeight="1">
      <c r="C1326" s="193"/>
      <c r="G1326" s="193"/>
      <c r="H1326" s="194"/>
      <c r="I1326" s="194"/>
      <c r="J1326" s="194"/>
      <c r="L1326" s="194"/>
      <c r="M1326" s="194"/>
    </row>
    <row r="1327" ht="22.5" customHeight="1">
      <c r="C1327" s="193"/>
      <c r="G1327" s="193"/>
      <c r="H1327" s="194"/>
      <c r="I1327" s="194"/>
      <c r="J1327" s="194"/>
      <c r="L1327" s="194"/>
      <c r="M1327" s="194"/>
    </row>
    <row r="1328" ht="22.5" customHeight="1">
      <c r="C1328" s="193"/>
      <c r="G1328" s="193"/>
      <c r="H1328" s="194"/>
      <c r="I1328" s="194"/>
      <c r="J1328" s="194"/>
      <c r="L1328" s="194"/>
      <c r="M1328" s="194"/>
    </row>
    <row r="1329" ht="22.5" customHeight="1">
      <c r="C1329" s="193"/>
      <c r="G1329" s="193"/>
      <c r="H1329" s="194"/>
      <c r="I1329" s="194"/>
      <c r="J1329" s="194"/>
      <c r="L1329" s="194"/>
      <c r="M1329" s="194"/>
    </row>
    <row r="1330" ht="22.5" customHeight="1">
      <c r="C1330" s="193"/>
      <c r="G1330" s="193"/>
      <c r="H1330" s="194"/>
      <c r="I1330" s="194"/>
      <c r="J1330" s="194"/>
      <c r="L1330" s="194"/>
      <c r="M1330" s="194"/>
    </row>
    <row r="1331" ht="22.5" customHeight="1">
      <c r="C1331" s="193"/>
      <c r="G1331" s="193"/>
      <c r="H1331" s="194"/>
      <c r="I1331" s="194"/>
      <c r="J1331" s="194"/>
      <c r="L1331" s="194"/>
      <c r="M1331" s="194"/>
    </row>
    <row r="1332" ht="22.5" customHeight="1">
      <c r="C1332" s="193"/>
      <c r="G1332" s="193"/>
      <c r="H1332" s="194"/>
      <c r="I1332" s="194"/>
      <c r="J1332" s="194"/>
      <c r="L1332" s="194"/>
      <c r="M1332" s="194"/>
    </row>
    <row r="1333" ht="22.5" customHeight="1">
      <c r="C1333" s="193"/>
      <c r="G1333" s="193"/>
      <c r="H1333" s="194"/>
      <c r="I1333" s="194"/>
      <c r="J1333" s="194"/>
      <c r="L1333" s="194"/>
      <c r="M1333" s="194"/>
    </row>
    <row r="1334" ht="22.5" customHeight="1">
      <c r="C1334" s="193"/>
      <c r="G1334" s="193"/>
      <c r="H1334" s="194"/>
      <c r="I1334" s="194"/>
      <c r="J1334" s="194"/>
      <c r="L1334" s="194"/>
      <c r="M1334" s="194"/>
    </row>
    <row r="1335" ht="22.5" customHeight="1">
      <c r="C1335" s="193"/>
      <c r="G1335" s="193"/>
      <c r="H1335" s="194"/>
      <c r="I1335" s="194"/>
      <c r="J1335" s="194"/>
      <c r="L1335" s="194"/>
      <c r="M1335" s="194"/>
    </row>
    <row r="1336" ht="22.5" customHeight="1">
      <c r="C1336" s="193"/>
      <c r="G1336" s="193"/>
      <c r="H1336" s="194"/>
      <c r="I1336" s="194"/>
      <c r="J1336" s="194"/>
      <c r="L1336" s="194"/>
      <c r="M1336" s="194"/>
    </row>
    <row r="1337" ht="22.5" customHeight="1">
      <c r="C1337" s="193"/>
      <c r="G1337" s="193"/>
      <c r="H1337" s="194"/>
      <c r="I1337" s="194"/>
      <c r="J1337" s="194"/>
      <c r="L1337" s="194"/>
      <c r="M1337" s="194"/>
    </row>
    <row r="1338" ht="22.5" customHeight="1">
      <c r="C1338" s="193"/>
      <c r="G1338" s="193"/>
      <c r="H1338" s="194"/>
      <c r="I1338" s="194"/>
      <c r="J1338" s="194"/>
      <c r="L1338" s="194"/>
      <c r="M1338" s="194"/>
    </row>
    <row r="1339" ht="22.5" customHeight="1">
      <c r="C1339" s="193"/>
      <c r="G1339" s="193"/>
      <c r="H1339" s="194"/>
      <c r="I1339" s="194"/>
      <c r="J1339" s="194"/>
      <c r="L1339" s="194"/>
      <c r="M1339" s="194"/>
    </row>
    <row r="1340" ht="22.5" customHeight="1">
      <c r="C1340" s="193"/>
      <c r="G1340" s="193"/>
      <c r="H1340" s="194"/>
      <c r="I1340" s="194"/>
      <c r="J1340" s="194"/>
      <c r="L1340" s="194"/>
      <c r="M1340" s="194"/>
    </row>
    <row r="1341" ht="22.5" customHeight="1">
      <c r="C1341" s="193"/>
      <c r="G1341" s="193"/>
      <c r="H1341" s="194"/>
      <c r="I1341" s="194"/>
      <c r="J1341" s="194"/>
      <c r="L1341" s="194"/>
      <c r="M1341" s="194"/>
    </row>
    <row r="1342" ht="22.5" customHeight="1">
      <c r="C1342" s="193"/>
      <c r="G1342" s="193"/>
      <c r="H1342" s="194"/>
      <c r="I1342" s="194"/>
      <c r="J1342" s="194"/>
      <c r="L1342" s="194"/>
      <c r="M1342" s="194"/>
    </row>
    <row r="1343" ht="22.5" customHeight="1">
      <c r="C1343" s="193"/>
      <c r="G1343" s="193"/>
      <c r="H1343" s="194"/>
      <c r="I1343" s="194"/>
      <c r="J1343" s="194"/>
      <c r="L1343" s="194"/>
      <c r="M1343" s="194"/>
    </row>
    <row r="1344" ht="22.5" customHeight="1">
      <c r="C1344" s="193"/>
      <c r="G1344" s="193"/>
      <c r="H1344" s="194"/>
      <c r="I1344" s="194"/>
      <c r="J1344" s="194"/>
      <c r="L1344" s="194"/>
      <c r="M1344" s="194"/>
    </row>
    <row r="1345" ht="22.5" customHeight="1">
      <c r="C1345" s="193"/>
      <c r="G1345" s="193"/>
      <c r="H1345" s="194"/>
      <c r="I1345" s="194"/>
      <c r="J1345" s="194"/>
      <c r="L1345" s="194"/>
      <c r="M1345" s="194"/>
    </row>
    <row r="1346" ht="22.5" customHeight="1">
      <c r="C1346" s="193"/>
      <c r="G1346" s="193"/>
      <c r="H1346" s="194"/>
      <c r="I1346" s="194"/>
      <c r="J1346" s="194"/>
      <c r="L1346" s="194"/>
      <c r="M1346" s="194"/>
    </row>
    <row r="1347" ht="22.5" customHeight="1">
      <c r="C1347" s="193"/>
      <c r="G1347" s="193"/>
      <c r="H1347" s="194"/>
      <c r="I1347" s="194"/>
      <c r="J1347" s="194"/>
      <c r="L1347" s="194"/>
      <c r="M1347" s="194"/>
    </row>
    <row r="1348" ht="22.5" customHeight="1">
      <c r="C1348" s="193"/>
      <c r="G1348" s="193"/>
      <c r="H1348" s="194"/>
      <c r="I1348" s="194"/>
      <c r="J1348" s="194"/>
      <c r="L1348" s="194"/>
      <c r="M1348" s="194"/>
    </row>
    <row r="1349" ht="22.5" customHeight="1">
      <c r="C1349" s="193"/>
      <c r="G1349" s="193"/>
      <c r="H1349" s="194"/>
      <c r="I1349" s="194"/>
      <c r="J1349" s="194"/>
      <c r="L1349" s="194"/>
      <c r="M1349" s="194"/>
    </row>
    <row r="1350" ht="22.5" customHeight="1">
      <c r="C1350" s="193"/>
      <c r="G1350" s="193"/>
      <c r="H1350" s="194"/>
      <c r="I1350" s="194"/>
      <c r="J1350" s="194"/>
      <c r="L1350" s="194"/>
      <c r="M1350" s="194"/>
    </row>
    <row r="1351" ht="22.5" customHeight="1">
      <c r="C1351" s="193"/>
      <c r="G1351" s="193"/>
      <c r="H1351" s="194"/>
      <c r="I1351" s="194"/>
      <c r="J1351" s="194"/>
      <c r="L1351" s="194"/>
      <c r="M1351" s="194"/>
    </row>
    <row r="1352" ht="22.5" customHeight="1">
      <c r="C1352" s="193"/>
      <c r="G1352" s="193"/>
      <c r="H1352" s="194"/>
      <c r="I1352" s="194"/>
      <c r="J1352" s="194"/>
      <c r="L1352" s="194"/>
      <c r="M1352" s="194"/>
    </row>
    <row r="1353" ht="22.5" customHeight="1">
      <c r="C1353" s="193"/>
      <c r="G1353" s="193"/>
      <c r="H1353" s="194"/>
      <c r="I1353" s="194"/>
      <c r="J1353" s="194"/>
      <c r="L1353" s="194"/>
      <c r="M1353" s="194"/>
    </row>
    <row r="1354" ht="22.5" customHeight="1">
      <c r="C1354" s="193"/>
      <c r="G1354" s="193"/>
      <c r="H1354" s="194"/>
      <c r="I1354" s="194"/>
      <c r="J1354" s="194"/>
      <c r="L1354" s="194"/>
      <c r="M1354" s="194"/>
    </row>
    <row r="1355" ht="22.5" customHeight="1">
      <c r="C1355" s="193"/>
      <c r="G1355" s="193"/>
      <c r="H1355" s="194"/>
      <c r="I1355" s="194"/>
      <c r="J1355" s="194"/>
      <c r="L1355" s="194"/>
      <c r="M1355" s="194"/>
    </row>
    <row r="1356" ht="22.5" customHeight="1">
      <c r="C1356" s="193"/>
      <c r="G1356" s="193"/>
      <c r="H1356" s="194"/>
      <c r="I1356" s="194"/>
      <c r="J1356" s="194"/>
      <c r="L1356" s="194"/>
      <c r="M1356" s="194"/>
    </row>
    <row r="1357" ht="22.5" customHeight="1">
      <c r="C1357" s="193"/>
      <c r="G1357" s="193"/>
      <c r="H1357" s="194"/>
      <c r="I1357" s="194"/>
      <c r="J1357" s="194"/>
      <c r="L1357" s="194"/>
      <c r="M1357" s="194"/>
    </row>
    <row r="1358" ht="22.5" customHeight="1">
      <c r="C1358" s="193"/>
      <c r="G1358" s="193"/>
      <c r="H1358" s="194"/>
      <c r="I1358" s="194"/>
      <c r="J1358" s="194"/>
      <c r="L1358" s="194"/>
      <c r="M1358" s="194"/>
    </row>
    <row r="1359" ht="22.5" customHeight="1">
      <c r="C1359" s="193"/>
      <c r="G1359" s="193"/>
      <c r="H1359" s="194"/>
      <c r="I1359" s="194"/>
      <c r="J1359" s="194"/>
      <c r="L1359" s="194"/>
      <c r="M1359" s="194"/>
    </row>
    <row r="1360" ht="22.5" customHeight="1">
      <c r="C1360" s="193"/>
      <c r="G1360" s="193"/>
      <c r="H1360" s="194"/>
      <c r="I1360" s="194"/>
      <c r="J1360" s="194"/>
      <c r="L1360" s="194"/>
      <c r="M1360" s="194"/>
    </row>
    <row r="1361" ht="22.5" customHeight="1">
      <c r="C1361" s="193"/>
      <c r="G1361" s="193"/>
      <c r="H1361" s="194"/>
      <c r="I1361" s="194"/>
      <c r="J1361" s="194"/>
      <c r="L1361" s="194"/>
      <c r="M1361" s="194"/>
    </row>
    <row r="1362" ht="22.5" customHeight="1">
      <c r="C1362" s="193"/>
      <c r="G1362" s="193"/>
      <c r="H1362" s="194"/>
      <c r="I1362" s="194"/>
      <c r="J1362" s="194"/>
      <c r="L1362" s="194"/>
      <c r="M1362" s="194"/>
    </row>
    <row r="1363" ht="22.5" customHeight="1">
      <c r="C1363" s="193"/>
      <c r="G1363" s="193"/>
      <c r="H1363" s="194"/>
      <c r="I1363" s="194"/>
      <c r="J1363" s="194"/>
      <c r="L1363" s="194"/>
      <c r="M1363" s="194"/>
    </row>
    <row r="1364" ht="22.5" customHeight="1">
      <c r="C1364" s="193"/>
      <c r="G1364" s="193"/>
      <c r="H1364" s="194"/>
      <c r="I1364" s="194"/>
      <c r="J1364" s="194"/>
      <c r="L1364" s="194"/>
      <c r="M1364" s="194"/>
    </row>
    <row r="1365" ht="22.5" customHeight="1">
      <c r="C1365" s="193"/>
      <c r="G1365" s="193"/>
      <c r="H1365" s="194"/>
      <c r="I1365" s="194"/>
      <c r="J1365" s="194"/>
      <c r="L1365" s="194"/>
      <c r="M1365" s="194"/>
    </row>
    <row r="1366" ht="22.5" customHeight="1">
      <c r="C1366" s="193"/>
      <c r="G1366" s="193"/>
      <c r="H1366" s="194"/>
      <c r="I1366" s="194"/>
      <c r="J1366" s="194"/>
      <c r="L1366" s="194"/>
      <c r="M1366" s="194"/>
    </row>
    <row r="1367" ht="22.5" customHeight="1">
      <c r="C1367" s="193"/>
      <c r="G1367" s="193"/>
      <c r="H1367" s="194"/>
      <c r="I1367" s="194"/>
      <c r="J1367" s="194"/>
      <c r="L1367" s="194"/>
      <c r="M1367" s="194"/>
    </row>
    <row r="1368" ht="22.5" customHeight="1">
      <c r="C1368" s="193"/>
      <c r="G1368" s="193"/>
      <c r="H1368" s="194"/>
      <c r="I1368" s="194"/>
      <c r="J1368" s="194"/>
      <c r="L1368" s="194"/>
      <c r="M1368" s="194"/>
    </row>
    <row r="1369" ht="22.5" customHeight="1">
      <c r="C1369" s="193"/>
      <c r="G1369" s="193"/>
      <c r="H1369" s="194"/>
      <c r="I1369" s="194"/>
      <c r="J1369" s="194"/>
      <c r="L1369" s="194"/>
      <c r="M1369" s="194"/>
    </row>
    <row r="1370" ht="22.5" customHeight="1">
      <c r="C1370" s="193"/>
      <c r="G1370" s="193"/>
      <c r="H1370" s="194"/>
      <c r="I1370" s="194"/>
      <c r="J1370" s="194"/>
      <c r="L1370" s="194"/>
      <c r="M1370" s="194"/>
    </row>
    <row r="1371" ht="22.5" customHeight="1">
      <c r="C1371" s="193"/>
      <c r="G1371" s="193"/>
      <c r="H1371" s="194"/>
      <c r="I1371" s="194"/>
      <c r="J1371" s="194"/>
      <c r="L1371" s="194"/>
      <c r="M1371" s="194"/>
    </row>
    <row r="1372" ht="22.5" customHeight="1">
      <c r="C1372" s="193"/>
      <c r="G1372" s="193"/>
      <c r="H1372" s="194"/>
      <c r="I1372" s="194"/>
      <c r="J1372" s="194"/>
      <c r="L1372" s="194"/>
      <c r="M1372" s="194"/>
    </row>
    <row r="1373" ht="22.5" customHeight="1">
      <c r="C1373" s="193"/>
      <c r="G1373" s="193"/>
      <c r="H1373" s="194"/>
      <c r="I1373" s="194"/>
      <c r="J1373" s="194"/>
      <c r="L1373" s="194"/>
      <c r="M1373" s="194"/>
    </row>
    <row r="1374" ht="22.5" customHeight="1">
      <c r="C1374" s="193"/>
      <c r="G1374" s="193"/>
      <c r="H1374" s="194"/>
      <c r="I1374" s="194"/>
      <c r="J1374" s="194"/>
      <c r="L1374" s="194"/>
      <c r="M1374" s="194"/>
    </row>
    <row r="1375" ht="22.5" customHeight="1">
      <c r="C1375" s="193"/>
      <c r="G1375" s="193"/>
      <c r="H1375" s="194"/>
      <c r="I1375" s="194"/>
      <c r="J1375" s="194"/>
      <c r="L1375" s="194"/>
      <c r="M1375" s="194"/>
    </row>
    <row r="1376" ht="22.5" customHeight="1">
      <c r="C1376" s="193"/>
      <c r="G1376" s="193"/>
      <c r="H1376" s="194"/>
      <c r="I1376" s="194"/>
      <c r="J1376" s="194"/>
      <c r="L1376" s="194"/>
      <c r="M1376" s="194"/>
    </row>
    <row r="1377" ht="22.5" customHeight="1">
      <c r="C1377" s="193"/>
      <c r="G1377" s="193"/>
      <c r="H1377" s="194"/>
      <c r="I1377" s="194"/>
      <c r="J1377" s="194"/>
      <c r="L1377" s="194"/>
      <c r="M1377" s="194"/>
    </row>
    <row r="1378" ht="22.5" customHeight="1">
      <c r="C1378" s="193"/>
      <c r="G1378" s="193"/>
      <c r="H1378" s="194"/>
      <c r="I1378" s="194"/>
      <c r="J1378" s="194"/>
      <c r="L1378" s="194"/>
      <c r="M1378" s="194"/>
    </row>
    <row r="1379" ht="22.5" customHeight="1">
      <c r="C1379" s="193"/>
      <c r="G1379" s="193"/>
      <c r="H1379" s="194"/>
      <c r="I1379" s="194"/>
      <c r="J1379" s="194"/>
      <c r="L1379" s="194"/>
      <c r="M1379" s="194"/>
    </row>
    <row r="1380" ht="22.5" customHeight="1">
      <c r="C1380" s="193"/>
      <c r="G1380" s="193"/>
      <c r="H1380" s="194"/>
      <c r="I1380" s="194"/>
      <c r="J1380" s="194"/>
      <c r="L1380" s="194"/>
      <c r="M1380" s="194"/>
    </row>
    <row r="1381" ht="22.5" customHeight="1">
      <c r="C1381" s="193"/>
      <c r="G1381" s="193"/>
      <c r="H1381" s="194"/>
      <c r="I1381" s="194"/>
      <c r="J1381" s="194"/>
      <c r="L1381" s="194"/>
      <c r="M1381" s="194"/>
    </row>
    <row r="1382" ht="22.5" customHeight="1">
      <c r="C1382" s="193"/>
      <c r="G1382" s="193"/>
      <c r="H1382" s="194"/>
      <c r="I1382" s="194"/>
      <c r="J1382" s="194"/>
      <c r="L1382" s="194"/>
      <c r="M1382" s="194"/>
    </row>
    <row r="1383" ht="22.5" customHeight="1">
      <c r="C1383" s="193"/>
      <c r="G1383" s="193"/>
      <c r="H1383" s="194"/>
      <c r="I1383" s="194"/>
      <c r="J1383" s="194"/>
      <c r="L1383" s="194"/>
      <c r="M1383" s="194"/>
    </row>
    <row r="1384" ht="22.5" customHeight="1">
      <c r="C1384" s="193"/>
      <c r="G1384" s="193"/>
      <c r="H1384" s="194"/>
      <c r="I1384" s="194"/>
      <c r="J1384" s="194"/>
      <c r="L1384" s="194"/>
      <c r="M1384" s="194"/>
    </row>
    <row r="1385" ht="22.5" customHeight="1">
      <c r="C1385" s="193"/>
      <c r="G1385" s="193"/>
      <c r="H1385" s="194"/>
      <c r="I1385" s="194"/>
      <c r="J1385" s="194"/>
      <c r="L1385" s="194"/>
      <c r="M1385" s="194"/>
    </row>
    <row r="1386" ht="22.5" customHeight="1">
      <c r="C1386" s="193"/>
      <c r="G1386" s="193"/>
      <c r="H1386" s="194"/>
      <c r="I1386" s="194"/>
      <c r="J1386" s="194"/>
      <c r="L1386" s="194"/>
      <c r="M1386" s="194"/>
    </row>
    <row r="1387" ht="22.5" customHeight="1">
      <c r="C1387" s="193"/>
      <c r="G1387" s="193"/>
      <c r="H1387" s="194"/>
      <c r="I1387" s="194"/>
      <c r="J1387" s="194"/>
      <c r="L1387" s="194"/>
      <c r="M1387" s="194"/>
    </row>
    <row r="1388" ht="22.5" customHeight="1">
      <c r="C1388" s="193"/>
      <c r="G1388" s="193"/>
      <c r="H1388" s="194"/>
      <c r="I1388" s="194"/>
      <c r="J1388" s="194"/>
      <c r="L1388" s="194"/>
      <c r="M1388" s="194"/>
    </row>
    <row r="1389" ht="22.5" customHeight="1">
      <c r="C1389" s="193"/>
      <c r="G1389" s="193"/>
      <c r="H1389" s="194"/>
      <c r="I1389" s="194"/>
      <c r="J1389" s="194"/>
      <c r="L1389" s="194"/>
      <c r="M1389" s="194"/>
    </row>
    <row r="1390" ht="22.5" customHeight="1">
      <c r="C1390" s="193"/>
      <c r="G1390" s="193"/>
      <c r="H1390" s="194"/>
      <c r="I1390" s="194"/>
      <c r="J1390" s="194"/>
      <c r="L1390" s="194"/>
      <c r="M1390" s="194"/>
    </row>
    <row r="1391" ht="22.5" customHeight="1">
      <c r="C1391" s="193"/>
      <c r="G1391" s="193"/>
      <c r="H1391" s="194"/>
      <c r="I1391" s="194"/>
      <c r="J1391" s="194"/>
      <c r="L1391" s="194"/>
      <c r="M1391" s="194"/>
    </row>
    <row r="1392" ht="22.5" customHeight="1">
      <c r="C1392" s="193"/>
      <c r="G1392" s="193"/>
      <c r="H1392" s="194"/>
      <c r="I1392" s="194"/>
      <c r="J1392" s="194"/>
      <c r="L1392" s="194"/>
      <c r="M1392" s="194"/>
    </row>
    <row r="1393" ht="22.5" customHeight="1">
      <c r="C1393" s="193"/>
      <c r="G1393" s="193"/>
      <c r="H1393" s="194"/>
      <c r="I1393" s="194"/>
      <c r="J1393" s="194"/>
      <c r="L1393" s="194"/>
      <c r="M1393" s="194"/>
    </row>
    <row r="1394" ht="22.5" customHeight="1">
      <c r="C1394" s="193"/>
      <c r="G1394" s="193"/>
      <c r="H1394" s="194"/>
      <c r="I1394" s="194"/>
      <c r="J1394" s="194"/>
      <c r="L1394" s="194"/>
      <c r="M1394" s="194"/>
    </row>
    <row r="1395" ht="22.5" customHeight="1">
      <c r="C1395" s="193"/>
      <c r="G1395" s="193"/>
      <c r="H1395" s="194"/>
      <c r="I1395" s="194"/>
      <c r="J1395" s="194"/>
      <c r="L1395" s="194"/>
      <c r="M1395" s="194"/>
    </row>
    <row r="1396" ht="22.5" customHeight="1">
      <c r="C1396" s="193"/>
      <c r="G1396" s="193"/>
      <c r="H1396" s="194"/>
      <c r="I1396" s="194"/>
      <c r="J1396" s="194"/>
      <c r="L1396" s="194"/>
      <c r="M1396" s="194"/>
    </row>
    <row r="1397" ht="22.5" customHeight="1">
      <c r="C1397" s="193"/>
      <c r="G1397" s="193"/>
      <c r="H1397" s="194"/>
      <c r="I1397" s="194"/>
      <c r="J1397" s="194"/>
      <c r="L1397" s="194"/>
      <c r="M1397" s="194"/>
    </row>
    <row r="1398" ht="22.5" customHeight="1">
      <c r="C1398" s="193"/>
      <c r="G1398" s="193"/>
      <c r="H1398" s="194"/>
      <c r="I1398" s="194"/>
      <c r="J1398" s="194"/>
      <c r="L1398" s="194"/>
      <c r="M1398" s="194"/>
    </row>
    <row r="1399" ht="22.5" customHeight="1">
      <c r="C1399" s="193"/>
      <c r="G1399" s="193"/>
      <c r="H1399" s="194"/>
      <c r="I1399" s="194"/>
      <c r="J1399" s="194"/>
      <c r="L1399" s="194"/>
      <c r="M1399" s="194"/>
    </row>
    <row r="1400" ht="22.5" customHeight="1">
      <c r="C1400" s="193"/>
      <c r="G1400" s="193"/>
      <c r="H1400" s="194"/>
      <c r="I1400" s="194"/>
      <c r="J1400" s="194"/>
      <c r="L1400" s="194"/>
      <c r="M1400" s="194"/>
    </row>
    <row r="1401" ht="22.5" customHeight="1">
      <c r="C1401" s="193"/>
      <c r="G1401" s="193"/>
      <c r="H1401" s="194"/>
      <c r="I1401" s="194"/>
      <c r="J1401" s="194"/>
      <c r="L1401" s="194"/>
      <c r="M1401" s="194"/>
    </row>
    <row r="1402" ht="22.5" customHeight="1">
      <c r="C1402" s="193"/>
      <c r="G1402" s="193"/>
      <c r="H1402" s="194"/>
      <c r="I1402" s="194"/>
      <c r="J1402" s="194"/>
      <c r="L1402" s="194"/>
      <c r="M1402" s="194"/>
    </row>
    <row r="1403" ht="22.5" customHeight="1">
      <c r="C1403" s="193"/>
      <c r="G1403" s="193"/>
      <c r="H1403" s="194"/>
      <c r="I1403" s="194"/>
      <c r="J1403" s="194"/>
      <c r="L1403" s="194"/>
      <c r="M1403" s="194"/>
    </row>
    <row r="1404" ht="22.5" customHeight="1">
      <c r="C1404" s="193"/>
      <c r="G1404" s="193"/>
      <c r="H1404" s="194"/>
      <c r="I1404" s="194"/>
      <c r="J1404" s="194"/>
      <c r="L1404" s="194"/>
      <c r="M1404" s="194"/>
    </row>
    <row r="1405" ht="22.5" customHeight="1">
      <c r="C1405" s="193"/>
      <c r="G1405" s="193"/>
      <c r="H1405" s="194"/>
      <c r="I1405" s="194"/>
      <c r="J1405" s="194"/>
      <c r="L1405" s="194"/>
      <c r="M1405" s="194"/>
    </row>
    <row r="1406" ht="22.5" customHeight="1">
      <c r="C1406" s="193"/>
      <c r="G1406" s="193"/>
      <c r="H1406" s="194"/>
      <c r="I1406" s="194"/>
      <c r="J1406" s="194"/>
      <c r="L1406" s="194"/>
      <c r="M1406" s="194"/>
    </row>
    <row r="1407" ht="22.5" customHeight="1">
      <c r="C1407" s="193"/>
      <c r="G1407" s="193"/>
      <c r="H1407" s="194"/>
      <c r="I1407" s="194"/>
      <c r="J1407" s="194"/>
      <c r="L1407" s="194"/>
      <c r="M1407" s="194"/>
    </row>
    <row r="1408" ht="22.5" customHeight="1">
      <c r="C1408" s="193"/>
      <c r="G1408" s="193"/>
      <c r="H1408" s="194"/>
      <c r="I1408" s="194"/>
      <c r="J1408" s="194"/>
      <c r="L1408" s="194"/>
      <c r="M1408" s="194"/>
    </row>
    <row r="1409" ht="22.5" customHeight="1">
      <c r="C1409" s="193"/>
      <c r="G1409" s="193"/>
      <c r="H1409" s="194"/>
      <c r="I1409" s="194"/>
      <c r="J1409" s="194"/>
      <c r="L1409" s="194"/>
      <c r="M1409" s="194"/>
    </row>
    <row r="1410" ht="22.5" customHeight="1">
      <c r="C1410" s="193"/>
      <c r="G1410" s="193"/>
      <c r="H1410" s="194"/>
      <c r="I1410" s="194"/>
      <c r="J1410" s="194"/>
      <c r="L1410" s="194"/>
      <c r="M1410" s="194"/>
    </row>
    <row r="1411" ht="22.5" customHeight="1">
      <c r="C1411" s="193"/>
      <c r="G1411" s="193"/>
      <c r="H1411" s="194"/>
      <c r="I1411" s="194"/>
      <c r="J1411" s="194"/>
      <c r="L1411" s="194"/>
      <c r="M1411" s="194"/>
    </row>
    <row r="1412" ht="22.5" customHeight="1">
      <c r="C1412" s="193"/>
      <c r="G1412" s="193"/>
      <c r="H1412" s="194"/>
      <c r="I1412" s="194"/>
      <c r="J1412" s="194"/>
      <c r="L1412" s="194"/>
      <c r="M1412" s="194"/>
    </row>
    <row r="1413" ht="22.5" customHeight="1">
      <c r="C1413" s="193"/>
      <c r="G1413" s="193"/>
      <c r="H1413" s="194"/>
      <c r="I1413" s="194"/>
      <c r="J1413" s="194"/>
      <c r="L1413" s="194"/>
      <c r="M1413" s="194"/>
    </row>
    <row r="1414" ht="22.5" customHeight="1">
      <c r="C1414" s="193"/>
      <c r="G1414" s="193"/>
      <c r="H1414" s="194"/>
      <c r="I1414" s="194"/>
      <c r="J1414" s="194"/>
      <c r="L1414" s="194"/>
      <c r="M1414" s="194"/>
    </row>
    <row r="1415" ht="22.5" customHeight="1">
      <c r="C1415" s="193"/>
      <c r="G1415" s="193"/>
      <c r="H1415" s="194"/>
      <c r="I1415" s="194"/>
      <c r="J1415" s="194"/>
      <c r="L1415" s="194"/>
      <c r="M1415" s="194"/>
    </row>
    <row r="1416" ht="22.5" customHeight="1">
      <c r="C1416" s="193"/>
      <c r="G1416" s="193"/>
      <c r="H1416" s="194"/>
      <c r="I1416" s="194"/>
      <c r="J1416" s="194"/>
      <c r="L1416" s="194"/>
      <c r="M1416" s="194"/>
    </row>
    <row r="1417" ht="22.5" customHeight="1">
      <c r="C1417" s="193"/>
      <c r="G1417" s="193"/>
      <c r="H1417" s="194"/>
      <c r="I1417" s="194"/>
      <c r="J1417" s="194"/>
      <c r="L1417" s="194"/>
      <c r="M1417" s="194"/>
    </row>
    <row r="1418" ht="22.5" customHeight="1">
      <c r="C1418" s="193"/>
      <c r="G1418" s="193"/>
      <c r="H1418" s="194"/>
      <c r="I1418" s="194"/>
      <c r="J1418" s="194"/>
      <c r="L1418" s="194"/>
      <c r="M1418" s="194"/>
    </row>
    <row r="1419" ht="22.5" customHeight="1">
      <c r="C1419" s="193"/>
      <c r="G1419" s="193"/>
      <c r="H1419" s="194"/>
      <c r="I1419" s="194"/>
      <c r="J1419" s="194"/>
      <c r="L1419" s="194"/>
      <c r="M1419" s="194"/>
    </row>
    <row r="1420" ht="22.5" customHeight="1">
      <c r="C1420" s="193"/>
      <c r="G1420" s="193"/>
      <c r="H1420" s="194"/>
      <c r="I1420" s="194"/>
      <c r="J1420" s="194"/>
      <c r="L1420" s="194"/>
      <c r="M1420" s="194"/>
    </row>
    <row r="1421" ht="22.5" customHeight="1">
      <c r="C1421" s="193"/>
      <c r="G1421" s="193"/>
      <c r="H1421" s="194"/>
      <c r="I1421" s="194"/>
      <c r="J1421" s="194"/>
      <c r="L1421" s="194"/>
      <c r="M1421" s="194"/>
    </row>
    <row r="1422" ht="22.5" customHeight="1">
      <c r="C1422" s="193"/>
      <c r="G1422" s="193"/>
      <c r="H1422" s="194"/>
      <c r="I1422" s="194"/>
      <c r="J1422" s="194"/>
      <c r="L1422" s="194"/>
      <c r="M1422" s="194"/>
    </row>
    <row r="1423" ht="22.5" customHeight="1">
      <c r="C1423" s="193"/>
      <c r="G1423" s="193"/>
      <c r="H1423" s="194"/>
      <c r="I1423" s="194"/>
      <c r="J1423" s="194"/>
      <c r="L1423" s="194"/>
      <c r="M1423" s="194"/>
    </row>
    <row r="1424" ht="22.5" customHeight="1">
      <c r="C1424" s="193"/>
      <c r="G1424" s="193"/>
      <c r="H1424" s="194"/>
      <c r="I1424" s="194"/>
      <c r="J1424" s="194"/>
      <c r="L1424" s="194"/>
      <c r="M1424" s="194"/>
    </row>
    <row r="1425" ht="22.5" customHeight="1">
      <c r="C1425" s="193"/>
      <c r="G1425" s="193"/>
      <c r="H1425" s="194"/>
      <c r="I1425" s="194"/>
      <c r="J1425" s="194"/>
      <c r="L1425" s="194"/>
      <c r="M1425" s="194"/>
    </row>
    <row r="1426" ht="22.5" customHeight="1">
      <c r="C1426" s="193"/>
      <c r="G1426" s="193"/>
      <c r="H1426" s="194"/>
      <c r="I1426" s="194"/>
      <c r="J1426" s="194"/>
      <c r="L1426" s="194"/>
      <c r="M1426" s="194"/>
    </row>
    <row r="1427" ht="22.5" customHeight="1">
      <c r="C1427" s="193"/>
      <c r="G1427" s="193"/>
      <c r="H1427" s="194"/>
      <c r="I1427" s="194"/>
      <c r="J1427" s="194"/>
      <c r="L1427" s="194"/>
      <c r="M1427" s="194"/>
    </row>
    <row r="1428" ht="22.5" customHeight="1">
      <c r="C1428" s="193"/>
      <c r="G1428" s="193"/>
      <c r="H1428" s="194"/>
      <c r="I1428" s="194"/>
      <c r="J1428" s="194"/>
      <c r="L1428" s="194"/>
      <c r="M1428" s="194"/>
    </row>
    <row r="1429" ht="22.5" customHeight="1">
      <c r="C1429" s="193"/>
      <c r="G1429" s="193"/>
      <c r="H1429" s="194"/>
      <c r="I1429" s="194"/>
      <c r="J1429" s="194"/>
      <c r="L1429" s="194"/>
      <c r="M1429" s="194"/>
    </row>
    <row r="1430" ht="22.5" customHeight="1">
      <c r="C1430" s="193"/>
      <c r="G1430" s="193"/>
      <c r="H1430" s="194"/>
      <c r="I1430" s="194"/>
      <c r="J1430" s="194"/>
      <c r="L1430" s="194"/>
      <c r="M1430" s="194"/>
    </row>
    <row r="1431" ht="22.5" customHeight="1">
      <c r="C1431" s="193"/>
      <c r="G1431" s="193"/>
      <c r="H1431" s="194"/>
      <c r="I1431" s="194"/>
      <c r="J1431" s="194"/>
      <c r="L1431" s="194"/>
      <c r="M1431" s="194"/>
    </row>
    <row r="1432" ht="22.5" customHeight="1">
      <c r="C1432" s="193"/>
      <c r="G1432" s="193"/>
      <c r="H1432" s="194"/>
      <c r="I1432" s="194"/>
      <c r="J1432" s="194"/>
      <c r="L1432" s="194"/>
      <c r="M1432" s="194"/>
    </row>
    <row r="1433" ht="22.5" customHeight="1">
      <c r="C1433" s="193"/>
      <c r="G1433" s="193"/>
      <c r="H1433" s="194"/>
      <c r="I1433" s="194"/>
      <c r="J1433" s="194"/>
      <c r="L1433" s="194"/>
      <c r="M1433" s="194"/>
    </row>
    <row r="1434" ht="22.5" customHeight="1">
      <c r="C1434" s="193"/>
      <c r="G1434" s="193"/>
      <c r="H1434" s="194"/>
      <c r="I1434" s="194"/>
      <c r="J1434" s="194"/>
      <c r="L1434" s="194"/>
      <c r="M1434" s="194"/>
    </row>
    <row r="1435" ht="22.5" customHeight="1">
      <c r="C1435" s="193"/>
      <c r="G1435" s="193"/>
      <c r="H1435" s="194"/>
      <c r="I1435" s="194"/>
      <c r="J1435" s="194"/>
      <c r="L1435" s="194"/>
      <c r="M1435" s="194"/>
    </row>
    <row r="1436" ht="22.5" customHeight="1">
      <c r="C1436" s="193"/>
      <c r="G1436" s="193"/>
      <c r="H1436" s="194"/>
      <c r="I1436" s="194"/>
      <c r="J1436" s="194"/>
      <c r="L1436" s="194"/>
      <c r="M1436" s="194"/>
    </row>
    <row r="1437" ht="22.5" customHeight="1">
      <c r="C1437" s="193"/>
      <c r="G1437" s="193"/>
      <c r="H1437" s="194"/>
      <c r="I1437" s="194"/>
      <c r="J1437" s="194"/>
      <c r="L1437" s="194"/>
      <c r="M1437" s="194"/>
    </row>
    <row r="1438" ht="22.5" customHeight="1">
      <c r="C1438" s="193"/>
      <c r="G1438" s="193"/>
      <c r="H1438" s="194"/>
      <c r="I1438" s="194"/>
      <c r="J1438" s="194"/>
      <c r="L1438" s="194"/>
      <c r="M1438" s="194"/>
    </row>
    <row r="1439" ht="22.5" customHeight="1">
      <c r="C1439" s="193"/>
      <c r="G1439" s="193"/>
      <c r="H1439" s="194"/>
      <c r="I1439" s="194"/>
      <c r="J1439" s="194"/>
      <c r="L1439" s="194"/>
      <c r="M1439" s="194"/>
    </row>
    <row r="1440" ht="22.5" customHeight="1">
      <c r="C1440" s="193"/>
      <c r="G1440" s="193"/>
      <c r="H1440" s="194"/>
      <c r="I1440" s="194"/>
      <c r="J1440" s="194"/>
      <c r="L1440" s="194"/>
      <c r="M1440" s="194"/>
    </row>
    <row r="1441" ht="22.5" customHeight="1">
      <c r="C1441" s="193"/>
      <c r="G1441" s="193"/>
      <c r="H1441" s="194"/>
      <c r="I1441" s="194"/>
      <c r="J1441" s="194"/>
      <c r="L1441" s="194"/>
      <c r="M1441" s="194"/>
    </row>
    <row r="1442" ht="22.5" customHeight="1">
      <c r="C1442" s="193"/>
      <c r="G1442" s="193"/>
      <c r="H1442" s="194"/>
      <c r="I1442" s="194"/>
      <c r="J1442" s="194"/>
      <c r="L1442" s="194"/>
      <c r="M1442" s="194"/>
    </row>
    <row r="1443" ht="22.5" customHeight="1">
      <c r="C1443" s="193"/>
      <c r="G1443" s="193"/>
      <c r="H1443" s="194"/>
      <c r="I1443" s="194"/>
      <c r="J1443" s="194"/>
      <c r="L1443" s="194"/>
      <c r="M1443" s="194"/>
    </row>
    <row r="1444" ht="22.5" customHeight="1">
      <c r="C1444" s="193"/>
      <c r="G1444" s="193"/>
      <c r="H1444" s="194"/>
      <c r="I1444" s="194"/>
      <c r="J1444" s="194"/>
      <c r="L1444" s="194"/>
      <c r="M1444" s="194"/>
    </row>
    <row r="1445" ht="22.5" customHeight="1">
      <c r="C1445" s="193"/>
      <c r="G1445" s="193"/>
      <c r="H1445" s="194"/>
      <c r="I1445" s="194"/>
      <c r="J1445" s="194"/>
      <c r="L1445" s="194"/>
      <c r="M1445" s="194"/>
    </row>
    <row r="1446" ht="22.5" customHeight="1">
      <c r="C1446" s="193"/>
      <c r="G1446" s="193"/>
      <c r="H1446" s="194"/>
      <c r="I1446" s="194"/>
      <c r="J1446" s="194"/>
      <c r="L1446" s="194"/>
      <c r="M1446" s="194"/>
    </row>
    <row r="1447" ht="22.5" customHeight="1">
      <c r="C1447" s="193"/>
      <c r="G1447" s="193"/>
      <c r="H1447" s="194"/>
      <c r="I1447" s="194"/>
      <c r="J1447" s="194"/>
      <c r="L1447" s="194"/>
      <c r="M1447" s="194"/>
    </row>
    <row r="1448" ht="22.5" customHeight="1">
      <c r="C1448" s="193"/>
      <c r="G1448" s="193"/>
      <c r="H1448" s="194"/>
      <c r="I1448" s="194"/>
      <c r="J1448" s="194"/>
      <c r="L1448" s="194"/>
      <c r="M1448" s="194"/>
    </row>
    <row r="1449" ht="22.5" customHeight="1">
      <c r="C1449" s="193"/>
      <c r="G1449" s="193"/>
      <c r="H1449" s="194"/>
      <c r="I1449" s="194"/>
      <c r="J1449" s="194"/>
      <c r="L1449" s="194"/>
      <c r="M1449" s="194"/>
    </row>
    <row r="1450" ht="22.5" customHeight="1">
      <c r="C1450" s="193"/>
      <c r="G1450" s="193"/>
      <c r="H1450" s="194"/>
      <c r="I1450" s="194"/>
      <c r="J1450" s="194"/>
      <c r="L1450" s="194"/>
      <c r="M1450" s="194"/>
    </row>
    <row r="1451" ht="22.5" customHeight="1">
      <c r="C1451" s="193"/>
      <c r="G1451" s="193"/>
      <c r="H1451" s="194"/>
      <c r="I1451" s="194"/>
      <c r="J1451" s="194"/>
      <c r="L1451" s="194"/>
      <c r="M1451" s="194"/>
    </row>
    <row r="1452" ht="22.5" customHeight="1">
      <c r="C1452" s="193"/>
      <c r="G1452" s="193"/>
      <c r="H1452" s="194"/>
      <c r="I1452" s="194"/>
      <c r="J1452" s="194"/>
      <c r="L1452" s="194"/>
      <c r="M1452" s="194"/>
    </row>
    <row r="1453" ht="22.5" customHeight="1">
      <c r="C1453" s="193"/>
      <c r="G1453" s="193"/>
      <c r="H1453" s="194"/>
      <c r="I1453" s="194"/>
      <c r="J1453" s="194"/>
      <c r="L1453" s="194"/>
      <c r="M1453" s="194"/>
    </row>
    <row r="1454" ht="22.5" customHeight="1">
      <c r="C1454" s="193"/>
      <c r="G1454" s="193"/>
      <c r="H1454" s="194"/>
      <c r="I1454" s="194"/>
      <c r="J1454" s="194"/>
      <c r="L1454" s="194"/>
      <c r="M1454" s="194"/>
    </row>
    <row r="1455" ht="22.5" customHeight="1">
      <c r="C1455" s="193"/>
      <c r="G1455" s="193"/>
      <c r="H1455" s="194"/>
      <c r="I1455" s="194"/>
      <c r="J1455" s="194"/>
      <c r="L1455" s="194"/>
      <c r="M1455" s="194"/>
    </row>
    <row r="1456" ht="22.5" customHeight="1">
      <c r="C1456" s="193"/>
      <c r="G1456" s="193"/>
      <c r="H1456" s="194"/>
      <c r="I1456" s="194"/>
      <c r="J1456" s="194"/>
      <c r="L1456" s="194"/>
      <c r="M1456" s="194"/>
    </row>
    <row r="1457" ht="22.5" customHeight="1">
      <c r="C1457" s="193"/>
      <c r="G1457" s="193"/>
      <c r="H1457" s="194"/>
      <c r="I1457" s="194"/>
      <c r="J1457" s="194"/>
      <c r="L1457" s="194"/>
      <c r="M1457" s="194"/>
    </row>
    <row r="1458" ht="22.5" customHeight="1">
      <c r="C1458" s="193"/>
      <c r="G1458" s="193"/>
      <c r="H1458" s="194"/>
      <c r="I1458" s="194"/>
      <c r="J1458" s="194"/>
      <c r="L1458" s="194"/>
      <c r="M1458" s="194"/>
    </row>
    <row r="1459" ht="22.5" customHeight="1">
      <c r="C1459" s="193"/>
      <c r="G1459" s="193"/>
      <c r="H1459" s="194"/>
      <c r="I1459" s="194"/>
      <c r="J1459" s="194"/>
      <c r="L1459" s="194"/>
      <c r="M1459" s="194"/>
    </row>
    <row r="1460" ht="22.5" customHeight="1">
      <c r="C1460" s="193"/>
      <c r="G1460" s="193"/>
      <c r="H1460" s="194"/>
      <c r="I1460" s="194"/>
      <c r="J1460" s="194"/>
      <c r="L1460" s="194"/>
      <c r="M1460" s="194"/>
    </row>
    <row r="1461" ht="22.5" customHeight="1">
      <c r="C1461" s="193"/>
      <c r="G1461" s="193"/>
      <c r="H1461" s="194"/>
      <c r="I1461" s="194"/>
      <c r="J1461" s="194"/>
      <c r="L1461" s="194"/>
      <c r="M1461" s="194"/>
    </row>
    <row r="1462" ht="22.5" customHeight="1">
      <c r="C1462" s="193"/>
      <c r="G1462" s="193"/>
      <c r="H1462" s="194"/>
      <c r="I1462" s="194"/>
      <c r="J1462" s="194"/>
      <c r="L1462" s="194"/>
      <c r="M1462" s="194"/>
    </row>
    <row r="1463" ht="22.5" customHeight="1">
      <c r="C1463" s="193"/>
      <c r="G1463" s="193"/>
      <c r="H1463" s="194"/>
      <c r="I1463" s="194"/>
      <c r="J1463" s="194"/>
      <c r="L1463" s="194"/>
      <c r="M1463" s="194"/>
    </row>
    <row r="1464" ht="22.5" customHeight="1">
      <c r="C1464" s="193"/>
      <c r="G1464" s="193"/>
      <c r="H1464" s="194"/>
      <c r="I1464" s="194"/>
      <c r="J1464" s="194"/>
      <c r="L1464" s="194"/>
      <c r="M1464" s="194"/>
    </row>
    <row r="1465" ht="22.5" customHeight="1">
      <c r="C1465" s="193"/>
      <c r="G1465" s="193"/>
      <c r="H1465" s="194"/>
      <c r="I1465" s="194"/>
      <c r="J1465" s="194"/>
      <c r="L1465" s="194"/>
      <c r="M1465" s="194"/>
    </row>
    <row r="1466" ht="22.5" customHeight="1">
      <c r="C1466" s="193"/>
      <c r="G1466" s="193"/>
      <c r="H1466" s="194"/>
      <c r="I1466" s="194"/>
      <c r="J1466" s="194"/>
      <c r="L1466" s="194"/>
      <c r="M1466" s="194"/>
    </row>
    <row r="1467" ht="22.5" customHeight="1">
      <c r="C1467" s="193"/>
      <c r="G1467" s="193"/>
      <c r="H1467" s="194"/>
      <c r="I1467" s="194"/>
      <c r="J1467" s="194"/>
      <c r="L1467" s="194"/>
      <c r="M1467" s="194"/>
    </row>
    <row r="1468" ht="22.5" customHeight="1">
      <c r="C1468" s="193"/>
      <c r="G1468" s="193"/>
      <c r="H1468" s="194"/>
      <c r="I1468" s="194"/>
      <c r="J1468" s="194"/>
      <c r="L1468" s="194"/>
      <c r="M1468" s="194"/>
    </row>
    <row r="1469" ht="22.5" customHeight="1">
      <c r="C1469" s="193"/>
      <c r="G1469" s="193"/>
      <c r="H1469" s="194"/>
      <c r="I1469" s="194"/>
      <c r="J1469" s="194"/>
      <c r="L1469" s="194"/>
      <c r="M1469" s="194"/>
    </row>
    <row r="1470" ht="22.5" customHeight="1">
      <c r="C1470" s="193"/>
      <c r="G1470" s="193"/>
      <c r="H1470" s="194"/>
      <c r="I1470" s="194"/>
      <c r="J1470" s="194"/>
      <c r="L1470" s="194"/>
      <c r="M1470" s="194"/>
    </row>
    <row r="1471" ht="22.5" customHeight="1">
      <c r="C1471" s="193"/>
      <c r="G1471" s="193"/>
      <c r="H1471" s="194"/>
      <c r="I1471" s="194"/>
      <c r="J1471" s="194"/>
      <c r="L1471" s="194"/>
      <c r="M1471" s="194"/>
    </row>
    <row r="1472" ht="22.5" customHeight="1">
      <c r="C1472" s="193"/>
      <c r="G1472" s="193"/>
      <c r="H1472" s="194"/>
      <c r="I1472" s="194"/>
      <c r="J1472" s="194"/>
      <c r="L1472" s="194"/>
      <c r="M1472" s="194"/>
    </row>
    <row r="1473" ht="22.5" customHeight="1">
      <c r="C1473" s="193"/>
      <c r="G1473" s="193"/>
      <c r="H1473" s="194"/>
      <c r="I1473" s="194"/>
      <c r="J1473" s="194"/>
      <c r="L1473" s="194"/>
      <c r="M1473" s="194"/>
    </row>
    <row r="1474" ht="22.5" customHeight="1">
      <c r="C1474" s="193"/>
      <c r="G1474" s="193"/>
      <c r="H1474" s="194"/>
      <c r="I1474" s="194"/>
      <c r="J1474" s="194"/>
      <c r="L1474" s="194"/>
      <c r="M1474" s="194"/>
    </row>
    <row r="1475" ht="22.5" customHeight="1">
      <c r="C1475" s="193"/>
      <c r="G1475" s="193"/>
      <c r="H1475" s="194"/>
      <c r="I1475" s="194"/>
      <c r="J1475" s="194"/>
      <c r="L1475" s="194"/>
      <c r="M1475" s="194"/>
    </row>
    <row r="1476" ht="22.5" customHeight="1">
      <c r="C1476" s="193"/>
      <c r="G1476" s="193"/>
      <c r="H1476" s="194"/>
      <c r="I1476" s="194"/>
      <c r="J1476" s="194"/>
      <c r="L1476" s="194"/>
      <c r="M1476" s="194"/>
    </row>
    <row r="1477" ht="22.5" customHeight="1">
      <c r="C1477" s="193"/>
      <c r="G1477" s="193"/>
      <c r="H1477" s="194"/>
      <c r="I1477" s="194"/>
      <c r="J1477" s="194"/>
      <c r="L1477" s="194"/>
      <c r="M1477" s="194"/>
    </row>
    <row r="1478" ht="22.5" customHeight="1">
      <c r="C1478" s="193"/>
      <c r="G1478" s="193"/>
      <c r="H1478" s="194"/>
      <c r="I1478" s="194"/>
      <c r="J1478" s="194"/>
      <c r="L1478" s="194"/>
      <c r="M1478" s="194"/>
    </row>
    <row r="1479" ht="22.5" customHeight="1">
      <c r="C1479" s="193"/>
      <c r="G1479" s="193"/>
      <c r="H1479" s="194"/>
      <c r="I1479" s="194"/>
      <c r="J1479" s="194"/>
      <c r="L1479" s="194"/>
      <c r="M1479" s="194"/>
    </row>
    <row r="1480" ht="22.5" customHeight="1">
      <c r="C1480" s="193"/>
      <c r="G1480" s="193"/>
      <c r="H1480" s="194"/>
      <c r="I1480" s="194"/>
      <c r="J1480" s="194"/>
      <c r="L1480" s="194"/>
      <c r="M1480" s="194"/>
    </row>
    <row r="1481" ht="22.5" customHeight="1">
      <c r="C1481" s="193"/>
      <c r="G1481" s="193"/>
      <c r="H1481" s="194"/>
      <c r="I1481" s="194"/>
      <c r="J1481" s="194"/>
      <c r="L1481" s="194"/>
      <c r="M1481" s="194"/>
    </row>
    <row r="1482" ht="22.5" customHeight="1">
      <c r="C1482" s="193"/>
      <c r="G1482" s="193"/>
      <c r="H1482" s="194"/>
      <c r="I1482" s="194"/>
      <c r="J1482" s="194"/>
      <c r="L1482" s="194"/>
      <c r="M1482" s="194"/>
    </row>
    <row r="1483" ht="22.5" customHeight="1">
      <c r="C1483" s="193"/>
      <c r="G1483" s="193"/>
      <c r="H1483" s="194"/>
      <c r="I1483" s="194"/>
      <c r="J1483" s="194"/>
      <c r="L1483" s="194"/>
      <c r="M1483" s="194"/>
    </row>
    <row r="1484" ht="22.5" customHeight="1">
      <c r="C1484" s="193"/>
      <c r="G1484" s="193"/>
      <c r="H1484" s="194"/>
      <c r="I1484" s="194"/>
      <c r="J1484" s="194"/>
      <c r="L1484" s="194"/>
      <c r="M1484" s="194"/>
    </row>
    <row r="1485" ht="22.5" customHeight="1">
      <c r="C1485" s="193"/>
      <c r="G1485" s="193"/>
      <c r="H1485" s="194"/>
      <c r="I1485" s="194"/>
      <c r="J1485" s="194"/>
      <c r="L1485" s="194"/>
      <c r="M1485" s="194"/>
    </row>
    <row r="1486" ht="22.5" customHeight="1">
      <c r="C1486" s="193"/>
      <c r="G1486" s="193"/>
      <c r="H1486" s="194"/>
      <c r="I1486" s="194"/>
      <c r="J1486" s="194"/>
      <c r="L1486" s="194"/>
      <c r="M1486" s="194"/>
    </row>
    <row r="1487" ht="22.5" customHeight="1">
      <c r="C1487" s="193"/>
      <c r="G1487" s="193"/>
      <c r="H1487" s="194"/>
      <c r="I1487" s="194"/>
      <c r="J1487" s="194"/>
      <c r="L1487" s="194"/>
      <c r="M1487" s="194"/>
    </row>
    <row r="1488" ht="22.5" customHeight="1">
      <c r="C1488" s="193"/>
      <c r="G1488" s="193"/>
      <c r="H1488" s="194"/>
      <c r="I1488" s="194"/>
      <c r="J1488" s="194"/>
      <c r="L1488" s="194"/>
      <c r="M1488" s="194"/>
    </row>
    <row r="1489" ht="22.5" customHeight="1">
      <c r="C1489" s="193"/>
      <c r="G1489" s="193"/>
      <c r="H1489" s="194"/>
      <c r="I1489" s="194"/>
      <c r="J1489" s="194"/>
      <c r="L1489" s="194"/>
      <c r="M1489" s="194"/>
    </row>
    <row r="1490" ht="22.5" customHeight="1">
      <c r="C1490" s="193"/>
      <c r="G1490" s="193"/>
      <c r="H1490" s="194"/>
      <c r="I1490" s="194"/>
      <c r="J1490" s="194"/>
      <c r="L1490" s="194"/>
      <c r="M1490" s="194"/>
    </row>
    <row r="1491" ht="22.5" customHeight="1">
      <c r="C1491" s="193"/>
      <c r="G1491" s="193"/>
      <c r="H1491" s="194"/>
      <c r="I1491" s="194"/>
      <c r="J1491" s="194"/>
      <c r="L1491" s="194"/>
      <c r="M1491" s="194"/>
    </row>
    <row r="1492" ht="22.5" customHeight="1">
      <c r="C1492" s="193"/>
      <c r="G1492" s="193"/>
      <c r="H1492" s="194"/>
      <c r="I1492" s="194"/>
      <c r="J1492" s="194"/>
      <c r="L1492" s="194"/>
      <c r="M1492" s="194"/>
    </row>
    <row r="1493" ht="22.5" customHeight="1">
      <c r="C1493" s="193"/>
      <c r="G1493" s="193"/>
      <c r="H1493" s="194"/>
      <c r="I1493" s="194"/>
      <c r="J1493" s="194"/>
      <c r="L1493" s="194"/>
      <c r="M1493" s="194"/>
    </row>
    <row r="1494" ht="22.5" customHeight="1">
      <c r="C1494" s="193"/>
      <c r="G1494" s="193"/>
      <c r="H1494" s="194"/>
      <c r="I1494" s="194"/>
      <c r="J1494" s="194"/>
      <c r="L1494" s="194"/>
      <c r="M1494" s="194"/>
    </row>
    <row r="1495" ht="22.5" customHeight="1">
      <c r="C1495" s="193"/>
      <c r="G1495" s="193"/>
      <c r="H1495" s="194"/>
      <c r="I1495" s="194"/>
      <c r="J1495" s="194"/>
      <c r="L1495" s="194"/>
      <c r="M1495" s="194"/>
    </row>
    <row r="1496" ht="22.5" customHeight="1">
      <c r="C1496" s="193"/>
      <c r="G1496" s="193"/>
      <c r="H1496" s="194"/>
      <c r="I1496" s="194"/>
      <c r="J1496" s="194"/>
      <c r="L1496" s="194"/>
      <c r="M1496" s="194"/>
    </row>
    <row r="1497" ht="22.5" customHeight="1">
      <c r="C1497" s="193"/>
      <c r="G1497" s="193"/>
      <c r="H1497" s="194"/>
      <c r="I1497" s="194"/>
      <c r="J1497" s="194"/>
      <c r="L1497" s="194"/>
      <c r="M1497" s="194"/>
    </row>
    <row r="1498" ht="22.5" customHeight="1">
      <c r="C1498" s="193"/>
      <c r="G1498" s="193"/>
      <c r="H1498" s="194"/>
      <c r="I1498" s="194"/>
      <c r="J1498" s="194"/>
      <c r="L1498" s="194"/>
      <c r="M1498" s="194"/>
    </row>
    <row r="1499" ht="22.5" customHeight="1">
      <c r="C1499" s="193"/>
      <c r="G1499" s="193"/>
      <c r="H1499" s="194"/>
      <c r="I1499" s="194"/>
      <c r="J1499" s="194"/>
      <c r="L1499" s="194"/>
      <c r="M1499" s="194"/>
    </row>
    <row r="1500" ht="22.5" customHeight="1">
      <c r="C1500" s="193"/>
      <c r="G1500" s="193"/>
      <c r="H1500" s="194"/>
      <c r="I1500" s="194"/>
      <c r="J1500" s="194"/>
      <c r="L1500" s="194"/>
      <c r="M1500" s="194"/>
    </row>
    <row r="1501" ht="22.5" customHeight="1">
      <c r="C1501" s="193"/>
      <c r="G1501" s="193"/>
      <c r="H1501" s="194"/>
      <c r="I1501" s="194"/>
      <c r="J1501" s="194"/>
      <c r="L1501" s="194"/>
      <c r="M1501" s="194"/>
    </row>
    <row r="1502" ht="22.5" customHeight="1">
      <c r="C1502" s="193"/>
      <c r="G1502" s="193"/>
      <c r="H1502" s="194"/>
      <c r="I1502" s="194"/>
      <c r="J1502" s="194"/>
      <c r="L1502" s="194"/>
      <c r="M1502" s="194"/>
    </row>
    <row r="1503" ht="22.5" customHeight="1">
      <c r="C1503" s="193"/>
      <c r="G1503" s="193"/>
      <c r="H1503" s="194"/>
      <c r="I1503" s="194"/>
      <c r="J1503" s="194"/>
      <c r="L1503" s="194"/>
      <c r="M1503" s="194"/>
    </row>
    <row r="1504" ht="22.5" customHeight="1">
      <c r="C1504" s="193"/>
      <c r="G1504" s="193"/>
      <c r="H1504" s="194"/>
      <c r="I1504" s="194"/>
      <c r="J1504" s="194"/>
      <c r="L1504" s="194"/>
      <c r="M1504" s="194"/>
    </row>
    <row r="1505" ht="22.5" customHeight="1">
      <c r="C1505" s="193"/>
      <c r="G1505" s="193"/>
      <c r="H1505" s="194"/>
      <c r="I1505" s="194"/>
      <c r="J1505" s="194"/>
      <c r="L1505" s="194"/>
      <c r="M1505" s="194"/>
    </row>
    <row r="1506" ht="22.5" customHeight="1">
      <c r="C1506" s="193"/>
      <c r="G1506" s="193"/>
      <c r="H1506" s="194"/>
      <c r="I1506" s="194"/>
      <c r="J1506" s="194"/>
      <c r="L1506" s="194"/>
      <c r="M1506" s="194"/>
    </row>
    <row r="1507" ht="22.5" customHeight="1">
      <c r="C1507" s="193"/>
      <c r="G1507" s="193"/>
      <c r="H1507" s="194"/>
      <c r="I1507" s="194"/>
      <c r="J1507" s="194"/>
      <c r="L1507" s="194"/>
      <c r="M1507" s="194"/>
    </row>
    <row r="1508" ht="22.5" customHeight="1">
      <c r="C1508" s="193"/>
      <c r="G1508" s="193"/>
      <c r="H1508" s="194"/>
      <c r="I1508" s="194"/>
      <c r="J1508" s="194"/>
      <c r="L1508" s="194"/>
      <c r="M1508" s="194"/>
    </row>
    <row r="1509" ht="22.5" customHeight="1">
      <c r="C1509" s="193"/>
      <c r="G1509" s="193"/>
      <c r="H1509" s="194"/>
      <c r="I1509" s="194"/>
      <c r="J1509" s="194"/>
      <c r="L1509" s="194"/>
      <c r="M1509" s="194"/>
    </row>
    <row r="1510" ht="22.5" customHeight="1">
      <c r="C1510" s="193"/>
      <c r="G1510" s="193"/>
      <c r="H1510" s="194"/>
      <c r="I1510" s="194"/>
      <c r="J1510" s="194"/>
      <c r="L1510" s="194"/>
      <c r="M1510" s="194"/>
    </row>
    <row r="1511" ht="22.5" customHeight="1">
      <c r="C1511" s="193"/>
      <c r="G1511" s="193"/>
      <c r="H1511" s="194"/>
      <c r="I1511" s="194"/>
      <c r="J1511" s="194"/>
      <c r="L1511" s="194"/>
      <c r="M1511" s="194"/>
    </row>
    <row r="1512" ht="22.5" customHeight="1">
      <c r="C1512" s="193"/>
      <c r="G1512" s="193"/>
      <c r="H1512" s="194"/>
      <c r="I1512" s="194"/>
      <c r="J1512" s="194"/>
      <c r="L1512" s="194"/>
      <c r="M1512" s="194"/>
    </row>
    <row r="1513" ht="22.5" customHeight="1">
      <c r="C1513" s="193"/>
      <c r="G1513" s="193"/>
      <c r="H1513" s="194"/>
      <c r="I1513" s="194"/>
      <c r="J1513" s="194"/>
      <c r="L1513" s="194"/>
      <c r="M1513" s="194"/>
    </row>
    <row r="1514" ht="22.5" customHeight="1">
      <c r="C1514" s="193"/>
      <c r="G1514" s="193"/>
      <c r="H1514" s="194"/>
      <c r="I1514" s="194"/>
      <c r="J1514" s="194"/>
      <c r="L1514" s="194"/>
      <c r="M1514" s="194"/>
    </row>
    <row r="1515" ht="22.5" customHeight="1">
      <c r="C1515" s="193"/>
      <c r="G1515" s="193"/>
      <c r="H1515" s="194"/>
      <c r="I1515" s="194"/>
      <c r="J1515" s="194"/>
      <c r="L1515" s="194"/>
      <c r="M1515" s="194"/>
    </row>
    <row r="1516" ht="22.5" customHeight="1">
      <c r="C1516" s="193"/>
      <c r="G1516" s="193"/>
      <c r="H1516" s="194"/>
      <c r="I1516" s="194"/>
      <c r="J1516" s="194"/>
      <c r="L1516" s="194"/>
      <c r="M1516" s="194"/>
    </row>
    <row r="1517" ht="22.5" customHeight="1">
      <c r="C1517" s="193"/>
      <c r="G1517" s="193"/>
      <c r="H1517" s="194"/>
      <c r="I1517" s="194"/>
      <c r="J1517" s="194"/>
      <c r="L1517" s="194"/>
      <c r="M1517" s="194"/>
    </row>
    <row r="1518" ht="22.5" customHeight="1">
      <c r="C1518" s="193"/>
      <c r="G1518" s="193"/>
      <c r="H1518" s="194"/>
      <c r="I1518" s="194"/>
      <c r="J1518" s="194"/>
      <c r="L1518" s="194"/>
      <c r="M1518" s="194"/>
    </row>
    <row r="1519" ht="22.5" customHeight="1">
      <c r="C1519" s="193"/>
      <c r="G1519" s="193"/>
      <c r="H1519" s="194"/>
      <c r="I1519" s="194"/>
      <c r="J1519" s="194"/>
      <c r="L1519" s="194"/>
      <c r="M1519" s="194"/>
    </row>
    <row r="1520" ht="22.5" customHeight="1">
      <c r="C1520" s="193"/>
      <c r="G1520" s="193"/>
      <c r="H1520" s="194"/>
      <c r="I1520" s="194"/>
      <c r="J1520" s="194"/>
      <c r="L1520" s="194"/>
      <c r="M1520" s="194"/>
    </row>
    <row r="1521" ht="22.5" customHeight="1">
      <c r="C1521" s="193"/>
      <c r="G1521" s="193"/>
      <c r="H1521" s="194"/>
      <c r="I1521" s="194"/>
      <c r="J1521" s="194"/>
      <c r="L1521" s="194"/>
      <c r="M1521" s="194"/>
    </row>
    <row r="1522" ht="22.5" customHeight="1">
      <c r="C1522" s="193"/>
      <c r="G1522" s="193"/>
      <c r="H1522" s="194"/>
      <c r="I1522" s="194"/>
      <c r="J1522" s="194"/>
      <c r="L1522" s="194"/>
      <c r="M1522" s="194"/>
    </row>
    <row r="1523" ht="22.5" customHeight="1">
      <c r="C1523" s="193"/>
      <c r="G1523" s="193"/>
      <c r="H1523" s="194"/>
      <c r="I1523" s="194"/>
      <c r="J1523" s="194"/>
      <c r="L1523" s="194"/>
      <c r="M1523" s="194"/>
    </row>
    <row r="1524" ht="22.5" customHeight="1">
      <c r="C1524" s="193"/>
      <c r="G1524" s="193"/>
      <c r="H1524" s="194"/>
      <c r="I1524" s="194"/>
      <c r="J1524" s="194"/>
      <c r="L1524" s="194"/>
      <c r="M1524" s="194"/>
    </row>
    <row r="1525" ht="22.5" customHeight="1">
      <c r="C1525" s="193"/>
      <c r="G1525" s="193"/>
      <c r="H1525" s="194"/>
      <c r="I1525" s="194"/>
      <c r="J1525" s="194"/>
      <c r="L1525" s="194"/>
      <c r="M1525" s="194"/>
    </row>
    <row r="1526" ht="22.5" customHeight="1">
      <c r="C1526" s="193"/>
      <c r="G1526" s="193"/>
      <c r="H1526" s="194"/>
      <c r="I1526" s="194"/>
      <c r="J1526" s="194"/>
      <c r="L1526" s="194"/>
      <c r="M1526" s="194"/>
    </row>
    <row r="1527" ht="22.5" customHeight="1">
      <c r="C1527" s="193"/>
      <c r="G1527" s="193"/>
      <c r="H1527" s="194"/>
      <c r="I1527" s="194"/>
      <c r="J1527" s="194"/>
      <c r="L1527" s="194"/>
      <c r="M1527" s="194"/>
    </row>
    <row r="1528" ht="22.5" customHeight="1">
      <c r="C1528" s="193"/>
      <c r="G1528" s="193"/>
      <c r="H1528" s="194"/>
      <c r="I1528" s="194"/>
      <c r="J1528" s="194"/>
      <c r="L1528" s="194"/>
      <c r="M1528" s="194"/>
    </row>
    <row r="1529" ht="22.5" customHeight="1">
      <c r="C1529" s="193"/>
      <c r="G1529" s="193"/>
      <c r="H1529" s="194"/>
      <c r="I1529" s="194"/>
      <c r="J1529" s="194"/>
      <c r="L1529" s="194"/>
      <c r="M1529" s="194"/>
    </row>
    <row r="1530" ht="22.5" customHeight="1">
      <c r="C1530" s="193"/>
      <c r="G1530" s="193"/>
      <c r="H1530" s="194"/>
      <c r="I1530" s="194"/>
      <c r="J1530" s="194"/>
      <c r="L1530" s="194"/>
      <c r="M1530" s="194"/>
    </row>
    <row r="1531" ht="22.5" customHeight="1">
      <c r="C1531" s="193"/>
      <c r="G1531" s="193"/>
      <c r="H1531" s="194"/>
      <c r="I1531" s="194"/>
      <c r="J1531" s="194"/>
      <c r="L1531" s="194"/>
      <c r="M1531" s="194"/>
    </row>
    <row r="1532" ht="22.5" customHeight="1">
      <c r="C1532" s="193"/>
      <c r="G1532" s="193"/>
      <c r="H1532" s="194"/>
      <c r="I1532" s="194"/>
      <c r="J1532" s="194"/>
      <c r="L1532" s="194"/>
      <c r="M1532" s="194"/>
    </row>
    <row r="1533" ht="22.5" customHeight="1">
      <c r="C1533" s="193"/>
      <c r="G1533" s="193"/>
      <c r="H1533" s="194"/>
      <c r="I1533" s="194"/>
      <c r="J1533" s="194"/>
      <c r="L1533" s="194"/>
      <c r="M1533" s="194"/>
    </row>
    <row r="1534" ht="22.5" customHeight="1">
      <c r="C1534" s="193"/>
      <c r="G1534" s="193"/>
      <c r="H1534" s="194"/>
      <c r="I1534" s="194"/>
      <c r="J1534" s="194"/>
      <c r="L1534" s="194"/>
      <c r="M1534" s="194"/>
    </row>
    <row r="1535" ht="22.5" customHeight="1">
      <c r="C1535" s="193"/>
      <c r="G1535" s="193"/>
      <c r="H1535" s="194"/>
      <c r="I1535" s="194"/>
      <c r="J1535" s="194"/>
      <c r="L1535" s="194"/>
      <c r="M1535" s="194"/>
    </row>
    <row r="1536" ht="22.5" customHeight="1">
      <c r="C1536" s="193"/>
      <c r="G1536" s="193"/>
      <c r="H1536" s="194"/>
      <c r="I1536" s="194"/>
      <c r="J1536" s="194"/>
      <c r="L1536" s="194"/>
      <c r="M1536" s="194"/>
    </row>
    <row r="1537" ht="22.5" customHeight="1">
      <c r="C1537" s="193"/>
      <c r="G1537" s="193"/>
      <c r="H1537" s="194"/>
      <c r="I1537" s="194"/>
      <c r="J1537" s="194"/>
      <c r="L1537" s="194"/>
      <c r="M1537" s="194"/>
    </row>
    <row r="1538" ht="22.5" customHeight="1">
      <c r="C1538" s="193"/>
      <c r="G1538" s="193"/>
      <c r="H1538" s="194"/>
      <c r="I1538" s="194"/>
      <c r="J1538" s="194"/>
      <c r="L1538" s="194"/>
      <c r="M1538" s="194"/>
    </row>
    <row r="1539" ht="22.5" customHeight="1">
      <c r="C1539" s="193"/>
      <c r="G1539" s="193"/>
      <c r="H1539" s="194"/>
      <c r="I1539" s="194"/>
      <c r="J1539" s="194"/>
      <c r="L1539" s="194"/>
      <c r="M1539" s="194"/>
    </row>
    <row r="1540" ht="22.5" customHeight="1">
      <c r="C1540" s="193"/>
      <c r="G1540" s="193"/>
      <c r="H1540" s="194"/>
      <c r="I1540" s="194"/>
      <c r="J1540" s="194"/>
      <c r="L1540" s="194"/>
      <c r="M1540" s="194"/>
    </row>
    <row r="1541" ht="22.5" customHeight="1">
      <c r="C1541" s="193"/>
      <c r="G1541" s="193"/>
      <c r="H1541" s="194"/>
      <c r="I1541" s="194"/>
      <c r="J1541" s="194"/>
      <c r="L1541" s="194"/>
      <c r="M1541" s="194"/>
    </row>
    <row r="1542" ht="22.5" customHeight="1">
      <c r="C1542" s="193"/>
      <c r="G1542" s="193"/>
      <c r="H1542" s="194"/>
      <c r="I1542" s="194"/>
      <c r="J1542" s="194"/>
      <c r="L1542" s="194"/>
      <c r="M1542" s="194"/>
    </row>
    <row r="1543" ht="22.5" customHeight="1">
      <c r="C1543" s="193"/>
      <c r="G1543" s="193"/>
      <c r="H1543" s="194"/>
      <c r="I1543" s="194"/>
      <c r="J1543" s="194"/>
      <c r="L1543" s="194"/>
      <c r="M1543" s="194"/>
    </row>
    <row r="1544" ht="22.5" customHeight="1">
      <c r="C1544" s="193"/>
      <c r="G1544" s="193"/>
      <c r="H1544" s="194"/>
      <c r="I1544" s="194"/>
      <c r="J1544" s="194"/>
      <c r="L1544" s="194"/>
      <c r="M1544" s="194"/>
    </row>
    <row r="1545" ht="22.5" customHeight="1">
      <c r="C1545" s="193"/>
      <c r="G1545" s="193"/>
      <c r="H1545" s="194"/>
      <c r="I1545" s="194"/>
      <c r="J1545" s="194"/>
      <c r="L1545" s="194"/>
      <c r="M1545" s="194"/>
    </row>
    <row r="1546" ht="22.5" customHeight="1">
      <c r="C1546" s="193"/>
      <c r="G1546" s="193"/>
      <c r="H1546" s="194"/>
      <c r="I1546" s="194"/>
      <c r="J1546" s="194"/>
      <c r="L1546" s="194"/>
      <c r="M1546" s="194"/>
    </row>
    <row r="1547" ht="22.5" customHeight="1">
      <c r="C1547" s="193"/>
      <c r="G1547" s="193"/>
      <c r="H1547" s="194"/>
      <c r="I1547" s="194"/>
      <c r="J1547" s="194"/>
      <c r="L1547" s="194"/>
      <c r="M1547" s="194"/>
    </row>
    <row r="1548" ht="22.5" customHeight="1">
      <c r="C1548" s="193"/>
      <c r="G1548" s="193"/>
      <c r="H1548" s="194"/>
      <c r="I1548" s="194"/>
      <c r="J1548" s="194"/>
      <c r="L1548" s="194"/>
      <c r="M1548" s="194"/>
    </row>
    <row r="1549" ht="22.5" customHeight="1">
      <c r="C1549" s="193"/>
      <c r="G1549" s="193"/>
      <c r="H1549" s="194"/>
      <c r="I1549" s="194"/>
      <c r="J1549" s="194"/>
      <c r="L1549" s="194"/>
      <c r="M1549" s="194"/>
    </row>
    <row r="1550" ht="22.5" customHeight="1">
      <c r="C1550" s="193"/>
      <c r="G1550" s="193"/>
      <c r="H1550" s="194"/>
      <c r="I1550" s="194"/>
      <c r="J1550" s="194"/>
      <c r="L1550" s="194"/>
      <c r="M1550" s="194"/>
    </row>
    <row r="1551" ht="22.5" customHeight="1">
      <c r="C1551" s="193"/>
      <c r="G1551" s="193"/>
      <c r="H1551" s="194"/>
      <c r="I1551" s="194"/>
      <c r="J1551" s="194"/>
      <c r="L1551" s="194"/>
      <c r="M1551" s="194"/>
    </row>
    <row r="1552" ht="22.5" customHeight="1">
      <c r="C1552" s="193"/>
      <c r="G1552" s="193"/>
      <c r="H1552" s="194"/>
      <c r="I1552" s="194"/>
      <c r="J1552" s="194"/>
      <c r="L1552" s="194"/>
      <c r="M1552" s="194"/>
    </row>
    <row r="1553" ht="22.5" customHeight="1">
      <c r="C1553" s="193"/>
      <c r="G1553" s="193"/>
      <c r="H1553" s="194"/>
      <c r="I1553" s="194"/>
      <c r="J1553" s="194"/>
      <c r="L1553" s="194"/>
      <c r="M1553" s="194"/>
    </row>
    <row r="1554" ht="22.5" customHeight="1">
      <c r="C1554" s="193"/>
      <c r="G1554" s="193"/>
      <c r="H1554" s="194"/>
      <c r="I1554" s="194"/>
      <c r="J1554" s="194"/>
      <c r="L1554" s="194"/>
      <c r="M1554" s="194"/>
    </row>
    <row r="1555" ht="22.5" customHeight="1">
      <c r="C1555" s="193"/>
      <c r="G1555" s="193"/>
      <c r="H1555" s="194"/>
      <c r="I1555" s="194"/>
      <c r="J1555" s="194"/>
      <c r="L1555" s="194"/>
      <c r="M1555" s="194"/>
    </row>
    <row r="1556" ht="22.5" customHeight="1">
      <c r="C1556" s="193"/>
      <c r="G1556" s="193"/>
      <c r="H1556" s="194"/>
      <c r="I1556" s="194"/>
      <c r="J1556" s="194"/>
      <c r="L1556" s="194"/>
      <c r="M1556" s="194"/>
    </row>
    <row r="1557" ht="22.5" customHeight="1">
      <c r="C1557" s="193"/>
      <c r="G1557" s="193"/>
      <c r="H1557" s="194"/>
      <c r="I1557" s="194"/>
      <c r="J1557" s="194"/>
      <c r="L1557" s="194"/>
      <c r="M1557" s="194"/>
    </row>
    <row r="1558" ht="22.5" customHeight="1">
      <c r="C1558" s="193"/>
      <c r="G1558" s="193"/>
      <c r="H1558" s="194"/>
      <c r="I1558" s="194"/>
      <c r="J1558" s="194"/>
      <c r="L1558" s="194"/>
      <c r="M1558" s="194"/>
    </row>
    <row r="1559" ht="22.5" customHeight="1">
      <c r="C1559" s="193"/>
      <c r="G1559" s="193"/>
      <c r="H1559" s="194"/>
      <c r="I1559" s="194"/>
      <c r="J1559" s="194"/>
      <c r="L1559" s="194"/>
      <c r="M1559" s="194"/>
    </row>
    <row r="1560" ht="22.5" customHeight="1">
      <c r="C1560" s="193"/>
      <c r="G1560" s="193"/>
      <c r="H1560" s="194"/>
      <c r="I1560" s="194"/>
      <c r="J1560" s="194"/>
      <c r="L1560" s="194"/>
      <c r="M1560" s="194"/>
    </row>
    <row r="1561" ht="22.5" customHeight="1">
      <c r="C1561" s="193"/>
      <c r="G1561" s="193"/>
      <c r="H1561" s="194"/>
      <c r="I1561" s="194"/>
      <c r="J1561" s="194"/>
      <c r="L1561" s="194"/>
      <c r="M1561" s="194"/>
    </row>
    <row r="1562" ht="22.5" customHeight="1">
      <c r="C1562" s="193"/>
      <c r="G1562" s="193"/>
      <c r="H1562" s="194"/>
      <c r="I1562" s="194"/>
      <c r="J1562" s="194"/>
      <c r="L1562" s="194"/>
      <c r="M1562" s="194"/>
    </row>
    <row r="1563" ht="22.5" customHeight="1">
      <c r="C1563" s="193"/>
      <c r="G1563" s="193"/>
      <c r="H1563" s="194"/>
      <c r="I1563" s="194"/>
      <c r="J1563" s="194"/>
      <c r="L1563" s="194"/>
      <c r="M1563" s="194"/>
    </row>
    <row r="1564" ht="22.5" customHeight="1">
      <c r="C1564" s="193"/>
      <c r="G1564" s="193"/>
      <c r="H1564" s="194"/>
      <c r="I1564" s="194"/>
      <c r="J1564" s="194"/>
      <c r="L1564" s="194"/>
      <c r="M1564" s="194"/>
    </row>
    <row r="1565" ht="22.5" customHeight="1">
      <c r="C1565" s="193"/>
      <c r="G1565" s="193"/>
      <c r="H1565" s="194"/>
      <c r="I1565" s="194"/>
      <c r="J1565" s="194"/>
      <c r="L1565" s="194"/>
      <c r="M1565" s="194"/>
    </row>
    <row r="1566" ht="22.5" customHeight="1">
      <c r="C1566" s="193"/>
      <c r="G1566" s="193"/>
      <c r="H1566" s="194"/>
      <c r="I1566" s="194"/>
      <c r="J1566" s="194"/>
      <c r="L1566" s="194"/>
      <c r="M1566" s="194"/>
    </row>
    <row r="1567" ht="22.5" customHeight="1">
      <c r="C1567" s="193"/>
      <c r="G1567" s="193"/>
      <c r="H1567" s="194"/>
      <c r="I1567" s="194"/>
      <c r="J1567" s="194"/>
      <c r="L1567" s="194"/>
      <c r="M1567" s="194"/>
    </row>
    <row r="1568" ht="22.5" customHeight="1">
      <c r="C1568" s="193"/>
      <c r="G1568" s="193"/>
      <c r="H1568" s="194"/>
      <c r="I1568" s="194"/>
      <c r="J1568" s="194"/>
      <c r="L1568" s="194"/>
      <c r="M1568" s="194"/>
    </row>
    <row r="1569" ht="22.5" customHeight="1">
      <c r="C1569" s="193"/>
      <c r="G1569" s="193"/>
      <c r="H1569" s="194"/>
      <c r="I1569" s="194"/>
      <c r="J1569" s="194"/>
      <c r="L1569" s="194"/>
      <c r="M1569" s="194"/>
    </row>
    <row r="1570" ht="22.5" customHeight="1">
      <c r="C1570" s="193"/>
      <c r="G1570" s="193"/>
      <c r="H1570" s="194"/>
      <c r="I1570" s="194"/>
      <c r="J1570" s="194"/>
      <c r="L1570" s="194"/>
      <c r="M1570" s="194"/>
    </row>
    <row r="1571" ht="22.5" customHeight="1">
      <c r="C1571" s="193"/>
      <c r="G1571" s="193"/>
      <c r="H1571" s="194"/>
      <c r="I1571" s="194"/>
      <c r="J1571" s="194"/>
      <c r="L1571" s="194"/>
      <c r="M1571" s="194"/>
    </row>
    <row r="1572" ht="22.5" customHeight="1">
      <c r="C1572" s="193"/>
      <c r="G1572" s="193"/>
      <c r="H1572" s="194"/>
      <c r="I1572" s="194"/>
      <c r="J1572" s="194"/>
      <c r="L1572" s="194"/>
      <c r="M1572" s="194"/>
    </row>
    <row r="1573" ht="22.5" customHeight="1">
      <c r="C1573" s="193"/>
      <c r="G1573" s="193"/>
      <c r="H1573" s="194"/>
      <c r="I1573" s="194"/>
      <c r="J1573" s="194"/>
      <c r="L1573" s="194"/>
      <c r="M1573" s="194"/>
    </row>
    <row r="1574" ht="22.5" customHeight="1">
      <c r="C1574" s="193"/>
      <c r="G1574" s="193"/>
      <c r="H1574" s="194"/>
      <c r="I1574" s="194"/>
      <c r="J1574" s="194"/>
      <c r="L1574" s="194"/>
      <c r="M1574" s="194"/>
    </row>
    <row r="1575" ht="22.5" customHeight="1">
      <c r="C1575" s="193"/>
      <c r="G1575" s="193"/>
      <c r="H1575" s="194"/>
      <c r="I1575" s="194"/>
      <c r="J1575" s="194"/>
      <c r="L1575" s="194"/>
      <c r="M1575" s="194"/>
    </row>
    <row r="1576" ht="22.5" customHeight="1">
      <c r="C1576" s="193"/>
      <c r="G1576" s="193"/>
      <c r="H1576" s="194"/>
      <c r="I1576" s="194"/>
      <c r="J1576" s="194"/>
      <c r="L1576" s="194"/>
      <c r="M1576" s="194"/>
    </row>
    <row r="1577" ht="22.5" customHeight="1">
      <c r="C1577" s="193"/>
      <c r="G1577" s="193"/>
      <c r="H1577" s="194"/>
      <c r="I1577" s="194"/>
      <c r="J1577" s="194"/>
      <c r="L1577" s="194"/>
      <c r="M1577" s="194"/>
    </row>
    <row r="1578" ht="22.5" customHeight="1">
      <c r="C1578" s="193"/>
      <c r="G1578" s="193"/>
      <c r="H1578" s="194"/>
      <c r="I1578" s="194"/>
      <c r="J1578" s="194"/>
      <c r="L1578" s="194"/>
      <c r="M1578" s="194"/>
    </row>
    <row r="1579" ht="22.5" customHeight="1">
      <c r="C1579" s="193"/>
      <c r="G1579" s="193"/>
      <c r="H1579" s="194"/>
      <c r="I1579" s="194"/>
      <c r="J1579" s="194"/>
      <c r="L1579" s="194"/>
      <c r="M1579" s="194"/>
    </row>
    <row r="1580" ht="22.5" customHeight="1">
      <c r="C1580" s="193"/>
      <c r="G1580" s="193"/>
      <c r="H1580" s="194"/>
      <c r="I1580" s="194"/>
      <c r="J1580" s="194"/>
      <c r="L1580" s="194"/>
      <c r="M1580" s="194"/>
    </row>
    <row r="1581" ht="22.5" customHeight="1">
      <c r="C1581" s="193"/>
      <c r="G1581" s="193"/>
      <c r="H1581" s="194"/>
      <c r="I1581" s="194"/>
      <c r="J1581" s="194"/>
      <c r="L1581" s="194"/>
      <c r="M1581" s="194"/>
    </row>
    <row r="1582" ht="22.5" customHeight="1">
      <c r="C1582" s="193"/>
      <c r="G1582" s="193"/>
      <c r="H1582" s="194"/>
      <c r="I1582" s="194"/>
      <c r="J1582" s="194"/>
      <c r="L1582" s="194"/>
      <c r="M1582" s="194"/>
    </row>
    <row r="1583" ht="22.5" customHeight="1">
      <c r="C1583" s="193"/>
      <c r="G1583" s="193"/>
      <c r="H1583" s="194"/>
      <c r="I1583" s="194"/>
      <c r="J1583" s="194"/>
      <c r="L1583" s="194"/>
      <c r="M1583" s="194"/>
    </row>
    <row r="1584" ht="22.5" customHeight="1">
      <c r="C1584" s="193"/>
      <c r="G1584" s="193"/>
      <c r="H1584" s="194"/>
      <c r="I1584" s="194"/>
      <c r="J1584" s="194"/>
      <c r="L1584" s="194"/>
      <c r="M1584" s="194"/>
    </row>
    <row r="1585" ht="22.5" customHeight="1">
      <c r="C1585" s="193"/>
      <c r="G1585" s="193"/>
      <c r="H1585" s="194"/>
      <c r="I1585" s="194"/>
      <c r="J1585" s="194"/>
      <c r="L1585" s="194"/>
      <c r="M1585" s="194"/>
    </row>
    <row r="1586" ht="22.5" customHeight="1">
      <c r="C1586" s="193"/>
      <c r="G1586" s="193"/>
      <c r="H1586" s="194"/>
      <c r="I1586" s="194"/>
      <c r="J1586" s="194"/>
      <c r="L1586" s="194"/>
      <c r="M1586" s="194"/>
    </row>
    <row r="1587" ht="22.5" customHeight="1">
      <c r="C1587" s="193"/>
      <c r="G1587" s="193"/>
      <c r="H1587" s="194"/>
      <c r="I1587" s="194"/>
      <c r="J1587" s="194"/>
      <c r="L1587" s="194"/>
      <c r="M1587" s="194"/>
    </row>
    <row r="1588" ht="22.5" customHeight="1">
      <c r="C1588" s="193"/>
      <c r="G1588" s="193"/>
      <c r="H1588" s="194"/>
      <c r="I1588" s="194"/>
      <c r="J1588" s="194"/>
      <c r="L1588" s="194"/>
      <c r="M1588" s="194"/>
    </row>
    <row r="1589" ht="22.5" customHeight="1">
      <c r="C1589" s="193"/>
      <c r="G1589" s="193"/>
      <c r="H1589" s="194"/>
      <c r="I1589" s="194"/>
      <c r="J1589" s="194"/>
      <c r="L1589" s="194"/>
      <c r="M1589" s="194"/>
    </row>
    <row r="1590" ht="22.5" customHeight="1">
      <c r="C1590" s="193"/>
      <c r="G1590" s="193"/>
      <c r="H1590" s="194"/>
      <c r="I1590" s="194"/>
      <c r="J1590" s="194"/>
      <c r="L1590" s="194"/>
      <c r="M1590" s="194"/>
    </row>
    <row r="1591" ht="22.5" customHeight="1">
      <c r="C1591" s="193"/>
      <c r="G1591" s="193"/>
      <c r="H1591" s="194"/>
      <c r="I1591" s="194"/>
      <c r="J1591" s="194"/>
      <c r="L1591" s="194"/>
      <c r="M1591" s="194"/>
    </row>
    <row r="1592" ht="22.5" customHeight="1">
      <c r="C1592" s="193"/>
      <c r="G1592" s="193"/>
      <c r="H1592" s="194"/>
      <c r="I1592" s="194"/>
      <c r="J1592" s="194"/>
      <c r="L1592" s="194"/>
      <c r="M1592" s="194"/>
    </row>
    <row r="1593" ht="22.5" customHeight="1">
      <c r="C1593" s="193"/>
      <c r="G1593" s="193"/>
      <c r="H1593" s="194"/>
      <c r="I1593" s="194"/>
      <c r="J1593" s="194"/>
      <c r="L1593" s="194"/>
      <c r="M1593" s="194"/>
    </row>
    <row r="1594" ht="22.5" customHeight="1">
      <c r="C1594" s="193"/>
      <c r="G1594" s="193"/>
      <c r="H1594" s="194"/>
      <c r="I1594" s="194"/>
      <c r="J1594" s="194"/>
      <c r="L1594" s="194"/>
      <c r="M1594" s="194"/>
    </row>
    <row r="1595" ht="22.5" customHeight="1">
      <c r="C1595" s="193"/>
      <c r="G1595" s="193"/>
      <c r="H1595" s="194"/>
      <c r="I1595" s="194"/>
      <c r="J1595" s="194"/>
      <c r="L1595" s="194"/>
      <c r="M1595" s="194"/>
    </row>
    <row r="1596" ht="22.5" customHeight="1">
      <c r="C1596" s="193"/>
      <c r="G1596" s="193"/>
      <c r="H1596" s="194"/>
      <c r="I1596" s="194"/>
      <c r="J1596" s="194"/>
      <c r="L1596" s="194"/>
      <c r="M1596" s="194"/>
    </row>
    <row r="1597" ht="22.5" customHeight="1">
      <c r="C1597" s="193"/>
      <c r="G1597" s="193"/>
      <c r="H1597" s="194"/>
      <c r="I1597" s="194"/>
      <c r="J1597" s="194"/>
      <c r="L1597" s="194"/>
      <c r="M1597" s="194"/>
    </row>
    <row r="1598" ht="22.5" customHeight="1">
      <c r="C1598" s="193"/>
      <c r="G1598" s="193"/>
      <c r="H1598" s="194"/>
      <c r="I1598" s="194"/>
      <c r="J1598" s="194"/>
      <c r="L1598" s="194"/>
      <c r="M1598" s="194"/>
    </row>
    <row r="1599" ht="22.5" customHeight="1">
      <c r="C1599" s="193"/>
      <c r="G1599" s="193"/>
      <c r="H1599" s="194"/>
      <c r="I1599" s="194"/>
      <c r="J1599" s="194"/>
      <c r="L1599" s="194"/>
      <c r="M1599" s="194"/>
    </row>
    <row r="1600" ht="22.5" customHeight="1">
      <c r="C1600" s="193"/>
      <c r="G1600" s="193"/>
      <c r="H1600" s="194"/>
      <c r="I1600" s="194"/>
      <c r="J1600" s="194"/>
      <c r="L1600" s="194"/>
      <c r="M1600" s="194"/>
    </row>
    <row r="1601" ht="22.5" customHeight="1">
      <c r="C1601" s="193"/>
      <c r="G1601" s="193"/>
      <c r="H1601" s="194"/>
      <c r="I1601" s="194"/>
      <c r="J1601" s="194"/>
      <c r="L1601" s="194"/>
      <c r="M1601" s="194"/>
    </row>
    <row r="1602" ht="22.5" customHeight="1">
      <c r="C1602" s="193"/>
      <c r="G1602" s="193"/>
      <c r="H1602" s="194"/>
      <c r="I1602" s="194"/>
      <c r="J1602" s="194"/>
      <c r="L1602" s="194"/>
      <c r="M1602" s="194"/>
    </row>
    <row r="1603" ht="22.5" customHeight="1">
      <c r="C1603" s="193"/>
      <c r="G1603" s="193"/>
      <c r="H1603" s="194"/>
      <c r="I1603" s="194"/>
      <c r="J1603" s="194"/>
      <c r="L1603" s="194"/>
      <c r="M1603" s="194"/>
    </row>
    <row r="1604" ht="22.5" customHeight="1">
      <c r="C1604" s="193"/>
      <c r="G1604" s="193"/>
      <c r="H1604" s="194"/>
      <c r="I1604" s="194"/>
      <c r="J1604" s="194"/>
      <c r="L1604" s="194"/>
      <c r="M1604" s="194"/>
    </row>
    <row r="1605" ht="22.5" customHeight="1">
      <c r="C1605" s="193"/>
      <c r="G1605" s="193"/>
      <c r="H1605" s="194"/>
      <c r="I1605" s="194"/>
      <c r="J1605" s="194"/>
      <c r="L1605" s="194"/>
      <c r="M1605" s="194"/>
    </row>
    <row r="1606" ht="22.5" customHeight="1">
      <c r="C1606" s="193"/>
      <c r="G1606" s="193"/>
      <c r="H1606" s="194"/>
      <c r="I1606" s="194"/>
      <c r="J1606" s="194"/>
      <c r="L1606" s="194"/>
      <c r="M1606" s="194"/>
    </row>
    <row r="1607" ht="22.5" customHeight="1">
      <c r="C1607" s="193"/>
      <c r="G1607" s="193"/>
      <c r="H1607" s="194"/>
      <c r="I1607" s="194"/>
      <c r="J1607" s="194"/>
      <c r="L1607" s="194"/>
      <c r="M1607" s="194"/>
    </row>
    <row r="1608" ht="22.5" customHeight="1">
      <c r="C1608" s="193"/>
      <c r="G1608" s="193"/>
      <c r="H1608" s="194"/>
      <c r="I1608" s="194"/>
      <c r="J1608" s="194"/>
      <c r="L1608" s="194"/>
      <c r="M1608" s="194"/>
    </row>
    <row r="1609" ht="22.5" customHeight="1">
      <c r="C1609" s="193"/>
      <c r="G1609" s="193"/>
      <c r="H1609" s="194"/>
      <c r="I1609" s="194"/>
      <c r="J1609" s="194"/>
      <c r="L1609" s="194"/>
      <c r="M1609" s="194"/>
    </row>
    <row r="1610" ht="22.5" customHeight="1">
      <c r="C1610" s="193"/>
      <c r="G1610" s="193"/>
      <c r="H1610" s="194"/>
      <c r="I1610" s="194"/>
      <c r="J1610" s="194"/>
      <c r="L1610" s="194"/>
      <c r="M1610" s="194"/>
    </row>
    <row r="1611" ht="22.5" customHeight="1">
      <c r="C1611" s="193"/>
      <c r="G1611" s="193"/>
      <c r="H1611" s="194"/>
      <c r="I1611" s="194"/>
      <c r="J1611" s="194"/>
      <c r="L1611" s="194"/>
      <c r="M1611" s="194"/>
    </row>
    <row r="1612" ht="22.5" customHeight="1">
      <c r="C1612" s="193"/>
      <c r="G1612" s="193"/>
      <c r="H1612" s="194"/>
      <c r="I1612" s="194"/>
      <c r="J1612" s="194"/>
      <c r="L1612" s="194"/>
      <c r="M1612" s="194"/>
    </row>
    <row r="1613" ht="22.5" customHeight="1">
      <c r="C1613" s="193"/>
      <c r="G1613" s="193"/>
      <c r="H1613" s="194"/>
      <c r="I1613" s="194"/>
      <c r="J1613" s="194"/>
      <c r="L1613" s="194"/>
      <c r="M1613" s="194"/>
    </row>
    <row r="1614" ht="22.5" customHeight="1">
      <c r="C1614" s="193"/>
      <c r="G1614" s="193"/>
      <c r="H1614" s="194"/>
      <c r="I1614" s="194"/>
      <c r="J1614" s="194"/>
      <c r="L1614" s="194"/>
      <c r="M1614" s="194"/>
    </row>
    <row r="1615" ht="22.5" customHeight="1">
      <c r="C1615" s="193"/>
      <c r="G1615" s="193"/>
      <c r="H1615" s="194"/>
      <c r="I1615" s="194"/>
      <c r="J1615" s="194"/>
      <c r="L1615" s="194"/>
      <c r="M1615" s="194"/>
    </row>
    <row r="1616" ht="22.5" customHeight="1">
      <c r="C1616" s="193"/>
      <c r="G1616" s="193"/>
      <c r="H1616" s="194"/>
      <c r="I1616" s="194"/>
      <c r="J1616" s="194"/>
      <c r="L1616" s="194"/>
      <c r="M1616" s="194"/>
    </row>
    <row r="1617" ht="22.5" customHeight="1">
      <c r="C1617" s="193"/>
      <c r="G1617" s="193"/>
      <c r="H1617" s="194"/>
      <c r="I1617" s="194"/>
      <c r="J1617" s="194"/>
      <c r="L1617" s="194"/>
      <c r="M1617" s="194"/>
    </row>
    <row r="1618" ht="22.5" customHeight="1">
      <c r="C1618" s="193"/>
      <c r="G1618" s="193"/>
      <c r="H1618" s="194"/>
      <c r="I1618" s="194"/>
      <c r="J1618" s="194"/>
      <c r="L1618" s="194"/>
      <c r="M1618" s="194"/>
    </row>
    <row r="1619" ht="22.5" customHeight="1">
      <c r="C1619" s="193"/>
      <c r="G1619" s="193"/>
      <c r="H1619" s="194"/>
      <c r="I1619" s="194"/>
      <c r="J1619" s="194"/>
      <c r="L1619" s="194"/>
      <c r="M1619" s="194"/>
    </row>
    <row r="1620" ht="22.5" customHeight="1">
      <c r="C1620" s="193"/>
      <c r="G1620" s="193"/>
      <c r="H1620" s="194"/>
      <c r="I1620" s="194"/>
      <c r="J1620" s="194"/>
      <c r="L1620" s="194"/>
      <c r="M1620" s="194"/>
    </row>
    <row r="1621" ht="22.5" customHeight="1">
      <c r="C1621" s="193"/>
      <c r="G1621" s="193"/>
      <c r="H1621" s="194"/>
      <c r="I1621" s="194"/>
      <c r="J1621" s="194"/>
      <c r="L1621" s="194"/>
      <c r="M1621" s="194"/>
    </row>
    <row r="1622" ht="22.5" customHeight="1">
      <c r="C1622" s="193"/>
      <c r="G1622" s="193"/>
      <c r="H1622" s="194"/>
      <c r="I1622" s="194"/>
      <c r="J1622" s="194"/>
      <c r="L1622" s="194"/>
      <c r="M1622" s="194"/>
    </row>
    <row r="1623" ht="22.5" customHeight="1">
      <c r="C1623" s="193"/>
      <c r="G1623" s="193"/>
      <c r="H1623" s="194"/>
      <c r="I1623" s="194"/>
      <c r="J1623" s="194"/>
      <c r="L1623" s="194"/>
      <c r="M1623" s="194"/>
    </row>
    <row r="1624" ht="22.5" customHeight="1">
      <c r="C1624" s="193"/>
      <c r="G1624" s="193"/>
      <c r="H1624" s="194"/>
      <c r="I1624" s="194"/>
      <c r="J1624" s="194"/>
      <c r="L1624" s="194"/>
      <c r="M1624" s="194"/>
    </row>
    <row r="1625" ht="22.5" customHeight="1">
      <c r="C1625" s="193"/>
      <c r="G1625" s="193"/>
      <c r="H1625" s="194"/>
      <c r="I1625" s="194"/>
      <c r="J1625" s="194"/>
      <c r="L1625" s="194"/>
      <c r="M1625" s="194"/>
    </row>
    <row r="1626" ht="22.5" customHeight="1">
      <c r="C1626" s="193"/>
      <c r="G1626" s="193"/>
      <c r="H1626" s="194"/>
      <c r="I1626" s="194"/>
      <c r="J1626" s="194"/>
      <c r="L1626" s="194"/>
      <c r="M1626" s="194"/>
    </row>
    <row r="1627" ht="22.5" customHeight="1">
      <c r="C1627" s="193"/>
      <c r="G1627" s="193"/>
      <c r="H1627" s="194"/>
      <c r="I1627" s="194"/>
      <c r="J1627" s="194"/>
      <c r="L1627" s="194"/>
      <c r="M1627" s="194"/>
    </row>
    <row r="1628" ht="22.5" customHeight="1">
      <c r="C1628" s="193"/>
      <c r="G1628" s="193"/>
      <c r="H1628" s="194"/>
      <c r="I1628" s="194"/>
      <c r="J1628" s="194"/>
      <c r="L1628" s="194"/>
      <c r="M1628" s="194"/>
    </row>
    <row r="1629" ht="22.5" customHeight="1">
      <c r="C1629" s="193"/>
      <c r="G1629" s="193"/>
      <c r="H1629" s="194"/>
      <c r="I1629" s="194"/>
      <c r="J1629" s="194"/>
      <c r="L1629" s="194"/>
      <c r="M1629" s="194"/>
    </row>
    <row r="1630" ht="22.5" customHeight="1">
      <c r="C1630" s="193"/>
      <c r="G1630" s="193"/>
      <c r="H1630" s="194"/>
      <c r="I1630" s="194"/>
      <c r="J1630" s="194"/>
      <c r="L1630" s="194"/>
      <c r="M1630" s="194"/>
    </row>
    <row r="1631" ht="22.5" customHeight="1">
      <c r="C1631" s="193"/>
      <c r="G1631" s="193"/>
      <c r="H1631" s="194"/>
      <c r="I1631" s="194"/>
      <c r="J1631" s="194"/>
      <c r="L1631" s="194"/>
      <c r="M1631" s="194"/>
    </row>
    <row r="1632" ht="22.5" customHeight="1">
      <c r="C1632" s="193"/>
      <c r="G1632" s="193"/>
      <c r="H1632" s="194"/>
      <c r="I1632" s="194"/>
      <c r="J1632" s="194"/>
      <c r="L1632" s="194"/>
      <c r="M1632" s="194"/>
    </row>
    <row r="1633" ht="22.5" customHeight="1">
      <c r="C1633" s="193"/>
      <c r="G1633" s="193"/>
      <c r="H1633" s="194"/>
      <c r="I1633" s="194"/>
      <c r="J1633" s="194"/>
      <c r="L1633" s="194"/>
      <c r="M1633" s="194"/>
    </row>
    <row r="1634" ht="22.5" customHeight="1">
      <c r="C1634" s="193"/>
      <c r="G1634" s="193"/>
      <c r="H1634" s="194"/>
      <c r="I1634" s="194"/>
      <c r="J1634" s="194"/>
      <c r="L1634" s="194"/>
      <c r="M1634" s="194"/>
    </row>
    <row r="1635" ht="22.5" customHeight="1">
      <c r="C1635" s="193"/>
      <c r="G1635" s="193"/>
      <c r="H1635" s="194"/>
      <c r="I1635" s="194"/>
      <c r="J1635" s="194"/>
      <c r="L1635" s="194"/>
      <c r="M1635" s="194"/>
    </row>
    <row r="1636" ht="22.5" customHeight="1">
      <c r="C1636" s="193"/>
      <c r="G1636" s="193"/>
      <c r="H1636" s="194"/>
      <c r="I1636" s="194"/>
      <c r="J1636" s="194"/>
      <c r="L1636" s="194"/>
      <c r="M1636" s="194"/>
    </row>
    <row r="1637" ht="22.5" customHeight="1">
      <c r="C1637" s="193"/>
      <c r="G1637" s="193"/>
      <c r="H1637" s="194"/>
      <c r="I1637" s="194"/>
      <c r="J1637" s="194"/>
      <c r="L1637" s="194"/>
      <c r="M1637" s="194"/>
    </row>
    <row r="1638" ht="22.5" customHeight="1">
      <c r="C1638" s="193"/>
      <c r="G1638" s="193"/>
      <c r="H1638" s="194"/>
      <c r="I1638" s="194"/>
      <c r="J1638" s="194"/>
      <c r="L1638" s="194"/>
      <c r="M1638" s="194"/>
    </row>
    <row r="1639" ht="22.5" customHeight="1">
      <c r="C1639" s="193"/>
      <c r="G1639" s="193"/>
      <c r="H1639" s="194"/>
      <c r="I1639" s="194"/>
      <c r="J1639" s="194"/>
      <c r="L1639" s="194"/>
      <c r="M1639" s="194"/>
    </row>
    <row r="1640" ht="22.5" customHeight="1">
      <c r="C1640" s="193"/>
      <c r="G1640" s="193"/>
      <c r="H1640" s="194"/>
      <c r="I1640" s="194"/>
      <c r="J1640" s="194"/>
      <c r="L1640" s="194"/>
      <c r="M1640" s="194"/>
    </row>
    <row r="1641" ht="22.5" customHeight="1">
      <c r="C1641" s="193"/>
      <c r="G1641" s="193"/>
      <c r="H1641" s="194"/>
      <c r="I1641" s="194"/>
      <c r="J1641" s="194"/>
      <c r="L1641" s="194"/>
      <c r="M1641" s="194"/>
    </row>
    <row r="1642" ht="22.5" customHeight="1">
      <c r="C1642" s="193"/>
      <c r="G1642" s="193"/>
      <c r="H1642" s="194"/>
      <c r="I1642" s="194"/>
      <c r="J1642" s="194"/>
      <c r="L1642" s="194"/>
      <c r="M1642" s="194"/>
    </row>
    <row r="1643" ht="22.5" customHeight="1">
      <c r="C1643" s="193"/>
      <c r="G1643" s="193"/>
      <c r="H1643" s="194"/>
      <c r="I1643" s="194"/>
      <c r="J1643" s="194"/>
      <c r="L1643" s="194"/>
      <c r="M1643" s="194"/>
    </row>
    <row r="1644" ht="22.5" customHeight="1">
      <c r="C1644" s="193"/>
      <c r="G1644" s="193"/>
      <c r="H1644" s="194"/>
      <c r="I1644" s="194"/>
      <c r="J1644" s="194"/>
      <c r="L1644" s="194"/>
      <c r="M1644" s="194"/>
    </row>
    <row r="1645" ht="22.5" customHeight="1">
      <c r="C1645" s="193"/>
      <c r="G1645" s="193"/>
      <c r="H1645" s="194"/>
      <c r="I1645" s="194"/>
      <c r="J1645" s="194"/>
      <c r="L1645" s="194"/>
      <c r="M1645" s="194"/>
    </row>
    <row r="1646" ht="22.5" customHeight="1">
      <c r="C1646" s="193"/>
      <c r="G1646" s="193"/>
      <c r="H1646" s="194"/>
      <c r="I1646" s="194"/>
      <c r="J1646" s="194"/>
      <c r="L1646" s="194"/>
      <c r="M1646" s="194"/>
    </row>
    <row r="1647" ht="22.5" customHeight="1">
      <c r="C1647" s="193"/>
      <c r="G1647" s="193"/>
      <c r="H1647" s="194"/>
      <c r="I1647" s="194"/>
      <c r="J1647" s="194"/>
      <c r="L1647" s="194"/>
      <c r="M1647" s="194"/>
    </row>
    <row r="1648" ht="22.5" customHeight="1">
      <c r="C1648" s="193"/>
      <c r="G1648" s="193"/>
      <c r="H1648" s="194"/>
      <c r="I1648" s="194"/>
      <c r="J1648" s="194"/>
      <c r="L1648" s="194"/>
      <c r="M1648" s="194"/>
    </row>
    <row r="1649" ht="22.5" customHeight="1">
      <c r="C1649" s="193"/>
      <c r="G1649" s="193"/>
      <c r="H1649" s="194"/>
      <c r="I1649" s="194"/>
      <c r="J1649" s="194"/>
      <c r="L1649" s="194"/>
      <c r="M1649" s="194"/>
    </row>
    <row r="1650" ht="22.5" customHeight="1">
      <c r="C1650" s="193"/>
      <c r="G1650" s="193"/>
      <c r="H1650" s="194"/>
      <c r="I1650" s="194"/>
      <c r="J1650" s="194"/>
      <c r="L1650" s="194"/>
      <c r="M1650" s="194"/>
    </row>
    <row r="1651" ht="22.5" customHeight="1">
      <c r="C1651" s="193"/>
      <c r="G1651" s="193"/>
      <c r="H1651" s="194"/>
      <c r="I1651" s="194"/>
      <c r="J1651" s="194"/>
      <c r="L1651" s="194"/>
      <c r="M1651" s="194"/>
    </row>
    <row r="1652" ht="22.5" customHeight="1">
      <c r="C1652" s="193"/>
      <c r="G1652" s="193"/>
      <c r="H1652" s="194"/>
      <c r="I1652" s="194"/>
      <c r="J1652" s="194"/>
      <c r="L1652" s="194"/>
      <c r="M1652" s="194"/>
    </row>
    <row r="1653" ht="22.5" customHeight="1">
      <c r="C1653" s="193"/>
      <c r="G1653" s="193"/>
      <c r="H1653" s="194"/>
      <c r="I1653" s="194"/>
      <c r="J1653" s="194"/>
      <c r="L1653" s="194"/>
      <c r="M1653" s="194"/>
    </row>
    <row r="1654" ht="22.5" customHeight="1">
      <c r="C1654" s="193"/>
      <c r="G1654" s="193"/>
      <c r="H1654" s="194"/>
      <c r="I1654" s="194"/>
      <c r="J1654" s="194"/>
      <c r="L1654" s="194"/>
      <c r="M1654" s="194"/>
    </row>
    <row r="1655" ht="22.5" customHeight="1">
      <c r="C1655" s="193"/>
      <c r="G1655" s="193"/>
      <c r="H1655" s="194"/>
      <c r="I1655" s="194"/>
      <c r="J1655" s="194"/>
      <c r="L1655" s="194"/>
      <c r="M1655" s="194"/>
    </row>
    <row r="1656" ht="22.5" customHeight="1">
      <c r="C1656" s="193"/>
      <c r="G1656" s="193"/>
      <c r="H1656" s="194"/>
      <c r="I1656" s="194"/>
      <c r="J1656" s="194"/>
      <c r="L1656" s="194"/>
      <c r="M1656" s="194"/>
    </row>
    <row r="1657" ht="22.5" customHeight="1">
      <c r="C1657" s="193"/>
      <c r="G1657" s="193"/>
      <c r="H1657" s="194"/>
      <c r="I1657" s="194"/>
      <c r="J1657" s="194"/>
      <c r="L1657" s="194"/>
      <c r="M1657" s="194"/>
    </row>
    <row r="1658" ht="22.5" customHeight="1">
      <c r="C1658" s="193"/>
      <c r="G1658" s="193"/>
      <c r="H1658" s="194"/>
      <c r="I1658" s="194"/>
      <c r="J1658" s="194"/>
      <c r="L1658" s="194"/>
      <c r="M1658" s="194"/>
    </row>
    <row r="1659" ht="22.5" customHeight="1">
      <c r="C1659" s="193"/>
      <c r="G1659" s="193"/>
      <c r="H1659" s="194"/>
      <c r="I1659" s="194"/>
      <c r="J1659" s="194"/>
      <c r="L1659" s="194"/>
      <c r="M1659" s="194"/>
    </row>
    <row r="1660" ht="22.5" customHeight="1">
      <c r="C1660" s="193"/>
      <c r="G1660" s="193"/>
      <c r="H1660" s="194"/>
      <c r="I1660" s="194"/>
      <c r="J1660" s="194"/>
      <c r="L1660" s="194"/>
      <c r="M1660" s="194"/>
    </row>
    <row r="1661" ht="22.5" customHeight="1">
      <c r="C1661" s="193"/>
      <c r="G1661" s="193"/>
      <c r="H1661" s="194"/>
      <c r="I1661" s="194"/>
      <c r="J1661" s="194"/>
      <c r="L1661" s="194"/>
      <c r="M1661" s="194"/>
    </row>
    <row r="1662" ht="22.5" customHeight="1">
      <c r="C1662" s="193"/>
      <c r="G1662" s="193"/>
      <c r="H1662" s="194"/>
      <c r="I1662" s="194"/>
      <c r="J1662" s="194"/>
      <c r="L1662" s="194"/>
      <c r="M1662" s="194"/>
    </row>
    <row r="1663" ht="22.5" customHeight="1">
      <c r="C1663" s="193"/>
      <c r="G1663" s="193"/>
      <c r="H1663" s="194"/>
      <c r="I1663" s="194"/>
      <c r="J1663" s="194"/>
      <c r="L1663" s="194"/>
      <c r="M1663" s="194"/>
    </row>
    <row r="1664" ht="22.5" customHeight="1">
      <c r="C1664" s="193"/>
      <c r="G1664" s="193"/>
      <c r="H1664" s="194"/>
      <c r="I1664" s="194"/>
      <c r="J1664" s="194"/>
      <c r="L1664" s="194"/>
      <c r="M1664" s="194"/>
    </row>
    <row r="1665" ht="22.5" customHeight="1">
      <c r="C1665" s="193"/>
      <c r="G1665" s="193"/>
      <c r="H1665" s="194"/>
      <c r="I1665" s="194"/>
      <c r="J1665" s="194"/>
      <c r="L1665" s="194"/>
      <c r="M1665" s="194"/>
    </row>
    <row r="1666" ht="22.5" customHeight="1">
      <c r="C1666" s="193"/>
      <c r="G1666" s="193"/>
      <c r="H1666" s="194"/>
      <c r="I1666" s="194"/>
      <c r="J1666" s="194"/>
      <c r="L1666" s="194"/>
      <c r="M1666" s="194"/>
    </row>
    <row r="1667" ht="22.5" customHeight="1">
      <c r="C1667" s="193"/>
      <c r="G1667" s="193"/>
      <c r="H1667" s="194"/>
      <c r="I1667" s="194"/>
      <c r="J1667" s="194"/>
      <c r="L1667" s="194"/>
      <c r="M1667" s="194"/>
    </row>
    <row r="1668" ht="22.5" customHeight="1">
      <c r="C1668" s="193"/>
      <c r="G1668" s="193"/>
      <c r="H1668" s="194"/>
      <c r="I1668" s="194"/>
      <c r="J1668" s="194"/>
      <c r="L1668" s="194"/>
      <c r="M1668" s="194"/>
    </row>
    <row r="1669" ht="22.5" customHeight="1">
      <c r="C1669" s="193"/>
      <c r="G1669" s="193"/>
      <c r="H1669" s="194"/>
      <c r="I1669" s="194"/>
      <c r="J1669" s="194"/>
      <c r="L1669" s="194"/>
      <c r="M1669" s="194"/>
    </row>
    <row r="1670" ht="22.5" customHeight="1">
      <c r="C1670" s="193"/>
      <c r="G1670" s="193"/>
      <c r="H1670" s="194"/>
      <c r="I1670" s="194"/>
      <c r="J1670" s="194"/>
      <c r="L1670" s="194"/>
      <c r="M1670" s="194"/>
    </row>
    <row r="1671" ht="22.5" customHeight="1">
      <c r="C1671" s="193"/>
      <c r="G1671" s="193"/>
      <c r="H1671" s="194"/>
      <c r="I1671" s="194"/>
      <c r="J1671" s="194"/>
      <c r="L1671" s="194"/>
      <c r="M1671" s="194"/>
    </row>
    <row r="1672" ht="22.5" customHeight="1">
      <c r="C1672" s="193"/>
      <c r="G1672" s="193"/>
      <c r="H1672" s="194"/>
      <c r="I1672" s="194"/>
      <c r="J1672" s="194"/>
      <c r="L1672" s="194"/>
      <c r="M1672" s="194"/>
    </row>
    <row r="1673" ht="22.5" customHeight="1">
      <c r="C1673" s="193"/>
      <c r="G1673" s="193"/>
      <c r="H1673" s="194"/>
      <c r="I1673" s="194"/>
      <c r="J1673" s="194"/>
      <c r="L1673" s="194"/>
      <c r="M1673" s="194"/>
    </row>
    <row r="1674" ht="22.5" customHeight="1">
      <c r="C1674" s="193"/>
      <c r="G1674" s="193"/>
      <c r="H1674" s="194"/>
      <c r="I1674" s="194"/>
      <c r="J1674" s="194"/>
      <c r="L1674" s="194"/>
      <c r="M1674" s="194"/>
    </row>
    <row r="1675" ht="22.5" customHeight="1">
      <c r="C1675" s="193"/>
      <c r="G1675" s="193"/>
      <c r="H1675" s="194"/>
      <c r="I1675" s="194"/>
      <c r="J1675" s="194"/>
      <c r="L1675" s="194"/>
      <c r="M1675" s="194"/>
    </row>
    <row r="1676" ht="22.5" customHeight="1">
      <c r="C1676" s="193"/>
      <c r="G1676" s="193"/>
      <c r="H1676" s="194"/>
      <c r="I1676" s="194"/>
      <c r="J1676" s="194"/>
      <c r="L1676" s="194"/>
      <c r="M1676" s="194"/>
    </row>
    <row r="1677" ht="22.5" customHeight="1">
      <c r="C1677" s="193"/>
      <c r="G1677" s="193"/>
      <c r="H1677" s="194"/>
      <c r="I1677" s="194"/>
      <c r="J1677" s="194"/>
      <c r="L1677" s="194"/>
      <c r="M1677" s="194"/>
    </row>
    <row r="1678" ht="22.5" customHeight="1">
      <c r="C1678" s="193"/>
      <c r="G1678" s="193"/>
      <c r="H1678" s="194"/>
      <c r="I1678" s="194"/>
      <c r="J1678" s="194"/>
      <c r="L1678" s="194"/>
      <c r="M1678" s="194"/>
    </row>
    <row r="1679" ht="22.5" customHeight="1">
      <c r="C1679" s="193"/>
      <c r="G1679" s="193"/>
      <c r="H1679" s="194"/>
      <c r="I1679" s="194"/>
      <c r="J1679" s="194"/>
      <c r="L1679" s="194"/>
      <c r="M1679" s="194"/>
    </row>
    <row r="1680" ht="22.5" customHeight="1">
      <c r="C1680" s="193"/>
      <c r="G1680" s="193"/>
      <c r="H1680" s="194"/>
      <c r="I1680" s="194"/>
      <c r="J1680" s="194"/>
      <c r="L1680" s="194"/>
      <c r="M1680" s="194"/>
    </row>
    <row r="1681" ht="22.5" customHeight="1">
      <c r="C1681" s="193"/>
      <c r="G1681" s="193"/>
      <c r="H1681" s="194"/>
      <c r="I1681" s="194"/>
      <c r="J1681" s="194"/>
      <c r="L1681" s="194"/>
      <c r="M1681" s="194"/>
    </row>
    <row r="1682" ht="22.5" customHeight="1">
      <c r="C1682" s="193"/>
      <c r="G1682" s="193"/>
      <c r="H1682" s="194"/>
      <c r="I1682" s="194"/>
      <c r="J1682" s="194"/>
      <c r="L1682" s="194"/>
      <c r="M1682" s="194"/>
    </row>
    <row r="1683" ht="22.5" customHeight="1">
      <c r="C1683" s="193"/>
      <c r="G1683" s="193"/>
      <c r="H1683" s="194"/>
      <c r="I1683" s="194"/>
      <c r="J1683" s="194"/>
      <c r="L1683" s="194"/>
      <c r="M1683" s="194"/>
    </row>
    <row r="1684" ht="22.5" customHeight="1">
      <c r="C1684" s="193"/>
      <c r="G1684" s="193"/>
      <c r="H1684" s="194"/>
      <c r="I1684" s="194"/>
      <c r="J1684" s="194"/>
      <c r="L1684" s="194"/>
      <c r="M1684" s="194"/>
    </row>
    <row r="1685" ht="22.5" customHeight="1">
      <c r="C1685" s="193"/>
      <c r="G1685" s="193"/>
      <c r="H1685" s="194"/>
      <c r="I1685" s="194"/>
      <c r="J1685" s="194"/>
      <c r="L1685" s="194"/>
      <c r="M1685" s="194"/>
    </row>
    <row r="1686" ht="22.5" customHeight="1">
      <c r="C1686" s="193"/>
      <c r="G1686" s="193"/>
      <c r="H1686" s="194"/>
      <c r="I1686" s="194"/>
      <c r="J1686" s="194"/>
      <c r="L1686" s="194"/>
      <c r="M1686" s="194"/>
    </row>
    <row r="1687" ht="22.5" customHeight="1">
      <c r="C1687" s="193"/>
      <c r="G1687" s="193"/>
      <c r="H1687" s="194"/>
      <c r="I1687" s="194"/>
      <c r="J1687" s="194"/>
      <c r="L1687" s="194"/>
      <c r="M1687" s="194"/>
    </row>
    <row r="1688" ht="22.5" customHeight="1">
      <c r="C1688" s="193"/>
      <c r="G1688" s="193"/>
      <c r="H1688" s="194"/>
      <c r="I1688" s="194"/>
      <c r="J1688" s="194"/>
      <c r="L1688" s="194"/>
      <c r="M1688" s="194"/>
    </row>
    <row r="1689" ht="22.5" customHeight="1">
      <c r="C1689" s="193"/>
      <c r="G1689" s="193"/>
      <c r="H1689" s="194"/>
      <c r="I1689" s="194"/>
      <c r="J1689" s="194"/>
      <c r="L1689" s="194"/>
      <c r="M1689" s="194"/>
    </row>
    <row r="1690" ht="22.5" customHeight="1">
      <c r="C1690" s="193"/>
      <c r="G1690" s="193"/>
      <c r="H1690" s="194"/>
      <c r="I1690" s="194"/>
      <c r="J1690" s="194"/>
      <c r="L1690" s="194"/>
      <c r="M1690" s="194"/>
    </row>
    <row r="1691" ht="22.5" customHeight="1">
      <c r="C1691" s="193"/>
      <c r="G1691" s="193"/>
      <c r="H1691" s="194"/>
      <c r="I1691" s="194"/>
      <c r="J1691" s="194"/>
      <c r="L1691" s="194"/>
      <c r="M1691" s="194"/>
    </row>
    <row r="1692" ht="22.5" customHeight="1">
      <c r="C1692" s="193"/>
      <c r="G1692" s="193"/>
      <c r="H1692" s="194"/>
      <c r="I1692" s="194"/>
      <c r="J1692" s="194"/>
      <c r="L1692" s="194"/>
      <c r="M1692" s="194"/>
    </row>
    <row r="1693" ht="22.5" customHeight="1">
      <c r="C1693" s="193"/>
      <c r="G1693" s="193"/>
      <c r="H1693" s="194"/>
      <c r="I1693" s="194"/>
      <c r="J1693" s="194"/>
      <c r="L1693" s="194"/>
      <c r="M1693" s="194"/>
    </row>
    <row r="1694" ht="22.5" customHeight="1">
      <c r="C1694" s="193"/>
      <c r="G1694" s="193"/>
      <c r="H1694" s="194"/>
      <c r="I1694" s="194"/>
      <c r="J1694" s="194"/>
      <c r="L1694" s="194"/>
      <c r="M1694" s="194"/>
    </row>
    <row r="1695" ht="22.5" customHeight="1">
      <c r="C1695" s="193"/>
      <c r="G1695" s="193"/>
      <c r="H1695" s="194"/>
      <c r="I1695" s="194"/>
      <c r="J1695" s="194"/>
      <c r="L1695" s="194"/>
      <c r="M1695" s="194"/>
    </row>
    <row r="1696" ht="22.5" customHeight="1">
      <c r="C1696" s="193"/>
      <c r="G1696" s="193"/>
      <c r="H1696" s="194"/>
      <c r="I1696" s="194"/>
      <c r="J1696" s="194"/>
      <c r="L1696" s="194"/>
      <c r="M1696" s="194"/>
    </row>
    <row r="1697" ht="22.5" customHeight="1">
      <c r="C1697" s="193"/>
      <c r="G1697" s="193"/>
      <c r="H1697" s="194"/>
      <c r="I1697" s="194"/>
      <c r="J1697" s="194"/>
      <c r="L1697" s="194"/>
      <c r="M1697" s="194"/>
    </row>
    <row r="1698" ht="22.5" customHeight="1">
      <c r="C1698" s="193"/>
      <c r="G1698" s="193"/>
      <c r="H1698" s="194"/>
      <c r="I1698" s="194"/>
      <c r="J1698" s="194"/>
      <c r="L1698" s="194"/>
      <c r="M1698" s="194"/>
    </row>
    <row r="1699" ht="22.5" customHeight="1">
      <c r="C1699" s="193"/>
      <c r="G1699" s="193"/>
      <c r="H1699" s="194"/>
      <c r="I1699" s="194"/>
      <c r="J1699" s="194"/>
      <c r="L1699" s="194"/>
      <c r="M1699" s="194"/>
    </row>
    <row r="1700" ht="22.5" customHeight="1">
      <c r="C1700" s="193"/>
      <c r="G1700" s="193"/>
      <c r="H1700" s="194"/>
      <c r="I1700" s="194"/>
      <c r="J1700" s="194"/>
      <c r="L1700" s="194"/>
      <c r="M1700" s="194"/>
    </row>
    <row r="1701" ht="22.5" customHeight="1">
      <c r="C1701" s="193"/>
      <c r="G1701" s="193"/>
      <c r="H1701" s="194"/>
      <c r="I1701" s="194"/>
      <c r="J1701" s="194"/>
      <c r="L1701" s="194"/>
      <c r="M1701" s="194"/>
    </row>
    <row r="1702" ht="22.5" customHeight="1">
      <c r="C1702" s="193"/>
      <c r="G1702" s="193"/>
      <c r="H1702" s="194"/>
      <c r="I1702" s="194"/>
      <c r="J1702" s="194"/>
      <c r="L1702" s="194"/>
      <c r="M1702" s="194"/>
    </row>
    <row r="1703" ht="22.5" customHeight="1">
      <c r="C1703" s="193"/>
      <c r="G1703" s="193"/>
      <c r="H1703" s="194"/>
      <c r="I1703" s="194"/>
      <c r="J1703" s="194"/>
      <c r="L1703" s="194"/>
      <c r="M1703" s="194"/>
    </row>
    <row r="1704" ht="22.5" customHeight="1">
      <c r="C1704" s="193"/>
      <c r="G1704" s="193"/>
      <c r="H1704" s="194"/>
      <c r="I1704" s="194"/>
      <c r="J1704" s="194"/>
      <c r="L1704" s="194"/>
      <c r="M1704" s="194"/>
    </row>
    <row r="1705" ht="22.5" customHeight="1">
      <c r="C1705" s="193"/>
      <c r="G1705" s="193"/>
      <c r="H1705" s="194"/>
      <c r="I1705" s="194"/>
      <c r="J1705" s="194"/>
      <c r="L1705" s="194"/>
      <c r="M1705" s="194"/>
    </row>
    <row r="1706" ht="22.5" customHeight="1">
      <c r="C1706" s="193"/>
      <c r="G1706" s="193"/>
      <c r="H1706" s="194"/>
      <c r="I1706" s="194"/>
      <c r="J1706" s="194"/>
      <c r="L1706" s="194"/>
      <c r="M1706" s="194"/>
    </row>
    <row r="1707" ht="22.5" customHeight="1">
      <c r="C1707" s="193"/>
      <c r="G1707" s="193"/>
      <c r="H1707" s="194"/>
      <c r="I1707" s="194"/>
      <c r="J1707" s="194"/>
      <c r="L1707" s="194"/>
      <c r="M1707" s="194"/>
    </row>
    <row r="1708" ht="22.5" customHeight="1">
      <c r="C1708" s="193"/>
      <c r="G1708" s="193"/>
      <c r="H1708" s="194"/>
      <c r="I1708" s="194"/>
      <c r="J1708" s="194"/>
      <c r="L1708" s="194"/>
      <c r="M1708" s="194"/>
    </row>
    <row r="1709" ht="22.5" customHeight="1">
      <c r="C1709" s="193"/>
      <c r="G1709" s="193"/>
      <c r="H1709" s="194"/>
      <c r="I1709" s="194"/>
      <c r="J1709" s="194"/>
      <c r="L1709" s="194"/>
      <c r="M1709" s="194"/>
    </row>
    <row r="1710" ht="22.5" customHeight="1">
      <c r="C1710" s="193"/>
      <c r="G1710" s="193"/>
      <c r="H1710" s="194"/>
      <c r="I1710" s="194"/>
      <c r="J1710" s="194"/>
      <c r="L1710" s="194"/>
      <c r="M1710" s="194"/>
    </row>
    <row r="1711" ht="22.5" customHeight="1">
      <c r="C1711" s="193"/>
      <c r="G1711" s="193"/>
      <c r="H1711" s="194"/>
      <c r="I1711" s="194"/>
      <c r="J1711" s="194"/>
      <c r="L1711" s="194"/>
      <c r="M1711" s="194"/>
    </row>
    <row r="1712" ht="22.5" customHeight="1">
      <c r="C1712" s="193"/>
      <c r="G1712" s="193"/>
      <c r="H1712" s="194"/>
      <c r="I1712" s="194"/>
      <c r="J1712" s="194"/>
      <c r="L1712" s="194"/>
      <c r="M1712" s="194"/>
    </row>
    <row r="1713" ht="22.5" customHeight="1">
      <c r="C1713" s="193"/>
      <c r="G1713" s="193"/>
      <c r="H1713" s="194"/>
      <c r="I1713" s="194"/>
      <c r="J1713" s="194"/>
      <c r="L1713" s="194"/>
      <c r="M1713" s="194"/>
    </row>
    <row r="1714" ht="22.5" customHeight="1">
      <c r="C1714" s="193"/>
      <c r="G1714" s="193"/>
      <c r="H1714" s="194"/>
      <c r="I1714" s="194"/>
      <c r="J1714" s="194"/>
      <c r="L1714" s="194"/>
      <c r="M1714" s="194"/>
    </row>
    <row r="1715" ht="22.5" customHeight="1">
      <c r="C1715" s="193"/>
      <c r="G1715" s="193"/>
      <c r="H1715" s="194"/>
      <c r="I1715" s="194"/>
      <c r="J1715" s="194"/>
      <c r="L1715" s="194"/>
      <c r="M1715" s="194"/>
    </row>
    <row r="1716" ht="22.5" customHeight="1">
      <c r="C1716" s="193"/>
      <c r="G1716" s="193"/>
      <c r="H1716" s="194"/>
      <c r="I1716" s="194"/>
      <c r="J1716" s="194"/>
      <c r="L1716" s="194"/>
      <c r="M1716" s="194"/>
    </row>
    <row r="1717" ht="22.5" customHeight="1">
      <c r="C1717" s="193"/>
      <c r="G1717" s="193"/>
      <c r="H1717" s="194"/>
      <c r="I1717" s="194"/>
      <c r="J1717" s="194"/>
      <c r="L1717" s="194"/>
      <c r="M1717" s="194"/>
    </row>
    <row r="1718" ht="22.5" customHeight="1">
      <c r="C1718" s="193"/>
      <c r="G1718" s="193"/>
      <c r="H1718" s="194"/>
      <c r="I1718" s="194"/>
      <c r="J1718" s="194"/>
      <c r="L1718" s="194"/>
      <c r="M1718" s="194"/>
    </row>
    <row r="1719" ht="22.5" customHeight="1">
      <c r="C1719" s="193"/>
      <c r="G1719" s="193"/>
      <c r="H1719" s="194"/>
      <c r="I1719" s="194"/>
      <c r="J1719" s="194"/>
      <c r="L1719" s="194"/>
      <c r="M1719" s="194"/>
    </row>
    <row r="1720" ht="22.5" customHeight="1">
      <c r="C1720" s="193"/>
      <c r="G1720" s="193"/>
      <c r="H1720" s="194"/>
      <c r="I1720" s="194"/>
      <c r="J1720" s="194"/>
      <c r="L1720" s="194"/>
      <c r="M1720" s="194"/>
    </row>
    <row r="1721" ht="22.5" customHeight="1">
      <c r="C1721" s="193"/>
      <c r="G1721" s="193"/>
      <c r="H1721" s="194"/>
      <c r="I1721" s="194"/>
      <c r="J1721" s="194"/>
      <c r="L1721" s="194"/>
      <c r="M1721" s="194"/>
    </row>
    <row r="1722" ht="22.5" customHeight="1">
      <c r="C1722" s="193"/>
      <c r="G1722" s="193"/>
      <c r="H1722" s="194"/>
      <c r="I1722" s="194"/>
      <c r="J1722" s="194"/>
      <c r="L1722" s="194"/>
      <c r="M1722" s="194"/>
    </row>
    <row r="1723" ht="22.5" customHeight="1">
      <c r="C1723" s="193"/>
      <c r="G1723" s="193"/>
      <c r="H1723" s="194"/>
      <c r="I1723" s="194"/>
      <c r="J1723" s="194"/>
      <c r="L1723" s="194"/>
      <c r="M1723" s="194"/>
    </row>
    <row r="1724" ht="22.5" customHeight="1">
      <c r="C1724" s="193"/>
      <c r="G1724" s="193"/>
      <c r="H1724" s="194"/>
      <c r="I1724" s="194"/>
      <c r="J1724" s="194"/>
      <c r="L1724" s="194"/>
      <c r="M1724" s="194"/>
    </row>
    <row r="1725" ht="22.5" customHeight="1">
      <c r="C1725" s="193"/>
      <c r="G1725" s="193"/>
      <c r="H1725" s="194"/>
      <c r="I1725" s="194"/>
      <c r="J1725" s="194"/>
      <c r="L1725" s="194"/>
      <c r="M1725" s="194"/>
    </row>
    <row r="1726" ht="22.5" customHeight="1">
      <c r="C1726" s="193"/>
      <c r="G1726" s="193"/>
      <c r="H1726" s="194"/>
      <c r="I1726" s="194"/>
      <c r="J1726" s="194"/>
      <c r="L1726" s="194"/>
      <c r="M1726" s="194"/>
    </row>
    <row r="1727" ht="22.5" customHeight="1">
      <c r="C1727" s="193"/>
      <c r="G1727" s="193"/>
      <c r="H1727" s="194"/>
      <c r="I1727" s="194"/>
      <c r="J1727" s="194"/>
      <c r="L1727" s="194"/>
      <c r="M1727" s="194"/>
    </row>
    <row r="1728" ht="22.5" customHeight="1">
      <c r="C1728" s="193"/>
      <c r="G1728" s="193"/>
      <c r="H1728" s="194"/>
      <c r="I1728" s="194"/>
      <c r="J1728" s="194"/>
      <c r="L1728" s="194"/>
      <c r="M1728" s="194"/>
    </row>
    <row r="1729" ht="22.5" customHeight="1">
      <c r="C1729" s="193"/>
      <c r="G1729" s="193"/>
      <c r="H1729" s="194"/>
      <c r="I1729" s="194"/>
      <c r="J1729" s="194"/>
      <c r="L1729" s="194"/>
      <c r="M1729" s="194"/>
    </row>
    <row r="1730" ht="22.5" customHeight="1">
      <c r="C1730" s="193"/>
      <c r="G1730" s="193"/>
      <c r="H1730" s="194"/>
      <c r="I1730" s="194"/>
      <c r="J1730" s="194"/>
      <c r="L1730" s="194"/>
      <c r="M1730" s="194"/>
    </row>
    <row r="1731" ht="22.5" customHeight="1">
      <c r="C1731" s="193"/>
      <c r="G1731" s="193"/>
      <c r="H1731" s="194"/>
      <c r="I1731" s="194"/>
      <c r="J1731" s="194"/>
      <c r="L1731" s="194"/>
      <c r="M1731" s="194"/>
    </row>
    <row r="1732" ht="22.5" customHeight="1">
      <c r="C1732" s="193"/>
      <c r="G1732" s="193"/>
      <c r="H1732" s="194"/>
      <c r="I1732" s="194"/>
      <c r="J1732" s="194"/>
      <c r="L1732" s="194"/>
      <c r="M1732" s="194"/>
    </row>
    <row r="1733" ht="22.5" customHeight="1">
      <c r="C1733" s="193"/>
      <c r="G1733" s="193"/>
      <c r="H1733" s="194"/>
      <c r="I1733" s="194"/>
      <c r="J1733" s="194"/>
      <c r="L1733" s="194"/>
      <c r="M1733" s="194"/>
    </row>
    <row r="1734" ht="22.5" customHeight="1">
      <c r="C1734" s="193"/>
      <c r="G1734" s="193"/>
      <c r="H1734" s="194"/>
      <c r="I1734" s="194"/>
      <c r="J1734" s="194"/>
      <c r="L1734" s="194"/>
      <c r="M1734" s="194"/>
    </row>
    <row r="1735" ht="22.5" customHeight="1">
      <c r="C1735" s="193"/>
      <c r="G1735" s="193"/>
      <c r="H1735" s="194"/>
      <c r="I1735" s="194"/>
      <c r="J1735" s="194"/>
      <c r="L1735" s="194"/>
      <c r="M1735" s="194"/>
    </row>
    <row r="1736" ht="22.5" customHeight="1">
      <c r="C1736" s="193"/>
      <c r="G1736" s="193"/>
      <c r="H1736" s="194"/>
      <c r="I1736" s="194"/>
      <c r="J1736" s="194"/>
      <c r="L1736" s="194"/>
      <c r="M1736" s="194"/>
    </row>
    <row r="1737" ht="22.5" customHeight="1">
      <c r="C1737" s="193"/>
      <c r="G1737" s="193"/>
      <c r="H1737" s="194"/>
      <c r="I1737" s="194"/>
      <c r="J1737" s="194"/>
      <c r="L1737" s="194"/>
      <c r="M1737" s="194"/>
    </row>
    <row r="1738" ht="22.5" customHeight="1">
      <c r="C1738" s="193"/>
      <c r="G1738" s="193"/>
      <c r="H1738" s="194"/>
      <c r="I1738" s="194"/>
      <c r="J1738" s="194"/>
      <c r="L1738" s="194"/>
      <c r="M1738" s="194"/>
    </row>
    <row r="1739" ht="22.5" customHeight="1">
      <c r="C1739" s="193"/>
      <c r="G1739" s="193"/>
      <c r="H1739" s="194"/>
      <c r="I1739" s="194"/>
      <c r="J1739" s="194"/>
      <c r="L1739" s="194"/>
      <c r="M1739" s="194"/>
    </row>
    <row r="1740" ht="22.5" customHeight="1">
      <c r="C1740" s="193"/>
      <c r="G1740" s="193"/>
      <c r="H1740" s="194"/>
      <c r="I1740" s="194"/>
      <c r="J1740" s="194"/>
      <c r="L1740" s="194"/>
      <c r="M1740" s="194"/>
    </row>
    <row r="1741" ht="22.5" customHeight="1">
      <c r="C1741" s="193"/>
      <c r="G1741" s="193"/>
      <c r="H1741" s="194"/>
      <c r="I1741" s="194"/>
      <c r="J1741" s="194"/>
      <c r="L1741" s="194"/>
      <c r="M1741" s="194"/>
    </row>
    <row r="1742" ht="22.5" customHeight="1">
      <c r="C1742" s="193"/>
      <c r="G1742" s="193"/>
      <c r="H1742" s="194"/>
      <c r="I1742" s="194"/>
      <c r="J1742" s="194"/>
      <c r="L1742" s="194"/>
      <c r="M1742" s="194"/>
    </row>
    <row r="1743" ht="22.5" customHeight="1">
      <c r="C1743" s="193"/>
      <c r="G1743" s="193"/>
      <c r="H1743" s="194"/>
      <c r="I1743" s="194"/>
      <c r="J1743" s="194"/>
      <c r="L1743" s="194"/>
      <c r="M1743" s="194"/>
    </row>
    <row r="1744" ht="22.5" customHeight="1">
      <c r="C1744" s="193"/>
      <c r="G1744" s="193"/>
      <c r="H1744" s="194"/>
      <c r="I1744" s="194"/>
      <c r="J1744" s="194"/>
      <c r="L1744" s="194"/>
      <c r="M1744" s="194"/>
    </row>
    <row r="1745" ht="22.5" customHeight="1">
      <c r="C1745" s="193"/>
      <c r="G1745" s="193"/>
      <c r="H1745" s="194"/>
      <c r="I1745" s="194"/>
      <c r="J1745" s="194"/>
      <c r="L1745" s="194"/>
      <c r="M1745" s="194"/>
    </row>
    <row r="1746" ht="22.5" customHeight="1">
      <c r="C1746" s="193"/>
      <c r="G1746" s="193"/>
      <c r="H1746" s="194"/>
      <c r="I1746" s="194"/>
      <c r="J1746" s="194"/>
      <c r="L1746" s="194"/>
      <c r="M1746" s="194"/>
    </row>
    <row r="1747" ht="22.5" customHeight="1">
      <c r="C1747" s="193"/>
      <c r="G1747" s="193"/>
      <c r="H1747" s="194"/>
      <c r="I1747" s="194"/>
      <c r="J1747" s="194"/>
      <c r="L1747" s="194"/>
      <c r="M1747" s="194"/>
    </row>
    <row r="1748" ht="22.5" customHeight="1">
      <c r="C1748" s="193"/>
      <c r="G1748" s="193"/>
      <c r="H1748" s="194"/>
      <c r="I1748" s="194"/>
      <c r="J1748" s="194"/>
      <c r="L1748" s="194"/>
      <c r="M1748" s="194"/>
    </row>
    <row r="1749" ht="22.5" customHeight="1">
      <c r="C1749" s="193"/>
      <c r="G1749" s="193"/>
      <c r="H1749" s="194"/>
      <c r="I1749" s="194"/>
      <c r="J1749" s="194"/>
      <c r="L1749" s="194"/>
      <c r="M1749" s="194"/>
    </row>
    <row r="1750" ht="22.5" customHeight="1">
      <c r="C1750" s="193"/>
      <c r="G1750" s="193"/>
      <c r="H1750" s="194"/>
      <c r="I1750" s="194"/>
      <c r="J1750" s="194"/>
      <c r="L1750" s="194"/>
      <c r="M1750" s="194"/>
    </row>
    <row r="1751" ht="22.5" customHeight="1">
      <c r="C1751" s="193"/>
      <c r="G1751" s="193"/>
      <c r="H1751" s="194"/>
      <c r="I1751" s="194"/>
      <c r="J1751" s="194"/>
      <c r="L1751" s="194"/>
      <c r="M1751" s="194"/>
    </row>
    <row r="1752" ht="22.5" customHeight="1">
      <c r="C1752" s="193"/>
      <c r="G1752" s="193"/>
      <c r="H1752" s="194"/>
      <c r="I1752" s="194"/>
      <c r="J1752" s="194"/>
      <c r="L1752" s="194"/>
      <c r="M1752" s="194"/>
    </row>
    <row r="1753" ht="22.5" customHeight="1">
      <c r="C1753" s="193"/>
      <c r="G1753" s="193"/>
      <c r="H1753" s="194"/>
      <c r="I1753" s="194"/>
      <c r="J1753" s="194"/>
      <c r="L1753" s="194"/>
      <c r="M1753" s="194"/>
    </row>
    <row r="1754" ht="22.5" customHeight="1">
      <c r="C1754" s="193"/>
      <c r="G1754" s="193"/>
      <c r="H1754" s="194"/>
      <c r="I1754" s="194"/>
      <c r="J1754" s="194"/>
      <c r="L1754" s="194"/>
      <c r="M1754" s="194"/>
    </row>
    <row r="1755" ht="22.5" customHeight="1">
      <c r="C1755" s="193"/>
      <c r="G1755" s="193"/>
      <c r="H1755" s="194"/>
      <c r="I1755" s="194"/>
      <c r="J1755" s="194"/>
      <c r="L1755" s="194"/>
      <c r="M1755" s="194"/>
    </row>
    <row r="1756" ht="22.5" customHeight="1">
      <c r="C1756" s="193"/>
      <c r="G1756" s="193"/>
      <c r="H1756" s="194"/>
      <c r="I1756" s="194"/>
      <c r="J1756" s="194"/>
      <c r="L1756" s="194"/>
      <c r="M1756" s="194"/>
    </row>
    <row r="1757" ht="22.5" customHeight="1">
      <c r="C1757" s="193"/>
      <c r="G1757" s="193"/>
      <c r="H1757" s="194"/>
      <c r="I1757" s="194"/>
      <c r="J1757" s="194"/>
      <c r="L1757" s="194"/>
      <c r="M1757" s="194"/>
    </row>
    <row r="1758" ht="22.5" customHeight="1">
      <c r="C1758" s="193"/>
      <c r="G1758" s="193"/>
      <c r="H1758" s="194"/>
      <c r="I1758" s="194"/>
      <c r="J1758" s="194"/>
      <c r="L1758" s="194"/>
      <c r="M1758" s="194"/>
    </row>
    <row r="1759" ht="22.5" customHeight="1">
      <c r="C1759" s="193"/>
      <c r="G1759" s="193"/>
      <c r="H1759" s="194"/>
      <c r="I1759" s="194"/>
      <c r="J1759" s="194"/>
      <c r="L1759" s="194"/>
      <c r="M1759" s="194"/>
    </row>
    <row r="1760" ht="22.5" customHeight="1">
      <c r="C1760" s="193"/>
      <c r="G1760" s="193"/>
      <c r="H1760" s="194"/>
      <c r="I1760" s="194"/>
      <c r="J1760" s="194"/>
      <c r="L1760" s="194"/>
      <c r="M1760" s="194"/>
    </row>
    <row r="1761" ht="22.5" customHeight="1">
      <c r="C1761" s="193"/>
      <c r="G1761" s="193"/>
      <c r="H1761" s="194"/>
      <c r="I1761" s="194"/>
      <c r="J1761" s="194"/>
      <c r="L1761" s="194"/>
      <c r="M1761" s="194"/>
    </row>
    <row r="1762" ht="22.5" customHeight="1">
      <c r="C1762" s="193"/>
      <c r="G1762" s="193"/>
      <c r="H1762" s="194"/>
      <c r="I1762" s="194"/>
      <c r="J1762" s="194"/>
      <c r="L1762" s="194"/>
      <c r="M1762" s="194"/>
    </row>
    <row r="1763" ht="22.5" customHeight="1">
      <c r="C1763" s="193"/>
      <c r="G1763" s="193"/>
      <c r="H1763" s="194"/>
      <c r="I1763" s="194"/>
      <c r="J1763" s="194"/>
      <c r="L1763" s="194"/>
      <c r="M1763" s="194"/>
    </row>
    <row r="1764" ht="22.5" customHeight="1">
      <c r="C1764" s="193"/>
      <c r="G1764" s="193"/>
      <c r="H1764" s="194"/>
      <c r="I1764" s="194"/>
      <c r="J1764" s="194"/>
      <c r="L1764" s="194"/>
      <c r="M1764" s="194"/>
    </row>
    <row r="1765" ht="22.5" customHeight="1">
      <c r="C1765" s="193"/>
      <c r="G1765" s="193"/>
      <c r="H1765" s="194"/>
      <c r="I1765" s="194"/>
      <c r="J1765" s="194"/>
      <c r="L1765" s="194"/>
      <c r="M1765" s="194"/>
    </row>
    <row r="1766" ht="22.5" customHeight="1">
      <c r="C1766" s="193"/>
      <c r="G1766" s="193"/>
      <c r="H1766" s="194"/>
      <c r="I1766" s="194"/>
      <c r="J1766" s="194"/>
      <c r="L1766" s="194"/>
      <c r="M1766" s="194"/>
    </row>
    <row r="1767" ht="22.5" customHeight="1">
      <c r="C1767" s="193"/>
      <c r="G1767" s="193"/>
      <c r="H1767" s="194"/>
      <c r="I1767" s="194"/>
      <c r="J1767" s="194"/>
      <c r="L1767" s="194"/>
      <c r="M1767" s="194"/>
    </row>
    <row r="1768" ht="22.5" customHeight="1">
      <c r="C1768" s="193"/>
      <c r="G1768" s="193"/>
      <c r="H1768" s="194"/>
      <c r="I1768" s="194"/>
      <c r="J1768" s="194"/>
      <c r="L1768" s="194"/>
      <c r="M1768" s="194"/>
    </row>
    <row r="1769" ht="22.5" customHeight="1">
      <c r="C1769" s="193"/>
      <c r="G1769" s="193"/>
      <c r="H1769" s="194"/>
      <c r="I1769" s="194"/>
      <c r="J1769" s="194"/>
      <c r="L1769" s="194"/>
      <c r="M1769" s="194"/>
    </row>
    <row r="1770" ht="22.5" customHeight="1">
      <c r="C1770" s="193"/>
      <c r="G1770" s="193"/>
      <c r="H1770" s="194"/>
      <c r="I1770" s="194"/>
      <c r="J1770" s="194"/>
      <c r="L1770" s="194"/>
      <c r="M1770" s="194"/>
    </row>
    <row r="1771" ht="22.5" customHeight="1">
      <c r="C1771" s="193"/>
      <c r="G1771" s="193"/>
      <c r="H1771" s="194"/>
      <c r="I1771" s="194"/>
      <c r="J1771" s="194"/>
      <c r="L1771" s="194"/>
      <c r="M1771" s="194"/>
    </row>
    <row r="1772" ht="22.5" customHeight="1">
      <c r="C1772" s="193"/>
      <c r="G1772" s="193"/>
      <c r="H1772" s="194"/>
      <c r="I1772" s="194"/>
      <c r="J1772" s="194"/>
      <c r="L1772" s="194"/>
      <c r="M1772" s="194"/>
    </row>
    <row r="1773" ht="22.5" customHeight="1">
      <c r="C1773" s="193"/>
      <c r="G1773" s="193"/>
      <c r="H1773" s="194"/>
      <c r="I1773" s="194"/>
      <c r="J1773" s="194"/>
      <c r="L1773" s="194"/>
      <c r="M1773" s="194"/>
    </row>
    <row r="1774" ht="22.5" customHeight="1">
      <c r="C1774" s="193"/>
      <c r="G1774" s="193"/>
      <c r="H1774" s="194"/>
      <c r="I1774" s="194"/>
      <c r="J1774" s="194"/>
      <c r="L1774" s="194"/>
      <c r="M1774" s="194"/>
    </row>
    <row r="1775" ht="22.5" customHeight="1">
      <c r="C1775" s="193"/>
      <c r="G1775" s="193"/>
      <c r="H1775" s="194"/>
      <c r="I1775" s="194"/>
      <c r="J1775" s="194"/>
      <c r="L1775" s="194"/>
      <c r="M1775" s="194"/>
    </row>
    <row r="1776" ht="22.5" customHeight="1">
      <c r="C1776" s="193"/>
      <c r="G1776" s="193"/>
      <c r="H1776" s="194"/>
      <c r="I1776" s="194"/>
      <c r="J1776" s="194"/>
      <c r="L1776" s="194"/>
      <c r="M1776" s="194"/>
    </row>
    <row r="1777" ht="22.5" customHeight="1">
      <c r="C1777" s="193"/>
      <c r="G1777" s="193"/>
      <c r="H1777" s="194"/>
      <c r="I1777" s="194"/>
      <c r="J1777" s="194"/>
      <c r="L1777" s="194"/>
      <c r="M1777" s="194"/>
    </row>
    <row r="1778" ht="22.5" customHeight="1">
      <c r="C1778" s="193"/>
      <c r="G1778" s="193"/>
      <c r="H1778" s="194"/>
      <c r="I1778" s="194"/>
      <c r="J1778" s="194"/>
      <c r="L1778" s="194"/>
      <c r="M1778" s="194"/>
    </row>
    <row r="1779" ht="22.5" customHeight="1">
      <c r="C1779" s="193"/>
      <c r="G1779" s="193"/>
      <c r="H1779" s="194"/>
      <c r="I1779" s="194"/>
      <c r="J1779" s="194"/>
      <c r="L1779" s="194"/>
      <c r="M1779" s="194"/>
    </row>
    <row r="1780" ht="22.5" customHeight="1">
      <c r="C1780" s="193"/>
      <c r="G1780" s="193"/>
      <c r="H1780" s="194"/>
      <c r="I1780" s="194"/>
      <c r="J1780" s="194"/>
      <c r="L1780" s="194"/>
      <c r="M1780" s="194"/>
    </row>
    <row r="1781" ht="22.5" customHeight="1">
      <c r="C1781" s="193"/>
      <c r="G1781" s="193"/>
      <c r="H1781" s="194"/>
      <c r="I1781" s="194"/>
      <c r="J1781" s="194"/>
      <c r="L1781" s="194"/>
      <c r="M1781" s="194"/>
    </row>
    <row r="1782" ht="22.5" customHeight="1">
      <c r="C1782" s="193"/>
      <c r="G1782" s="193"/>
      <c r="H1782" s="194"/>
      <c r="I1782" s="194"/>
      <c r="J1782" s="194"/>
      <c r="L1782" s="194"/>
      <c r="M1782" s="194"/>
    </row>
    <row r="1783" ht="22.5" customHeight="1">
      <c r="C1783" s="193"/>
      <c r="G1783" s="193"/>
      <c r="H1783" s="194"/>
      <c r="I1783" s="194"/>
      <c r="J1783" s="194"/>
      <c r="L1783" s="194"/>
      <c r="M1783" s="194"/>
    </row>
    <row r="1784" ht="22.5" customHeight="1">
      <c r="C1784" s="193"/>
      <c r="G1784" s="193"/>
      <c r="H1784" s="194"/>
      <c r="I1784" s="194"/>
      <c r="J1784" s="194"/>
      <c r="L1784" s="194"/>
      <c r="M1784" s="194"/>
    </row>
    <row r="1785" ht="22.5" customHeight="1">
      <c r="C1785" s="193"/>
      <c r="G1785" s="193"/>
      <c r="H1785" s="194"/>
      <c r="I1785" s="194"/>
      <c r="J1785" s="194"/>
      <c r="L1785" s="194"/>
      <c r="M1785" s="194"/>
    </row>
    <row r="1786" ht="22.5" customHeight="1">
      <c r="C1786" s="193"/>
      <c r="G1786" s="193"/>
      <c r="H1786" s="194"/>
      <c r="I1786" s="194"/>
      <c r="J1786" s="194"/>
      <c r="L1786" s="194"/>
      <c r="M1786" s="194"/>
    </row>
    <row r="1787" ht="22.5" customHeight="1">
      <c r="C1787" s="193"/>
      <c r="G1787" s="193"/>
      <c r="H1787" s="194"/>
      <c r="I1787" s="194"/>
      <c r="J1787" s="194"/>
      <c r="L1787" s="194"/>
      <c r="M1787" s="194"/>
    </row>
    <row r="1788" ht="22.5" customHeight="1">
      <c r="C1788" s="193"/>
      <c r="G1788" s="193"/>
      <c r="H1788" s="194"/>
      <c r="I1788" s="194"/>
      <c r="J1788" s="194"/>
      <c r="L1788" s="194"/>
      <c r="M1788" s="194"/>
    </row>
    <row r="1789" ht="22.5" customHeight="1">
      <c r="C1789" s="193"/>
      <c r="G1789" s="193"/>
      <c r="H1789" s="194"/>
      <c r="I1789" s="194"/>
      <c r="J1789" s="194"/>
      <c r="L1789" s="194"/>
      <c r="M1789" s="194"/>
    </row>
    <row r="1790" ht="22.5" customHeight="1">
      <c r="C1790" s="193"/>
      <c r="G1790" s="193"/>
      <c r="H1790" s="194"/>
      <c r="I1790" s="194"/>
      <c r="J1790" s="194"/>
      <c r="L1790" s="194"/>
      <c r="M1790" s="194"/>
    </row>
    <row r="1791" ht="22.5" customHeight="1">
      <c r="C1791" s="193"/>
      <c r="G1791" s="193"/>
      <c r="H1791" s="194"/>
      <c r="I1791" s="194"/>
      <c r="J1791" s="194"/>
      <c r="L1791" s="194"/>
      <c r="M1791" s="194"/>
    </row>
    <row r="1792" ht="22.5" customHeight="1">
      <c r="C1792" s="193"/>
      <c r="G1792" s="193"/>
      <c r="H1792" s="194"/>
      <c r="I1792" s="194"/>
      <c r="J1792" s="194"/>
      <c r="L1792" s="194"/>
      <c r="M1792" s="194"/>
    </row>
    <row r="1793" ht="22.5" customHeight="1">
      <c r="C1793" s="193"/>
      <c r="G1793" s="193"/>
      <c r="H1793" s="194"/>
      <c r="I1793" s="194"/>
      <c r="J1793" s="194"/>
      <c r="L1793" s="194"/>
      <c r="M1793" s="194"/>
    </row>
    <row r="1794" ht="22.5" customHeight="1">
      <c r="C1794" s="193"/>
      <c r="G1794" s="193"/>
      <c r="H1794" s="194"/>
      <c r="I1794" s="194"/>
      <c r="J1794" s="194"/>
      <c r="L1794" s="194"/>
      <c r="M1794" s="194"/>
    </row>
    <row r="1795" ht="22.5" customHeight="1">
      <c r="C1795" s="193"/>
      <c r="G1795" s="193"/>
      <c r="H1795" s="194"/>
      <c r="I1795" s="194"/>
      <c r="J1795" s="194"/>
      <c r="L1795" s="194"/>
      <c r="M1795" s="194"/>
    </row>
    <row r="1796" ht="22.5" customHeight="1">
      <c r="C1796" s="193"/>
      <c r="G1796" s="193"/>
      <c r="H1796" s="194"/>
      <c r="I1796" s="194"/>
      <c r="J1796" s="194"/>
      <c r="L1796" s="194"/>
      <c r="M1796" s="194"/>
    </row>
    <row r="1797" ht="22.5" customHeight="1">
      <c r="C1797" s="193"/>
      <c r="G1797" s="193"/>
      <c r="H1797" s="194"/>
      <c r="I1797" s="194"/>
      <c r="J1797" s="194"/>
      <c r="L1797" s="194"/>
      <c r="M1797" s="194"/>
    </row>
    <row r="1798" ht="22.5" customHeight="1">
      <c r="C1798" s="193"/>
      <c r="G1798" s="193"/>
      <c r="H1798" s="194"/>
      <c r="I1798" s="194"/>
      <c r="J1798" s="194"/>
      <c r="L1798" s="194"/>
      <c r="M1798" s="194"/>
    </row>
    <row r="1799" ht="22.5" customHeight="1">
      <c r="C1799" s="193"/>
      <c r="G1799" s="193"/>
      <c r="H1799" s="194"/>
      <c r="I1799" s="194"/>
      <c r="J1799" s="194"/>
      <c r="L1799" s="194"/>
      <c r="M1799" s="194"/>
    </row>
    <row r="1800" ht="22.5" customHeight="1">
      <c r="C1800" s="193"/>
      <c r="G1800" s="193"/>
      <c r="H1800" s="194"/>
      <c r="I1800" s="194"/>
      <c r="J1800" s="194"/>
      <c r="L1800" s="194"/>
      <c r="M1800" s="194"/>
    </row>
    <row r="1801" ht="22.5" customHeight="1">
      <c r="C1801" s="193"/>
      <c r="G1801" s="193"/>
      <c r="H1801" s="194"/>
      <c r="I1801" s="194"/>
      <c r="J1801" s="194"/>
      <c r="L1801" s="194"/>
      <c r="M1801" s="194"/>
    </row>
    <row r="1802" ht="22.5" customHeight="1">
      <c r="C1802" s="193"/>
      <c r="G1802" s="193"/>
      <c r="H1802" s="194"/>
      <c r="I1802" s="194"/>
      <c r="J1802" s="194"/>
      <c r="L1802" s="194"/>
      <c r="M1802" s="194"/>
    </row>
    <row r="1803" ht="22.5" customHeight="1">
      <c r="C1803" s="193"/>
      <c r="G1803" s="193"/>
      <c r="H1803" s="194"/>
      <c r="I1803" s="194"/>
      <c r="J1803" s="194"/>
      <c r="L1803" s="194"/>
      <c r="M1803" s="194"/>
    </row>
    <row r="1804" ht="22.5" customHeight="1">
      <c r="C1804" s="193"/>
      <c r="G1804" s="193"/>
      <c r="H1804" s="194"/>
      <c r="I1804" s="194"/>
      <c r="J1804" s="194"/>
      <c r="L1804" s="194"/>
      <c r="M1804" s="194"/>
    </row>
    <row r="1805" ht="22.5" customHeight="1">
      <c r="C1805" s="193"/>
      <c r="G1805" s="193"/>
      <c r="H1805" s="194"/>
      <c r="I1805" s="194"/>
      <c r="J1805" s="194"/>
      <c r="L1805" s="194"/>
      <c r="M1805" s="194"/>
    </row>
    <row r="1806" ht="22.5" customHeight="1">
      <c r="C1806" s="193"/>
      <c r="G1806" s="193"/>
      <c r="H1806" s="194"/>
      <c r="I1806" s="194"/>
      <c r="J1806" s="194"/>
      <c r="L1806" s="194"/>
      <c r="M1806" s="194"/>
    </row>
    <row r="1807" ht="22.5" customHeight="1">
      <c r="C1807" s="193"/>
      <c r="G1807" s="193"/>
      <c r="H1807" s="194"/>
      <c r="I1807" s="194"/>
      <c r="J1807" s="194"/>
      <c r="L1807" s="194"/>
      <c r="M1807" s="194"/>
    </row>
    <row r="1808" ht="22.5" customHeight="1">
      <c r="C1808" s="193"/>
      <c r="G1808" s="193"/>
      <c r="H1808" s="194"/>
      <c r="I1808" s="194"/>
      <c r="J1808" s="194"/>
      <c r="L1808" s="194"/>
      <c r="M1808" s="194"/>
    </row>
    <row r="1809" ht="22.5" customHeight="1">
      <c r="C1809" s="193"/>
      <c r="G1809" s="193"/>
      <c r="H1809" s="194"/>
      <c r="I1809" s="194"/>
      <c r="J1809" s="194"/>
      <c r="L1809" s="194"/>
      <c r="M1809" s="194"/>
    </row>
    <row r="1810" ht="22.5" customHeight="1">
      <c r="C1810" s="193"/>
      <c r="G1810" s="193"/>
      <c r="H1810" s="194"/>
      <c r="I1810" s="194"/>
      <c r="J1810" s="194"/>
      <c r="L1810" s="194"/>
      <c r="M1810" s="194"/>
    </row>
    <row r="1811" ht="22.5" customHeight="1">
      <c r="C1811" s="193"/>
      <c r="G1811" s="193"/>
      <c r="H1811" s="194"/>
      <c r="I1811" s="194"/>
      <c r="J1811" s="194"/>
      <c r="L1811" s="194"/>
      <c r="M1811" s="194"/>
    </row>
    <row r="1812" ht="22.5" customHeight="1">
      <c r="C1812" s="193"/>
      <c r="G1812" s="193"/>
      <c r="H1812" s="194"/>
      <c r="I1812" s="194"/>
      <c r="J1812" s="194"/>
      <c r="L1812" s="194"/>
      <c r="M1812" s="194"/>
    </row>
    <row r="1813" ht="22.5" customHeight="1">
      <c r="C1813" s="193"/>
      <c r="G1813" s="193"/>
      <c r="H1813" s="194"/>
      <c r="I1813" s="194"/>
      <c r="J1813" s="194"/>
      <c r="L1813" s="194"/>
      <c r="M1813" s="194"/>
    </row>
    <row r="1814" ht="22.5" customHeight="1">
      <c r="C1814" s="193"/>
      <c r="G1814" s="193"/>
      <c r="H1814" s="194"/>
      <c r="I1814" s="194"/>
      <c r="J1814" s="194"/>
      <c r="L1814" s="194"/>
      <c r="M1814" s="194"/>
    </row>
    <row r="1815" ht="22.5" customHeight="1">
      <c r="C1815" s="193"/>
      <c r="G1815" s="193"/>
      <c r="H1815" s="194"/>
      <c r="I1815" s="194"/>
      <c r="J1815" s="194"/>
      <c r="L1815" s="194"/>
      <c r="M1815" s="194"/>
    </row>
    <row r="1816" ht="22.5" customHeight="1">
      <c r="C1816" s="193"/>
      <c r="G1816" s="193"/>
      <c r="H1816" s="194"/>
      <c r="I1816" s="194"/>
      <c r="J1816" s="194"/>
      <c r="L1816" s="194"/>
      <c r="M1816" s="194"/>
    </row>
    <row r="1817" ht="22.5" customHeight="1">
      <c r="C1817" s="193"/>
      <c r="G1817" s="193"/>
      <c r="H1817" s="194"/>
      <c r="I1817" s="194"/>
      <c r="J1817" s="194"/>
      <c r="L1817" s="194"/>
      <c r="M1817" s="194"/>
    </row>
    <row r="1818" ht="22.5" customHeight="1">
      <c r="C1818" s="193"/>
      <c r="G1818" s="193"/>
      <c r="H1818" s="194"/>
      <c r="I1818" s="194"/>
      <c r="J1818" s="194"/>
      <c r="L1818" s="194"/>
      <c r="M1818" s="194"/>
    </row>
    <row r="1819" ht="22.5" customHeight="1">
      <c r="C1819" s="193"/>
      <c r="G1819" s="193"/>
      <c r="H1819" s="194"/>
      <c r="I1819" s="194"/>
      <c r="J1819" s="194"/>
      <c r="L1819" s="194"/>
      <c r="M1819" s="194"/>
    </row>
    <row r="1820" ht="22.5" customHeight="1">
      <c r="C1820" s="193"/>
      <c r="G1820" s="193"/>
      <c r="H1820" s="194"/>
      <c r="I1820" s="194"/>
      <c r="J1820" s="194"/>
      <c r="L1820" s="194"/>
      <c r="M1820" s="194"/>
    </row>
    <row r="1821" ht="22.5" customHeight="1">
      <c r="C1821" s="193"/>
      <c r="G1821" s="193"/>
      <c r="H1821" s="194"/>
      <c r="I1821" s="194"/>
      <c r="J1821" s="194"/>
      <c r="L1821" s="194"/>
      <c r="M1821" s="194"/>
    </row>
    <row r="1822" ht="22.5" customHeight="1">
      <c r="C1822" s="193"/>
      <c r="G1822" s="193"/>
      <c r="H1822" s="194"/>
      <c r="I1822" s="194"/>
      <c r="J1822" s="194"/>
      <c r="L1822" s="194"/>
      <c r="M1822" s="194"/>
    </row>
    <row r="1823" ht="22.5" customHeight="1">
      <c r="C1823" s="193"/>
      <c r="G1823" s="193"/>
      <c r="H1823" s="194"/>
      <c r="I1823" s="194"/>
      <c r="J1823" s="194"/>
      <c r="L1823" s="194"/>
      <c r="M1823" s="194"/>
    </row>
    <row r="1824" ht="22.5" customHeight="1">
      <c r="C1824" s="193"/>
      <c r="G1824" s="193"/>
      <c r="H1824" s="194"/>
      <c r="I1824" s="194"/>
      <c r="J1824" s="194"/>
      <c r="L1824" s="194"/>
      <c r="M1824" s="194"/>
    </row>
    <row r="1825" ht="22.5" customHeight="1">
      <c r="C1825" s="193"/>
      <c r="G1825" s="193"/>
      <c r="H1825" s="194"/>
      <c r="I1825" s="194"/>
      <c r="J1825" s="194"/>
      <c r="L1825" s="194"/>
      <c r="M1825" s="194"/>
    </row>
    <row r="1826" ht="22.5" customHeight="1">
      <c r="C1826" s="193"/>
      <c r="G1826" s="193"/>
      <c r="H1826" s="194"/>
      <c r="I1826" s="194"/>
      <c r="J1826" s="194"/>
      <c r="L1826" s="194"/>
      <c r="M1826" s="194"/>
    </row>
    <row r="1827" ht="22.5" customHeight="1">
      <c r="C1827" s="193"/>
      <c r="G1827" s="193"/>
      <c r="H1827" s="194"/>
      <c r="I1827" s="194"/>
      <c r="J1827" s="194"/>
      <c r="L1827" s="194"/>
      <c r="M1827" s="194"/>
    </row>
    <row r="1828" ht="22.5" customHeight="1">
      <c r="C1828" s="193"/>
      <c r="G1828" s="193"/>
      <c r="H1828" s="194"/>
      <c r="I1828" s="194"/>
      <c r="J1828" s="194"/>
      <c r="L1828" s="194"/>
      <c r="M1828" s="194"/>
    </row>
    <row r="1829" ht="22.5" customHeight="1">
      <c r="C1829" s="193"/>
      <c r="G1829" s="193"/>
      <c r="H1829" s="194"/>
      <c r="I1829" s="194"/>
      <c r="J1829" s="194"/>
      <c r="L1829" s="194"/>
      <c r="M1829" s="194"/>
    </row>
    <row r="1830" ht="22.5" customHeight="1">
      <c r="C1830" s="193"/>
      <c r="G1830" s="193"/>
      <c r="H1830" s="194"/>
      <c r="I1830" s="194"/>
      <c r="J1830" s="194"/>
      <c r="L1830" s="194"/>
      <c r="M1830" s="194"/>
    </row>
    <row r="1831" ht="22.5" customHeight="1">
      <c r="C1831" s="193"/>
      <c r="G1831" s="193"/>
      <c r="H1831" s="194"/>
      <c r="I1831" s="194"/>
      <c r="J1831" s="194"/>
      <c r="L1831" s="194"/>
      <c r="M1831" s="194"/>
    </row>
    <row r="1832" ht="22.5" customHeight="1">
      <c r="C1832" s="193"/>
      <c r="G1832" s="193"/>
      <c r="H1832" s="194"/>
      <c r="I1832" s="194"/>
      <c r="J1832" s="194"/>
      <c r="L1832" s="194"/>
      <c r="M1832" s="194"/>
    </row>
    <row r="1833" ht="22.5" customHeight="1">
      <c r="C1833" s="193"/>
      <c r="G1833" s="193"/>
      <c r="H1833" s="194"/>
      <c r="I1833" s="194"/>
      <c r="J1833" s="194"/>
      <c r="L1833" s="194"/>
      <c r="M1833" s="194"/>
    </row>
    <row r="1834" ht="22.5" customHeight="1">
      <c r="C1834" s="193"/>
      <c r="G1834" s="193"/>
      <c r="H1834" s="194"/>
      <c r="I1834" s="194"/>
      <c r="J1834" s="194"/>
      <c r="L1834" s="194"/>
      <c r="M1834" s="194"/>
    </row>
    <row r="1835" ht="22.5" customHeight="1">
      <c r="C1835" s="193"/>
      <c r="G1835" s="193"/>
      <c r="H1835" s="194"/>
      <c r="I1835" s="194"/>
      <c r="J1835" s="194"/>
      <c r="L1835" s="194"/>
      <c r="M1835" s="194"/>
    </row>
    <row r="1836" ht="22.5" customHeight="1">
      <c r="C1836" s="193"/>
      <c r="G1836" s="193"/>
      <c r="H1836" s="194"/>
      <c r="I1836" s="194"/>
      <c r="J1836" s="194"/>
      <c r="L1836" s="194"/>
      <c r="M1836" s="194"/>
    </row>
    <row r="1837" ht="22.5" customHeight="1">
      <c r="C1837" s="193"/>
      <c r="G1837" s="193"/>
      <c r="H1837" s="194"/>
      <c r="I1837" s="194"/>
      <c r="J1837" s="194"/>
      <c r="L1837" s="194"/>
      <c r="M1837" s="194"/>
    </row>
    <row r="1838" ht="22.5" customHeight="1">
      <c r="C1838" s="193"/>
      <c r="G1838" s="193"/>
      <c r="H1838" s="194"/>
      <c r="I1838" s="194"/>
      <c r="J1838" s="194"/>
      <c r="L1838" s="194"/>
      <c r="M1838" s="194"/>
    </row>
    <row r="1839" ht="22.5" customHeight="1">
      <c r="C1839" s="193"/>
      <c r="G1839" s="193"/>
      <c r="H1839" s="194"/>
      <c r="I1839" s="194"/>
      <c r="J1839" s="194"/>
      <c r="L1839" s="194"/>
      <c r="M1839" s="194"/>
    </row>
    <row r="1840" ht="22.5" customHeight="1">
      <c r="C1840" s="193"/>
      <c r="G1840" s="193"/>
      <c r="H1840" s="194"/>
      <c r="I1840" s="194"/>
      <c r="J1840" s="194"/>
      <c r="L1840" s="194"/>
      <c r="M1840" s="194"/>
    </row>
    <row r="1841" ht="22.5" customHeight="1">
      <c r="C1841" s="193"/>
      <c r="G1841" s="193"/>
      <c r="H1841" s="194"/>
      <c r="I1841" s="194"/>
      <c r="J1841" s="194"/>
      <c r="L1841" s="194"/>
      <c r="M1841" s="194"/>
    </row>
    <row r="1842" ht="22.5" customHeight="1">
      <c r="C1842" s="193"/>
      <c r="G1842" s="193"/>
      <c r="H1842" s="194"/>
      <c r="I1842" s="194"/>
      <c r="J1842" s="194"/>
      <c r="L1842" s="194"/>
      <c r="M1842" s="194"/>
    </row>
    <row r="1843" ht="22.5" customHeight="1">
      <c r="C1843" s="193"/>
      <c r="G1843" s="193"/>
      <c r="H1843" s="194"/>
      <c r="I1843" s="194"/>
      <c r="J1843" s="194"/>
      <c r="L1843" s="194"/>
      <c r="M1843" s="194"/>
    </row>
    <row r="1844" ht="22.5" customHeight="1">
      <c r="C1844" s="193"/>
      <c r="G1844" s="193"/>
      <c r="H1844" s="194"/>
      <c r="I1844" s="194"/>
      <c r="J1844" s="194"/>
      <c r="L1844" s="194"/>
      <c r="M1844" s="194"/>
    </row>
    <row r="1845" ht="22.5" customHeight="1">
      <c r="C1845" s="193"/>
      <c r="G1845" s="193"/>
      <c r="H1845" s="194"/>
      <c r="I1845" s="194"/>
      <c r="J1845" s="194"/>
      <c r="L1845" s="194"/>
      <c r="M1845" s="194"/>
    </row>
    <row r="1846" ht="22.5" customHeight="1">
      <c r="C1846" s="193"/>
      <c r="G1846" s="193"/>
      <c r="H1846" s="194"/>
      <c r="I1846" s="194"/>
      <c r="J1846" s="194"/>
      <c r="L1846" s="194"/>
      <c r="M1846" s="194"/>
    </row>
    <row r="1847" ht="22.5" customHeight="1">
      <c r="C1847" s="193"/>
      <c r="G1847" s="193"/>
      <c r="H1847" s="194"/>
      <c r="I1847" s="194"/>
      <c r="J1847" s="194"/>
      <c r="L1847" s="194"/>
      <c r="M1847" s="194"/>
    </row>
    <row r="1848" ht="22.5" customHeight="1">
      <c r="C1848" s="193"/>
      <c r="G1848" s="193"/>
      <c r="H1848" s="194"/>
      <c r="I1848" s="194"/>
      <c r="J1848" s="194"/>
      <c r="L1848" s="194"/>
      <c r="M1848" s="194"/>
    </row>
    <row r="1849" ht="22.5" customHeight="1">
      <c r="C1849" s="193"/>
      <c r="G1849" s="193"/>
      <c r="H1849" s="194"/>
      <c r="I1849" s="194"/>
      <c r="J1849" s="194"/>
      <c r="L1849" s="194"/>
      <c r="M1849" s="194"/>
    </row>
    <row r="1850" ht="22.5" customHeight="1">
      <c r="C1850" s="193"/>
      <c r="G1850" s="193"/>
      <c r="H1850" s="194"/>
      <c r="I1850" s="194"/>
      <c r="J1850" s="194"/>
      <c r="L1850" s="194"/>
      <c r="M1850" s="194"/>
    </row>
    <row r="1851" ht="22.5" customHeight="1">
      <c r="C1851" s="193"/>
      <c r="G1851" s="193"/>
      <c r="H1851" s="194"/>
      <c r="I1851" s="194"/>
      <c r="J1851" s="194"/>
      <c r="L1851" s="194"/>
      <c r="M1851" s="194"/>
    </row>
    <row r="1852" ht="22.5" customHeight="1">
      <c r="C1852" s="193"/>
      <c r="G1852" s="193"/>
      <c r="H1852" s="194"/>
      <c r="I1852" s="194"/>
      <c r="J1852" s="194"/>
      <c r="L1852" s="194"/>
      <c r="M1852" s="194"/>
    </row>
    <row r="1853" ht="22.5" customHeight="1">
      <c r="C1853" s="193"/>
      <c r="G1853" s="193"/>
      <c r="H1853" s="194"/>
      <c r="I1853" s="194"/>
      <c r="J1853" s="194"/>
      <c r="L1853" s="194"/>
      <c r="M1853" s="194"/>
    </row>
    <row r="1854" ht="22.5" customHeight="1">
      <c r="C1854" s="193"/>
      <c r="G1854" s="193"/>
      <c r="H1854" s="194"/>
      <c r="I1854" s="194"/>
      <c r="J1854" s="194"/>
      <c r="L1854" s="194"/>
      <c r="M1854" s="194"/>
    </row>
    <row r="1855" ht="22.5" customHeight="1">
      <c r="C1855" s="193"/>
      <c r="G1855" s="193"/>
      <c r="H1855" s="194"/>
      <c r="I1855" s="194"/>
      <c r="J1855" s="194"/>
      <c r="L1855" s="194"/>
      <c r="M1855" s="194"/>
    </row>
    <row r="1856" ht="22.5" customHeight="1">
      <c r="C1856" s="193"/>
      <c r="G1856" s="193"/>
      <c r="H1856" s="194"/>
      <c r="I1856" s="194"/>
      <c r="J1856" s="194"/>
      <c r="L1856" s="194"/>
      <c r="M1856" s="194"/>
    </row>
    <row r="1857" ht="22.5" customHeight="1">
      <c r="C1857" s="193"/>
      <c r="G1857" s="193"/>
      <c r="H1857" s="194"/>
      <c r="I1857" s="194"/>
      <c r="J1857" s="194"/>
      <c r="L1857" s="194"/>
      <c r="M1857" s="194"/>
    </row>
    <row r="1858" ht="22.5" customHeight="1">
      <c r="C1858" s="193"/>
      <c r="G1858" s="193"/>
      <c r="H1858" s="194"/>
      <c r="I1858" s="194"/>
      <c r="J1858" s="194"/>
      <c r="L1858" s="194"/>
      <c r="M1858" s="194"/>
    </row>
    <row r="1859" ht="22.5" customHeight="1">
      <c r="C1859" s="193"/>
      <c r="G1859" s="193"/>
      <c r="H1859" s="194"/>
      <c r="I1859" s="194"/>
      <c r="J1859" s="194"/>
      <c r="L1859" s="194"/>
      <c r="M1859" s="194"/>
    </row>
    <row r="1860" ht="22.5" customHeight="1">
      <c r="C1860" s="193"/>
      <c r="G1860" s="193"/>
      <c r="H1860" s="194"/>
      <c r="I1860" s="194"/>
      <c r="J1860" s="194"/>
      <c r="L1860" s="194"/>
      <c r="M1860" s="194"/>
    </row>
    <row r="1861" ht="22.5" customHeight="1">
      <c r="C1861" s="193"/>
      <c r="G1861" s="193"/>
      <c r="H1861" s="194"/>
      <c r="I1861" s="194"/>
      <c r="J1861" s="194"/>
      <c r="L1861" s="194"/>
      <c r="M1861" s="194"/>
    </row>
    <row r="1862" ht="22.5" customHeight="1">
      <c r="C1862" s="193"/>
      <c r="G1862" s="193"/>
      <c r="H1862" s="194"/>
      <c r="I1862" s="194"/>
      <c r="J1862" s="194"/>
      <c r="L1862" s="194"/>
      <c r="M1862" s="194"/>
    </row>
    <row r="1863" ht="22.5" customHeight="1">
      <c r="C1863" s="193"/>
      <c r="G1863" s="193"/>
      <c r="H1863" s="194"/>
      <c r="I1863" s="194"/>
      <c r="J1863" s="194"/>
      <c r="L1863" s="194"/>
      <c r="M1863" s="194"/>
    </row>
    <row r="1864" ht="22.5" customHeight="1">
      <c r="C1864" s="193"/>
      <c r="G1864" s="193"/>
      <c r="H1864" s="194"/>
      <c r="I1864" s="194"/>
      <c r="J1864" s="194"/>
      <c r="L1864" s="194"/>
      <c r="M1864" s="194"/>
    </row>
    <row r="1865" ht="22.5" customHeight="1">
      <c r="C1865" s="193"/>
      <c r="G1865" s="193"/>
      <c r="H1865" s="194"/>
      <c r="I1865" s="194"/>
      <c r="J1865" s="194"/>
      <c r="L1865" s="194"/>
      <c r="M1865" s="194"/>
    </row>
    <row r="1866" ht="22.5" customHeight="1">
      <c r="C1866" s="193"/>
      <c r="G1866" s="193"/>
      <c r="H1866" s="194"/>
      <c r="I1866" s="194"/>
      <c r="J1866" s="194"/>
      <c r="L1866" s="194"/>
      <c r="M1866" s="194"/>
    </row>
    <row r="1867" ht="22.5" customHeight="1">
      <c r="C1867" s="193"/>
      <c r="G1867" s="193"/>
      <c r="H1867" s="194"/>
      <c r="I1867" s="194"/>
      <c r="J1867" s="194"/>
      <c r="L1867" s="194"/>
      <c r="M1867" s="194"/>
    </row>
    <row r="1868" ht="22.5" customHeight="1">
      <c r="C1868" s="193"/>
      <c r="G1868" s="193"/>
      <c r="H1868" s="194"/>
      <c r="I1868" s="194"/>
      <c r="J1868" s="194"/>
      <c r="L1868" s="194"/>
      <c r="M1868" s="194"/>
    </row>
    <row r="1869" ht="22.5" customHeight="1">
      <c r="C1869" s="193"/>
      <c r="G1869" s="193"/>
      <c r="H1869" s="194"/>
      <c r="I1869" s="194"/>
      <c r="J1869" s="194"/>
      <c r="L1869" s="194"/>
      <c r="M1869" s="194"/>
    </row>
    <row r="1870" ht="22.5" customHeight="1">
      <c r="C1870" s="193"/>
      <c r="G1870" s="193"/>
      <c r="H1870" s="194"/>
      <c r="I1870" s="194"/>
      <c r="J1870" s="194"/>
      <c r="L1870" s="194"/>
      <c r="M1870" s="194"/>
    </row>
    <row r="1871" ht="22.5" customHeight="1">
      <c r="C1871" s="193"/>
      <c r="G1871" s="193"/>
      <c r="H1871" s="194"/>
      <c r="I1871" s="194"/>
      <c r="J1871" s="194"/>
      <c r="L1871" s="194"/>
      <c r="M1871" s="194"/>
    </row>
    <row r="1872" ht="22.5" customHeight="1">
      <c r="C1872" s="193"/>
      <c r="G1872" s="193"/>
      <c r="H1872" s="194"/>
      <c r="I1872" s="194"/>
      <c r="J1872" s="194"/>
      <c r="L1872" s="194"/>
      <c r="M1872" s="194"/>
    </row>
    <row r="1873" ht="22.5" customHeight="1">
      <c r="C1873" s="193"/>
      <c r="G1873" s="193"/>
      <c r="H1873" s="194"/>
      <c r="I1873" s="194"/>
      <c r="J1873" s="194"/>
      <c r="L1873" s="194"/>
      <c r="M1873" s="194"/>
    </row>
    <row r="1874" ht="22.5" customHeight="1">
      <c r="C1874" s="193"/>
      <c r="G1874" s="193"/>
      <c r="H1874" s="194"/>
      <c r="I1874" s="194"/>
      <c r="J1874" s="194"/>
      <c r="L1874" s="194"/>
      <c r="M1874" s="194"/>
    </row>
    <row r="1875" ht="22.5" customHeight="1">
      <c r="C1875" s="193"/>
      <c r="G1875" s="193"/>
      <c r="H1875" s="194"/>
      <c r="I1875" s="194"/>
      <c r="J1875" s="194"/>
      <c r="L1875" s="194"/>
      <c r="M1875" s="194"/>
    </row>
    <row r="1876" ht="22.5" customHeight="1">
      <c r="C1876" s="193"/>
      <c r="G1876" s="193"/>
      <c r="H1876" s="194"/>
      <c r="I1876" s="194"/>
      <c r="J1876" s="194"/>
      <c r="L1876" s="194"/>
      <c r="M1876" s="194"/>
    </row>
    <row r="1877" ht="22.5" customHeight="1">
      <c r="C1877" s="193"/>
      <c r="G1877" s="193"/>
      <c r="H1877" s="194"/>
      <c r="I1877" s="194"/>
      <c r="J1877" s="194"/>
      <c r="L1877" s="194"/>
      <c r="M1877" s="194"/>
    </row>
    <row r="1878" ht="22.5" customHeight="1">
      <c r="C1878" s="193"/>
      <c r="G1878" s="193"/>
      <c r="H1878" s="194"/>
      <c r="I1878" s="194"/>
      <c r="J1878" s="194"/>
      <c r="L1878" s="194"/>
      <c r="M1878" s="194"/>
    </row>
    <row r="1879" ht="22.5" customHeight="1">
      <c r="C1879" s="193"/>
      <c r="G1879" s="193"/>
      <c r="H1879" s="194"/>
      <c r="I1879" s="194"/>
      <c r="J1879" s="194"/>
      <c r="L1879" s="194"/>
      <c r="M1879" s="194"/>
    </row>
    <row r="1880" ht="22.5" customHeight="1">
      <c r="C1880" s="193"/>
      <c r="G1880" s="193"/>
      <c r="H1880" s="194"/>
      <c r="I1880" s="194"/>
      <c r="J1880" s="194"/>
      <c r="L1880" s="194"/>
      <c r="M1880" s="194"/>
    </row>
    <row r="1881" ht="22.5" customHeight="1">
      <c r="C1881" s="193"/>
      <c r="G1881" s="193"/>
      <c r="H1881" s="194"/>
      <c r="I1881" s="194"/>
      <c r="J1881" s="194"/>
      <c r="L1881" s="194"/>
      <c r="M1881" s="194"/>
    </row>
    <row r="1882" ht="22.5" customHeight="1">
      <c r="C1882" s="193"/>
      <c r="G1882" s="193"/>
      <c r="H1882" s="194"/>
      <c r="I1882" s="194"/>
      <c r="J1882" s="194"/>
      <c r="L1882" s="194"/>
      <c r="M1882" s="194"/>
    </row>
    <row r="1883" ht="22.5" customHeight="1">
      <c r="C1883" s="193"/>
      <c r="G1883" s="193"/>
      <c r="H1883" s="194"/>
      <c r="I1883" s="194"/>
      <c r="J1883" s="194"/>
      <c r="L1883" s="194"/>
      <c r="M1883" s="194"/>
    </row>
    <row r="1884" ht="22.5" customHeight="1">
      <c r="C1884" s="193"/>
      <c r="G1884" s="193"/>
      <c r="H1884" s="194"/>
      <c r="I1884" s="194"/>
      <c r="J1884" s="194"/>
      <c r="L1884" s="194"/>
      <c r="M1884" s="194"/>
    </row>
    <row r="1885" ht="22.5" customHeight="1">
      <c r="C1885" s="193"/>
      <c r="G1885" s="193"/>
      <c r="H1885" s="194"/>
      <c r="I1885" s="194"/>
      <c r="J1885" s="194"/>
      <c r="L1885" s="194"/>
      <c r="M1885" s="194"/>
    </row>
    <row r="1886" ht="22.5" customHeight="1">
      <c r="C1886" s="193"/>
      <c r="G1886" s="193"/>
      <c r="H1886" s="194"/>
      <c r="I1886" s="194"/>
      <c r="J1886" s="194"/>
      <c r="L1886" s="194"/>
      <c r="M1886" s="194"/>
    </row>
    <row r="1887" ht="22.5" customHeight="1">
      <c r="C1887" s="193"/>
      <c r="G1887" s="193"/>
      <c r="H1887" s="194"/>
      <c r="I1887" s="194"/>
      <c r="J1887" s="194"/>
      <c r="L1887" s="194"/>
      <c r="M1887" s="194"/>
    </row>
    <row r="1888" ht="22.5" customHeight="1">
      <c r="C1888" s="193"/>
      <c r="G1888" s="193"/>
      <c r="H1888" s="194"/>
      <c r="I1888" s="194"/>
      <c r="J1888" s="194"/>
      <c r="L1888" s="194"/>
      <c r="M1888" s="194"/>
    </row>
    <row r="1889" ht="22.5" customHeight="1">
      <c r="C1889" s="193"/>
      <c r="G1889" s="193"/>
      <c r="H1889" s="194"/>
      <c r="I1889" s="194"/>
      <c r="J1889" s="194"/>
      <c r="L1889" s="194"/>
      <c r="M1889" s="194"/>
    </row>
    <row r="1890" ht="22.5" customHeight="1">
      <c r="C1890" s="193"/>
      <c r="G1890" s="193"/>
      <c r="H1890" s="194"/>
      <c r="I1890" s="194"/>
      <c r="J1890" s="194"/>
      <c r="L1890" s="194"/>
      <c r="M1890" s="194"/>
    </row>
    <row r="1891" ht="22.5" customHeight="1">
      <c r="C1891" s="193"/>
      <c r="G1891" s="193"/>
      <c r="H1891" s="194"/>
      <c r="I1891" s="194"/>
      <c r="J1891" s="194"/>
      <c r="L1891" s="194"/>
      <c r="M1891" s="194"/>
    </row>
    <row r="1892" ht="22.5" customHeight="1">
      <c r="C1892" s="193"/>
      <c r="G1892" s="193"/>
      <c r="H1892" s="194"/>
      <c r="I1892" s="194"/>
      <c r="J1892" s="194"/>
      <c r="L1892" s="194"/>
      <c r="M1892" s="194"/>
    </row>
    <row r="1893" ht="22.5" customHeight="1">
      <c r="C1893" s="193"/>
      <c r="G1893" s="193"/>
      <c r="H1893" s="194"/>
      <c r="I1893" s="194"/>
      <c r="J1893" s="194"/>
      <c r="L1893" s="194"/>
      <c r="M1893" s="194"/>
    </row>
    <row r="1894" ht="22.5" customHeight="1">
      <c r="C1894" s="193"/>
      <c r="G1894" s="193"/>
      <c r="H1894" s="194"/>
      <c r="I1894" s="194"/>
      <c r="J1894" s="194"/>
      <c r="L1894" s="194"/>
      <c r="M1894" s="194"/>
    </row>
    <row r="1895" ht="22.5" customHeight="1">
      <c r="C1895" s="193"/>
      <c r="G1895" s="193"/>
      <c r="H1895" s="194"/>
      <c r="I1895" s="194"/>
      <c r="J1895" s="194"/>
      <c r="L1895" s="194"/>
      <c r="M1895" s="194"/>
    </row>
    <row r="1896" ht="22.5" customHeight="1">
      <c r="C1896" s="193"/>
      <c r="G1896" s="193"/>
      <c r="H1896" s="194"/>
      <c r="I1896" s="194"/>
      <c r="J1896" s="194"/>
      <c r="L1896" s="194"/>
      <c r="M1896" s="194"/>
    </row>
    <row r="1897" ht="22.5" customHeight="1">
      <c r="C1897" s="193"/>
      <c r="G1897" s="193"/>
      <c r="H1897" s="194"/>
      <c r="I1897" s="194"/>
      <c r="J1897" s="194"/>
      <c r="L1897" s="194"/>
      <c r="M1897" s="194"/>
    </row>
    <row r="1898" ht="22.5" customHeight="1">
      <c r="C1898" s="193"/>
      <c r="G1898" s="193"/>
      <c r="H1898" s="194"/>
      <c r="I1898" s="194"/>
      <c r="J1898" s="194"/>
      <c r="L1898" s="194"/>
      <c r="M1898" s="194"/>
    </row>
    <row r="1899" ht="22.5" customHeight="1">
      <c r="C1899" s="193"/>
      <c r="G1899" s="193"/>
      <c r="H1899" s="194"/>
      <c r="I1899" s="194"/>
      <c r="J1899" s="194"/>
      <c r="L1899" s="194"/>
      <c r="M1899" s="194"/>
    </row>
    <row r="1900" ht="22.5" customHeight="1">
      <c r="C1900" s="193"/>
      <c r="G1900" s="193"/>
      <c r="H1900" s="194"/>
      <c r="I1900" s="194"/>
      <c r="J1900" s="194"/>
      <c r="L1900" s="194"/>
      <c r="M1900" s="194"/>
    </row>
    <row r="1901" ht="22.5" customHeight="1">
      <c r="C1901" s="193"/>
      <c r="G1901" s="193"/>
      <c r="H1901" s="194"/>
      <c r="I1901" s="194"/>
      <c r="J1901" s="194"/>
      <c r="L1901" s="194"/>
      <c r="M1901" s="194"/>
    </row>
    <row r="1902" ht="22.5" customHeight="1">
      <c r="C1902" s="193"/>
      <c r="G1902" s="193"/>
      <c r="H1902" s="194"/>
      <c r="I1902" s="194"/>
      <c r="J1902" s="194"/>
      <c r="L1902" s="194"/>
      <c r="M1902" s="194"/>
    </row>
    <row r="1903" ht="22.5" customHeight="1">
      <c r="C1903" s="193"/>
      <c r="G1903" s="193"/>
      <c r="H1903" s="194"/>
      <c r="I1903" s="194"/>
      <c r="J1903" s="194"/>
      <c r="L1903" s="194"/>
      <c r="M1903" s="194"/>
    </row>
    <row r="1904" ht="22.5" customHeight="1">
      <c r="C1904" s="193"/>
      <c r="G1904" s="193"/>
      <c r="H1904" s="194"/>
      <c r="I1904" s="194"/>
      <c r="J1904" s="194"/>
      <c r="L1904" s="194"/>
      <c r="M1904" s="194"/>
    </row>
    <row r="1905" ht="22.5" customHeight="1">
      <c r="C1905" s="193"/>
      <c r="G1905" s="193"/>
      <c r="H1905" s="194"/>
      <c r="I1905" s="194"/>
      <c r="J1905" s="194"/>
      <c r="L1905" s="194"/>
      <c r="M1905" s="194"/>
    </row>
    <row r="1906" ht="22.5" customHeight="1">
      <c r="C1906" s="193"/>
      <c r="G1906" s="193"/>
      <c r="H1906" s="194"/>
      <c r="I1906" s="194"/>
      <c r="J1906" s="194"/>
      <c r="L1906" s="194"/>
      <c r="M1906" s="194"/>
    </row>
    <row r="1907" ht="22.5" customHeight="1">
      <c r="C1907" s="193"/>
      <c r="G1907" s="193"/>
      <c r="H1907" s="194"/>
      <c r="I1907" s="194"/>
      <c r="J1907" s="194"/>
      <c r="L1907" s="194"/>
      <c r="M1907" s="194"/>
    </row>
    <row r="1908" ht="22.5" customHeight="1">
      <c r="C1908" s="193"/>
      <c r="G1908" s="193"/>
      <c r="H1908" s="194"/>
      <c r="I1908" s="194"/>
      <c r="J1908" s="194"/>
      <c r="L1908" s="194"/>
      <c r="M1908" s="194"/>
    </row>
    <row r="1909" ht="22.5" customHeight="1">
      <c r="C1909" s="193"/>
      <c r="G1909" s="193"/>
      <c r="H1909" s="194"/>
      <c r="I1909" s="194"/>
      <c r="J1909" s="194"/>
      <c r="L1909" s="194"/>
      <c r="M1909" s="194"/>
    </row>
    <row r="1910" ht="22.5" customHeight="1">
      <c r="C1910" s="193"/>
      <c r="G1910" s="193"/>
      <c r="H1910" s="194"/>
      <c r="I1910" s="194"/>
      <c r="J1910" s="194"/>
      <c r="L1910" s="194"/>
      <c r="M1910" s="194"/>
    </row>
    <row r="1911" ht="22.5" customHeight="1">
      <c r="C1911" s="193"/>
      <c r="G1911" s="193"/>
      <c r="H1911" s="194"/>
      <c r="I1911" s="194"/>
      <c r="J1911" s="194"/>
      <c r="L1911" s="194"/>
      <c r="M1911" s="194"/>
    </row>
    <row r="1912" ht="22.5" customHeight="1">
      <c r="C1912" s="193"/>
      <c r="G1912" s="193"/>
      <c r="H1912" s="194"/>
      <c r="I1912" s="194"/>
      <c r="J1912" s="194"/>
      <c r="L1912" s="194"/>
      <c r="M1912" s="194"/>
    </row>
    <row r="1913" ht="22.5" customHeight="1">
      <c r="C1913" s="193"/>
      <c r="G1913" s="193"/>
      <c r="H1913" s="194"/>
      <c r="I1913" s="194"/>
      <c r="J1913" s="194"/>
      <c r="L1913" s="194"/>
      <c r="M1913" s="194"/>
    </row>
    <row r="1914" ht="22.5" customHeight="1">
      <c r="C1914" s="193"/>
      <c r="G1914" s="193"/>
      <c r="H1914" s="194"/>
      <c r="I1914" s="194"/>
      <c r="J1914" s="194"/>
      <c r="L1914" s="194"/>
      <c r="M1914" s="194"/>
    </row>
    <row r="1915" ht="22.5" customHeight="1">
      <c r="C1915" s="193"/>
      <c r="G1915" s="193"/>
      <c r="H1915" s="194"/>
      <c r="I1915" s="194"/>
      <c r="J1915" s="194"/>
      <c r="L1915" s="194"/>
      <c r="M1915" s="194"/>
    </row>
    <row r="1916" ht="22.5" customHeight="1">
      <c r="C1916" s="193"/>
      <c r="G1916" s="193"/>
      <c r="H1916" s="194"/>
      <c r="I1916" s="194"/>
      <c r="J1916" s="194"/>
      <c r="L1916" s="194"/>
      <c r="M1916" s="194"/>
    </row>
    <row r="1917" ht="22.5" customHeight="1">
      <c r="C1917" s="193"/>
      <c r="G1917" s="193"/>
      <c r="H1917" s="194"/>
      <c r="I1917" s="194"/>
      <c r="J1917" s="194"/>
      <c r="L1917" s="194"/>
      <c r="M1917" s="194"/>
    </row>
    <row r="1918" ht="22.5" customHeight="1">
      <c r="C1918" s="193"/>
      <c r="G1918" s="193"/>
      <c r="H1918" s="194"/>
      <c r="I1918" s="194"/>
      <c r="J1918" s="194"/>
      <c r="L1918" s="194"/>
      <c r="M1918" s="194"/>
    </row>
    <row r="1919" ht="22.5" customHeight="1">
      <c r="C1919" s="193"/>
      <c r="G1919" s="193"/>
      <c r="H1919" s="194"/>
      <c r="I1919" s="194"/>
      <c r="J1919" s="194"/>
      <c r="L1919" s="194"/>
      <c r="M1919" s="194"/>
    </row>
    <row r="1920" ht="22.5" customHeight="1">
      <c r="C1920" s="193"/>
      <c r="G1920" s="193"/>
      <c r="H1920" s="194"/>
      <c r="I1920" s="194"/>
      <c r="J1920" s="194"/>
      <c r="L1920" s="194"/>
      <c r="M1920" s="194"/>
    </row>
    <row r="1921" ht="22.5" customHeight="1">
      <c r="C1921" s="193"/>
      <c r="G1921" s="193"/>
      <c r="H1921" s="194"/>
      <c r="I1921" s="194"/>
      <c r="J1921" s="194"/>
      <c r="L1921" s="194"/>
      <c r="M1921" s="194"/>
    </row>
    <row r="1922" ht="22.5" customHeight="1">
      <c r="C1922" s="193"/>
      <c r="G1922" s="193"/>
      <c r="H1922" s="194"/>
      <c r="I1922" s="194"/>
      <c r="J1922" s="194"/>
      <c r="L1922" s="194"/>
      <c r="M1922" s="194"/>
    </row>
    <row r="1923" ht="22.5" customHeight="1">
      <c r="C1923" s="193"/>
      <c r="G1923" s="193"/>
      <c r="H1923" s="194"/>
      <c r="I1923" s="194"/>
      <c r="J1923" s="194"/>
      <c r="L1923" s="194"/>
      <c r="M1923" s="194"/>
    </row>
    <row r="1924" ht="22.5" customHeight="1">
      <c r="C1924" s="193"/>
      <c r="G1924" s="193"/>
      <c r="H1924" s="194"/>
      <c r="I1924" s="194"/>
      <c r="J1924" s="194"/>
      <c r="L1924" s="194"/>
      <c r="M1924" s="194"/>
    </row>
    <row r="1925" ht="22.5" customHeight="1">
      <c r="C1925" s="193"/>
      <c r="G1925" s="193"/>
      <c r="H1925" s="194"/>
      <c r="I1925" s="194"/>
      <c r="J1925" s="194"/>
      <c r="L1925" s="194"/>
      <c r="M1925" s="194"/>
    </row>
    <row r="1926" ht="22.5" customHeight="1">
      <c r="C1926" s="193"/>
      <c r="G1926" s="193"/>
      <c r="H1926" s="194"/>
      <c r="I1926" s="194"/>
      <c r="J1926" s="194"/>
      <c r="L1926" s="194"/>
      <c r="M1926" s="194"/>
    </row>
    <row r="1927" ht="22.5" customHeight="1">
      <c r="C1927" s="193"/>
      <c r="G1927" s="193"/>
      <c r="H1927" s="194"/>
      <c r="I1927" s="194"/>
      <c r="J1927" s="194"/>
      <c r="L1927" s="194"/>
      <c r="M1927" s="194"/>
    </row>
    <row r="1928" ht="22.5" customHeight="1">
      <c r="C1928" s="193"/>
      <c r="G1928" s="193"/>
      <c r="H1928" s="194"/>
      <c r="I1928" s="194"/>
      <c r="J1928" s="194"/>
      <c r="L1928" s="194"/>
      <c r="M1928" s="194"/>
    </row>
    <row r="1929" ht="22.5" customHeight="1">
      <c r="C1929" s="193"/>
      <c r="G1929" s="193"/>
      <c r="H1929" s="194"/>
      <c r="I1929" s="194"/>
      <c r="J1929" s="194"/>
      <c r="L1929" s="194"/>
      <c r="M1929" s="194"/>
    </row>
    <row r="1930" ht="22.5" customHeight="1">
      <c r="C1930" s="193"/>
      <c r="G1930" s="193"/>
      <c r="H1930" s="194"/>
      <c r="I1930" s="194"/>
      <c r="J1930" s="194"/>
      <c r="L1930" s="194"/>
      <c r="M1930" s="194"/>
    </row>
    <row r="1931" ht="22.5" customHeight="1">
      <c r="C1931" s="193"/>
      <c r="G1931" s="193"/>
      <c r="H1931" s="194"/>
      <c r="I1931" s="194"/>
      <c r="J1931" s="194"/>
      <c r="L1931" s="194"/>
      <c r="M1931" s="194"/>
    </row>
    <row r="1932" ht="22.5" customHeight="1">
      <c r="C1932" s="193"/>
      <c r="G1932" s="193"/>
      <c r="H1932" s="194"/>
      <c r="I1932" s="194"/>
      <c r="J1932" s="194"/>
      <c r="L1932" s="194"/>
      <c r="M1932" s="194"/>
    </row>
    <row r="1933" ht="22.5" customHeight="1">
      <c r="C1933" s="193"/>
      <c r="G1933" s="193"/>
      <c r="H1933" s="194"/>
      <c r="I1933" s="194"/>
      <c r="J1933" s="194"/>
      <c r="L1933" s="194"/>
      <c r="M1933" s="194"/>
    </row>
    <row r="1934" ht="22.5" customHeight="1">
      <c r="C1934" s="193"/>
      <c r="G1934" s="193"/>
      <c r="H1934" s="194"/>
      <c r="I1934" s="194"/>
      <c r="J1934" s="194"/>
      <c r="L1934" s="194"/>
      <c r="M1934" s="194"/>
    </row>
    <row r="1935" ht="22.5" customHeight="1">
      <c r="C1935" s="193"/>
      <c r="G1935" s="193"/>
      <c r="H1935" s="194"/>
      <c r="I1935" s="194"/>
      <c r="J1935" s="194"/>
      <c r="L1935" s="194"/>
      <c r="M1935" s="194"/>
    </row>
    <row r="1936" ht="22.5" customHeight="1">
      <c r="C1936" s="193"/>
      <c r="G1936" s="193"/>
      <c r="H1936" s="194"/>
      <c r="I1936" s="194"/>
      <c r="J1936" s="194"/>
      <c r="L1936" s="194"/>
      <c r="M1936" s="194"/>
    </row>
    <row r="1937" ht="22.5" customHeight="1">
      <c r="C1937" s="193"/>
      <c r="G1937" s="193"/>
      <c r="H1937" s="194"/>
      <c r="I1937" s="194"/>
      <c r="J1937" s="194"/>
      <c r="L1937" s="194"/>
      <c r="M1937" s="194"/>
    </row>
    <row r="1938" ht="22.5" customHeight="1">
      <c r="C1938" s="193"/>
      <c r="G1938" s="193"/>
      <c r="H1938" s="194"/>
      <c r="I1938" s="194"/>
      <c r="J1938" s="194"/>
      <c r="L1938" s="194"/>
      <c r="M1938" s="194"/>
    </row>
    <row r="1939" ht="22.5" customHeight="1">
      <c r="C1939" s="193"/>
      <c r="G1939" s="193"/>
      <c r="H1939" s="194"/>
      <c r="I1939" s="194"/>
      <c r="J1939" s="194"/>
      <c r="L1939" s="194"/>
      <c r="M1939" s="194"/>
    </row>
    <row r="1940" ht="22.5" customHeight="1">
      <c r="C1940" s="193"/>
      <c r="G1940" s="193"/>
      <c r="H1940" s="194"/>
      <c r="I1940" s="194"/>
      <c r="J1940" s="194"/>
      <c r="L1940" s="194"/>
      <c r="M1940" s="194"/>
    </row>
    <row r="1941" ht="22.5" customHeight="1">
      <c r="C1941" s="193"/>
      <c r="G1941" s="193"/>
      <c r="H1941" s="194"/>
      <c r="I1941" s="194"/>
      <c r="J1941" s="194"/>
      <c r="L1941" s="194"/>
      <c r="M1941" s="194"/>
    </row>
    <row r="1942" ht="22.5" customHeight="1">
      <c r="C1942" s="193"/>
      <c r="G1942" s="193"/>
      <c r="H1942" s="194"/>
      <c r="I1942" s="194"/>
      <c r="J1942" s="194"/>
      <c r="L1942" s="194"/>
      <c r="M1942" s="194"/>
    </row>
    <row r="1943" ht="22.5" customHeight="1">
      <c r="C1943" s="193"/>
      <c r="G1943" s="193"/>
      <c r="H1943" s="194"/>
      <c r="I1943" s="194"/>
      <c r="J1943" s="194"/>
      <c r="L1943" s="194"/>
      <c r="M1943" s="194"/>
    </row>
    <row r="1944" ht="22.5" customHeight="1">
      <c r="C1944" s="193"/>
      <c r="G1944" s="193"/>
      <c r="H1944" s="194"/>
      <c r="I1944" s="194"/>
      <c r="J1944" s="194"/>
      <c r="L1944" s="194"/>
      <c r="M1944" s="194"/>
    </row>
    <row r="1945" ht="22.5" customHeight="1">
      <c r="C1945" s="193"/>
      <c r="G1945" s="193"/>
      <c r="H1945" s="194"/>
      <c r="I1945" s="194"/>
      <c r="J1945" s="194"/>
      <c r="L1945" s="194"/>
      <c r="M1945" s="194"/>
    </row>
    <row r="1946" ht="22.5" customHeight="1">
      <c r="C1946" s="193"/>
      <c r="G1946" s="193"/>
      <c r="H1946" s="194"/>
      <c r="I1946" s="194"/>
      <c r="J1946" s="194"/>
      <c r="L1946" s="194"/>
      <c r="M1946" s="194"/>
    </row>
    <row r="1947" ht="22.5" customHeight="1">
      <c r="C1947" s="193"/>
      <c r="G1947" s="193"/>
      <c r="H1947" s="194"/>
      <c r="I1947" s="194"/>
      <c r="J1947" s="194"/>
      <c r="L1947" s="194"/>
      <c r="M1947" s="194"/>
    </row>
    <row r="1948" ht="22.5" customHeight="1">
      <c r="C1948" s="193"/>
      <c r="G1948" s="193"/>
      <c r="H1948" s="194"/>
      <c r="I1948" s="194"/>
      <c r="J1948" s="194"/>
      <c r="L1948" s="194"/>
      <c r="M1948" s="194"/>
      <c r="S1948" s="218"/>
      <c r="T1948" s="1"/>
    </row>
    <row r="1949" ht="22.5" customHeight="1">
      <c r="C1949" s="193"/>
      <c r="G1949" s="193"/>
      <c r="H1949" s="194"/>
      <c r="I1949" s="194"/>
      <c r="J1949" s="194"/>
      <c r="L1949" s="194"/>
      <c r="M1949" s="194"/>
      <c r="S1949" s="1"/>
    </row>
    <row r="1950" ht="22.5" customHeight="1">
      <c r="C1950" s="193"/>
      <c r="G1950" s="193"/>
      <c r="H1950" s="194"/>
      <c r="I1950" s="194"/>
      <c r="J1950" s="194"/>
      <c r="L1950" s="194"/>
      <c r="M1950" s="194"/>
    </row>
    <row r="1951" ht="22.5" customHeight="1">
      <c r="C1951" s="193"/>
      <c r="G1951" s="193"/>
      <c r="H1951" s="194"/>
      <c r="I1951" s="194"/>
      <c r="J1951" s="194"/>
      <c r="L1951" s="194"/>
      <c r="M1951" s="194"/>
      <c r="S1951" s="218"/>
      <c r="T1951" s="1"/>
    </row>
    <row r="1952" ht="22.5" customHeight="1">
      <c r="C1952" s="193"/>
      <c r="G1952" s="193"/>
      <c r="H1952" s="194"/>
      <c r="I1952" s="194"/>
      <c r="J1952" s="194"/>
      <c r="L1952" s="194"/>
      <c r="M1952" s="194"/>
      <c r="S1952" s="1"/>
    </row>
    <row r="1953" ht="22.5" customHeight="1">
      <c r="C1953" s="193"/>
      <c r="G1953" s="193"/>
      <c r="H1953" s="194"/>
      <c r="I1953" s="194"/>
      <c r="J1953" s="194"/>
      <c r="L1953" s="194"/>
      <c r="M1953" s="194"/>
      <c r="S1953" s="1"/>
    </row>
    <row r="1954" ht="22.5" customHeight="1">
      <c r="C1954" s="193"/>
      <c r="G1954" s="193"/>
      <c r="H1954" s="194"/>
      <c r="I1954" s="194"/>
      <c r="J1954" s="194"/>
      <c r="L1954" s="194"/>
      <c r="M1954" s="194"/>
      <c r="S1954" s="1"/>
    </row>
    <row r="1955" ht="22.5" customHeight="1">
      <c r="C1955" s="193"/>
      <c r="G1955" s="193"/>
      <c r="H1955" s="194"/>
      <c r="I1955" s="194"/>
      <c r="J1955" s="194"/>
      <c r="L1955" s="194"/>
      <c r="M1955" s="194"/>
    </row>
    <row r="1956" ht="22.5" customHeight="1">
      <c r="C1956" s="193"/>
      <c r="G1956" s="193"/>
      <c r="H1956" s="194"/>
      <c r="I1956" s="194"/>
      <c r="J1956" s="194"/>
      <c r="L1956" s="194"/>
      <c r="M1956" s="194"/>
      <c r="S1956" s="218"/>
      <c r="T1956" s="1"/>
    </row>
    <row r="1957" ht="22.5" customHeight="1">
      <c r="C1957" s="193"/>
      <c r="G1957" s="193"/>
      <c r="H1957" s="194"/>
      <c r="I1957" s="194"/>
      <c r="J1957" s="194"/>
      <c r="L1957" s="194"/>
      <c r="M1957" s="194"/>
      <c r="S1957" s="1"/>
    </row>
    <row r="1958" ht="22.5" customHeight="1">
      <c r="C1958" s="193"/>
      <c r="G1958" s="193"/>
      <c r="H1958" s="194"/>
      <c r="I1958" s="194"/>
      <c r="J1958" s="194"/>
      <c r="L1958" s="194"/>
      <c r="M1958" s="194"/>
    </row>
    <row r="1959" ht="22.5" customHeight="1">
      <c r="C1959" s="193"/>
      <c r="G1959" s="193"/>
      <c r="H1959" s="194"/>
      <c r="I1959" s="194"/>
      <c r="J1959" s="194"/>
      <c r="L1959" s="194"/>
      <c r="M1959" s="194"/>
    </row>
    <row r="1960" ht="22.5" customHeight="1">
      <c r="C1960" s="193"/>
      <c r="G1960" s="193"/>
      <c r="H1960" s="194"/>
      <c r="I1960" s="194"/>
      <c r="J1960" s="194"/>
      <c r="L1960" s="194"/>
      <c r="M1960" s="194"/>
    </row>
    <row r="1961" ht="22.5" customHeight="1">
      <c r="C1961" s="193"/>
      <c r="G1961" s="193"/>
      <c r="H1961" s="194"/>
      <c r="I1961" s="194"/>
      <c r="J1961" s="194"/>
      <c r="L1961" s="194"/>
      <c r="M1961" s="194"/>
    </row>
    <row r="1962" ht="22.5" customHeight="1">
      <c r="C1962" s="193"/>
      <c r="G1962" s="193"/>
      <c r="H1962" s="194"/>
      <c r="I1962" s="194"/>
      <c r="J1962" s="194"/>
      <c r="L1962" s="194"/>
      <c r="M1962" s="194"/>
    </row>
    <row r="1963" ht="22.5" customHeight="1">
      <c r="C1963" s="193"/>
      <c r="G1963" s="193"/>
      <c r="H1963" s="194"/>
      <c r="I1963" s="194"/>
      <c r="J1963" s="194"/>
      <c r="L1963" s="194"/>
      <c r="M1963" s="194"/>
    </row>
    <row r="1964" ht="22.5" customHeight="1">
      <c r="C1964" s="193"/>
      <c r="G1964" s="193"/>
      <c r="H1964" s="194"/>
      <c r="I1964" s="194"/>
      <c r="J1964" s="194"/>
      <c r="L1964" s="194"/>
      <c r="M1964" s="194"/>
    </row>
    <row r="1965" ht="22.5" customHeight="1">
      <c r="C1965" s="193"/>
      <c r="G1965" s="193"/>
      <c r="H1965" s="194"/>
      <c r="I1965" s="194"/>
      <c r="J1965" s="194"/>
      <c r="L1965" s="194"/>
      <c r="M1965" s="194"/>
    </row>
    <row r="1966" ht="22.5" customHeight="1">
      <c r="C1966" s="193"/>
      <c r="G1966" s="193"/>
      <c r="H1966" s="194"/>
      <c r="I1966" s="194"/>
      <c r="J1966" s="194"/>
      <c r="L1966" s="194"/>
      <c r="M1966" s="194"/>
    </row>
    <row r="1967" ht="22.5" customHeight="1">
      <c r="C1967" s="193"/>
      <c r="G1967" s="193"/>
      <c r="H1967" s="194"/>
      <c r="I1967" s="194"/>
      <c r="J1967" s="194"/>
      <c r="L1967" s="194"/>
      <c r="M1967" s="194"/>
    </row>
    <row r="1968" ht="22.5" customHeight="1">
      <c r="C1968" s="193"/>
      <c r="G1968" s="193"/>
      <c r="H1968" s="194"/>
      <c r="I1968" s="194"/>
      <c r="J1968" s="194"/>
      <c r="L1968" s="194"/>
      <c r="M1968" s="194"/>
    </row>
    <row r="1969" ht="22.5" customHeight="1">
      <c r="C1969" s="193"/>
      <c r="G1969" s="193"/>
      <c r="H1969" s="194"/>
      <c r="I1969" s="194"/>
      <c r="J1969" s="194"/>
      <c r="L1969" s="194"/>
      <c r="M1969" s="194"/>
    </row>
    <row r="1970" ht="22.5" customHeight="1">
      <c r="C1970" s="193"/>
      <c r="G1970" s="193"/>
      <c r="H1970" s="194"/>
      <c r="I1970" s="194"/>
      <c r="J1970" s="194"/>
      <c r="L1970" s="194"/>
      <c r="M1970" s="194"/>
    </row>
    <row r="1971" ht="22.5" customHeight="1">
      <c r="C1971" s="193"/>
      <c r="G1971" s="193"/>
      <c r="H1971" s="194"/>
      <c r="I1971" s="194"/>
      <c r="J1971" s="194"/>
      <c r="L1971" s="194"/>
      <c r="M1971" s="194"/>
    </row>
    <row r="1972" ht="22.5" customHeight="1">
      <c r="C1972" s="193"/>
      <c r="G1972" s="193"/>
      <c r="H1972" s="194"/>
      <c r="I1972" s="194"/>
      <c r="J1972" s="194"/>
      <c r="L1972" s="194"/>
      <c r="M1972" s="194"/>
    </row>
    <row r="1973" ht="22.5" customHeight="1">
      <c r="C1973" s="193"/>
      <c r="G1973" s="193"/>
      <c r="H1973" s="194"/>
      <c r="I1973" s="194"/>
      <c r="J1973" s="194"/>
      <c r="L1973" s="194"/>
      <c r="M1973" s="194"/>
    </row>
    <row r="1974" ht="22.5" customHeight="1">
      <c r="C1974" s="193"/>
      <c r="G1974" s="193"/>
      <c r="H1974" s="194"/>
      <c r="I1974" s="194"/>
      <c r="J1974" s="194"/>
      <c r="L1974" s="194"/>
      <c r="M1974" s="194"/>
    </row>
    <row r="1975" ht="22.5" customHeight="1">
      <c r="C1975" s="193"/>
      <c r="G1975" s="193"/>
      <c r="H1975" s="194"/>
      <c r="I1975" s="194"/>
      <c r="J1975" s="194"/>
      <c r="L1975" s="194"/>
      <c r="M1975" s="194"/>
    </row>
    <row r="1976" ht="22.5" customHeight="1">
      <c r="C1976" s="193"/>
      <c r="G1976" s="193"/>
      <c r="H1976" s="194"/>
      <c r="I1976" s="194"/>
      <c r="J1976" s="194"/>
      <c r="L1976" s="194"/>
      <c r="M1976" s="194"/>
    </row>
    <row r="1977" ht="22.5" customHeight="1">
      <c r="C1977" s="193"/>
      <c r="G1977" s="193"/>
      <c r="H1977" s="194"/>
      <c r="I1977" s="194"/>
      <c r="J1977" s="194"/>
      <c r="L1977" s="194"/>
      <c r="M1977" s="194"/>
    </row>
    <row r="1978" ht="22.5" customHeight="1">
      <c r="C1978" s="193"/>
      <c r="G1978" s="193"/>
      <c r="H1978" s="194"/>
      <c r="I1978" s="194"/>
      <c r="J1978" s="194"/>
      <c r="L1978" s="194"/>
      <c r="M1978" s="194"/>
    </row>
    <row r="1979" ht="22.5" customHeight="1">
      <c r="C1979" s="193"/>
      <c r="G1979" s="193"/>
      <c r="H1979" s="194"/>
      <c r="I1979" s="194"/>
      <c r="J1979" s="194"/>
      <c r="L1979" s="194"/>
      <c r="M1979" s="194"/>
    </row>
    <row r="1980" ht="22.5" customHeight="1">
      <c r="C1980" s="193"/>
      <c r="G1980" s="193"/>
      <c r="H1980" s="194"/>
      <c r="I1980" s="194"/>
      <c r="J1980" s="194"/>
      <c r="L1980" s="194"/>
      <c r="M1980" s="194"/>
    </row>
    <row r="1981" ht="22.5" customHeight="1">
      <c r="C1981" s="193"/>
      <c r="G1981" s="193"/>
      <c r="H1981" s="194"/>
      <c r="I1981" s="194"/>
      <c r="J1981" s="194"/>
      <c r="L1981" s="194"/>
      <c r="M1981" s="194"/>
    </row>
    <row r="1982" ht="22.5" customHeight="1">
      <c r="C1982" s="193"/>
      <c r="G1982" s="193"/>
      <c r="H1982" s="194"/>
      <c r="I1982" s="194"/>
      <c r="J1982" s="194"/>
      <c r="L1982" s="194"/>
      <c r="M1982" s="194"/>
    </row>
    <row r="1983" ht="22.5" customHeight="1">
      <c r="C1983" s="193"/>
      <c r="G1983" s="193"/>
      <c r="H1983" s="194"/>
      <c r="I1983" s="194"/>
      <c r="J1983" s="194"/>
      <c r="L1983" s="194"/>
      <c r="M1983" s="194"/>
    </row>
    <row r="1984" ht="22.5" customHeight="1">
      <c r="C1984" s="193"/>
      <c r="G1984" s="193"/>
      <c r="H1984" s="194"/>
      <c r="I1984" s="194"/>
      <c r="J1984" s="194"/>
      <c r="L1984" s="194"/>
      <c r="M1984" s="194"/>
    </row>
    <row r="1985" ht="22.5" customHeight="1">
      <c r="C1985" s="193"/>
      <c r="G1985" s="193"/>
      <c r="H1985" s="194"/>
      <c r="I1985" s="194"/>
      <c r="J1985" s="194"/>
      <c r="L1985" s="194"/>
      <c r="M1985" s="194"/>
    </row>
    <row r="1986" ht="22.5" customHeight="1">
      <c r="C1986" s="193"/>
      <c r="G1986" s="193"/>
      <c r="H1986" s="194"/>
      <c r="I1986" s="194"/>
      <c r="J1986" s="194"/>
      <c r="L1986" s="194"/>
      <c r="M1986" s="194"/>
    </row>
    <row r="1987" ht="22.5" customHeight="1">
      <c r="C1987" s="193"/>
      <c r="G1987" s="193"/>
      <c r="H1987" s="194"/>
      <c r="I1987" s="194"/>
      <c r="J1987" s="194"/>
      <c r="L1987" s="194"/>
      <c r="M1987" s="194"/>
    </row>
    <row r="1988" ht="22.5" customHeight="1">
      <c r="C1988" s="193"/>
      <c r="G1988" s="193"/>
      <c r="H1988" s="194"/>
      <c r="I1988" s="194"/>
      <c r="J1988" s="194"/>
      <c r="L1988" s="194"/>
      <c r="M1988" s="194"/>
    </row>
    <row r="1989" ht="22.5" customHeight="1">
      <c r="C1989" s="193"/>
      <c r="G1989" s="193"/>
      <c r="H1989" s="194"/>
      <c r="I1989" s="194"/>
      <c r="J1989" s="194"/>
      <c r="L1989" s="194"/>
      <c r="M1989" s="194"/>
    </row>
    <row r="1990" ht="22.5" customHeight="1">
      <c r="C1990" s="193"/>
      <c r="G1990" s="193"/>
      <c r="H1990" s="194"/>
      <c r="I1990" s="194"/>
      <c r="J1990" s="194"/>
      <c r="L1990" s="194"/>
      <c r="M1990" s="194"/>
    </row>
    <row r="1991" ht="22.5" customHeight="1">
      <c r="C1991" s="193"/>
      <c r="G1991" s="193"/>
      <c r="H1991" s="194"/>
      <c r="I1991" s="194"/>
      <c r="J1991" s="194"/>
      <c r="L1991" s="194"/>
      <c r="M1991" s="194"/>
    </row>
    <row r="1992" ht="22.5" customHeight="1">
      <c r="A1992" s="44" t="s">
        <v>668</v>
      </c>
      <c r="B1992" s="44" t="s">
        <v>825</v>
      </c>
      <c r="C1992" s="200">
        <v>6.0</v>
      </c>
      <c r="D1992" s="44" t="s">
        <v>795</v>
      </c>
      <c r="E1992" s="82" t="b">
        <v>1</v>
      </c>
      <c r="F1992" s="44">
        <v>7.0</v>
      </c>
      <c r="G1992" s="200">
        <v>6.0</v>
      </c>
      <c r="H1992" s="196">
        <v>0.5</v>
      </c>
      <c r="I1992" s="194">
        <f t="shared" ref="I1992:J1992" si="10">1/6</f>
        <v>0.1666666667</v>
      </c>
      <c r="J1992" s="194">
        <f t="shared" si="10"/>
        <v>0.1666666667</v>
      </c>
      <c r="K1992" s="44">
        <v>5.0</v>
      </c>
      <c r="L1992" s="194">
        <f>1/2</f>
        <v>0.5</v>
      </c>
      <c r="M1992" s="194">
        <f>L1992*K1992</f>
        <v>2.5</v>
      </c>
      <c r="N1992" s="82">
        <f t="shared" ref="N1992:O1992" si="11">M1992*H1992</f>
        <v>1.25</v>
      </c>
      <c r="O1992" s="82">
        <f t="shared" si="11"/>
        <v>0.2083333333</v>
      </c>
      <c r="P1992" s="44">
        <v>1.0</v>
      </c>
    </row>
    <row r="1993" ht="22.5" customHeight="1">
      <c r="C1993" s="193"/>
      <c r="G1993" s="193"/>
      <c r="H1993" s="194"/>
      <c r="I1993" s="194"/>
      <c r="J1993" s="194"/>
      <c r="L1993" s="194"/>
      <c r="M1993" s="194"/>
    </row>
    <row r="1994" ht="22.5" customHeight="1">
      <c r="C1994" s="193"/>
      <c r="G1994" s="193"/>
      <c r="H1994" s="194"/>
      <c r="I1994" s="194"/>
      <c r="J1994" s="194"/>
      <c r="L1994" s="194"/>
      <c r="M1994" s="194"/>
    </row>
    <row r="1995" ht="22.5" customHeight="1">
      <c r="C1995" s="193"/>
      <c r="G1995" s="193"/>
      <c r="H1995" s="194"/>
      <c r="I1995" s="194"/>
      <c r="J1995" s="194"/>
      <c r="L1995" s="194"/>
      <c r="M1995" s="194"/>
    </row>
    <row r="1996" ht="22.5" customHeight="1">
      <c r="C1996" s="193"/>
      <c r="G1996" s="193"/>
      <c r="H1996" s="194"/>
      <c r="I1996" s="194"/>
      <c r="J1996" s="194"/>
      <c r="L1996" s="194"/>
      <c r="M1996" s="194"/>
    </row>
    <row r="1997" ht="22.5" customHeight="1">
      <c r="C1997" s="193"/>
      <c r="G1997" s="193"/>
      <c r="H1997" s="194"/>
      <c r="I1997" s="194"/>
      <c r="J1997" s="194"/>
      <c r="L1997" s="194"/>
      <c r="M1997" s="194"/>
    </row>
    <row r="1998" ht="22.5" customHeight="1">
      <c r="C1998" s="193"/>
      <c r="G1998" s="193"/>
      <c r="H1998" s="194"/>
      <c r="I1998" s="194"/>
      <c r="J1998" s="194"/>
      <c r="L1998" s="194"/>
      <c r="M1998" s="194"/>
    </row>
    <row r="1999" ht="22.5" customHeight="1">
      <c r="C1999" s="193"/>
      <c r="G1999" s="193"/>
      <c r="H1999" s="194"/>
      <c r="I1999" s="194"/>
      <c r="J1999" s="194"/>
      <c r="L1999" s="194"/>
      <c r="M1999" s="194"/>
    </row>
    <row r="2000" ht="22.5" customHeight="1">
      <c r="C2000" s="193"/>
      <c r="G2000" s="193"/>
      <c r="H2000" s="194"/>
      <c r="I2000" s="194"/>
      <c r="J2000" s="194"/>
      <c r="L2000" s="194"/>
      <c r="M2000" s="194"/>
    </row>
    <row r="2001" ht="22.5" customHeight="1">
      <c r="C2001" s="193"/>
      <c r="G2001" s="193"/>
      <c r="H2001" s="194"/>
      <c r="I2001" s="194"/>
      <c r="J2001" s="194"/>
      <c r="L2001" s="194"/>
      <c r="M2001" s="194"/>
    </row>
    <row r="2002" ht="22.5" customHeight="1">
      <c r="C2002" s="193"/>
      <c r="G2002" s="193"/>
      <c r="H2002" s="194"/>
      <c r="I2002" s="194"/>
      <c r="J2002" s="194"/>
      <c r="L2002" s="194"/>
      <c r="M2002" s="194"/>
    </row>
    <row r="2003" ht="22.5" customHeight="1">
      <c r="C2003" s="193"/>
      <c r="G2003" s="193"/>
      <c r="H2003" s="194"/>
      <c r="I2003" s="194"/>
      <c r="J2003" s="194"/>
      <c r="L2003" s="194"/>
      <c r="M2003" s="194"/>
    </row>
    <row r="2004" ht="22.5" customHeight="1">
      <c r="C2004" s="193"/>
      <c r="G2004" s="193"/>
      <c r="H2004" s="194"/>
      <c r="I2004" s="194"/>
      <c r="J2004" s="194"/>
      <c r="L2004" s="194"/>
      <c r="M2004" s="194"/>
    </row>
    <row r="2005" ht="22.5" customHeight="1">
      <c r="C2005" s="193"/>
      <c r="G2005" s="193"/>
      <c r="H2005" s="194"/>
      <c r="I2005" s="194"/>
      <c r="J2005" s="194"/>
      <c r="L2005" s="194"/>
      <c r="M2005" s="194"/>
    </row>
    <row r="2006" ht="22.5" customHeight="1">
      <c r="C2006" s="193"/>
      <c r="G2006" s="193"/>
      <c r="H2006" s="194"/>
      <c r="I2006" s="194"/>
      <c r="J2006" s="194"/>
      <c r="L2006" s="194"/>
      <c r="M2006" s="194"/>
    </row>
    <row r="2007" ht="22.5" customHeight="1">
      <c r="C2007" s="193"/>
      <c r="G2007" s="193"/>
      <c r="H2007" s="194"/>
      <c r="I2007" s="194"/>
      <c r="J2007" s="194"/>
      <c r="L2007" s="194"/>
      <c r="M2007" s="194"/>
    </row>
    <row r="2008" ht="22.5" customHeight="1">
      <c r="C2008" s="193"/>
      <c r="G2008" s="193"/>
      <c r="H2008" s="194"/>
      <c r="I2008" s="194"/>
      <c r="J2008" s="194"/>
      <c r="L2008" s="194"/>
      <c r="M2008" s="194"/>
    </row>
    <row r="2009" ht="22.5" customHeight="1">
      <c r="C2009" s="193"/>
      <c r="G2009" s="193"/>
      <c r="H2009" s="194"/>
      <c r="I2009" s="194"/>
      <c r="J2009" s="194"/>
      <c r="L2009" s="194"/>
      <c r="M2009" s="194"/>
    </row>
    <row r="2010" ht="22.5" customHeight="1">
      <c r="C2010" s="193"/>
      <c r="G2010" s="193"/>
      <c r="H2010" s="194"/>
      <c r="I2010" s="194"/>
      <c r="J2010" s="194"/>
      <c r="L2010" s="194"/>
      <c r="M2010" s="194"/>
    </row>
    <row r="2011" ht="22.5" customHeight="1">
      <c r="C2011" s="193"/>
      <c r="G2011" s="193"/>
      <c r="H2011" s="194"/>
      <c r="I2011" s="194"/>
      <c r="J2011" s="194"/>
      <c r="L2011" s="194"/>
      <c r="M2011" s="194"/>
    </row>
    <row r="2012" ht="22.5" customHeight="1">
      <c r="C2012" s="193"/>
      <c r="G2012" s="193"/>
      <c r="H2012" s="194"/>
      <c r="I2012" s="194"/>
      <c r="J2012" s="194"/>
      <c r="L2012" s="194"/>
      <c r="M2012" s="194"/>
    </row>
    <row r="2013" ht="22.5" customHeight="1">
      <c r="C2013" s="193"/>
      <c r="G2013" s="193"/>
      <c r="H2013" s="194"/>
      <c r="I2013" s="194"/>
      <c r="J2013" s="194"/>
      <c r="L2013" s="194"/>
      <c r="M2013" s="194"/>
    </row>
    <row r="2014" ht="22.5" customHeight="1">
      <c r="C2014" s="193"/>
      <c r="G2014" s="193"/>
      <c r="H2014" s="194"/>
      <c r="I2014" s="194"/>
      <c r="J2014" s="194"/>
      <c r="L2014" s="194"/>
      <c r="M2014" s="194"/>
    </row>
    <row r="2015" ht="22.5" customHeight="1">
      <c r="C2015" s="193"/>
      <c r="G2015" s="193"/>
      <c r="H2015" s="194"/>
      <c r="I2015" s="194"/>
      <c r="J2015" s="194"/>
      <c r="L2015" s="194"/>
      <c r="M2015" s="194"/>
    </row>
    <row r="2016" ht="22.5" customHeight="1">
      <c r="C2016" s="193"/>
      <c r="G2016" s="193"/>
      <c r="H2016" s="194"/>
      <c r="I2016" s="194"/>
      <c r="J2016" s="194"/>
      <c r="L2016" s="194"/>
      <c r="M2016" s="194"/>
    </row>
    <row r="2017" ht="22.5" customHeight="1">
      <c r="C2017" s="193"/>
      <c r="G2017" s="193"/>
      <c r="H2017" s="194"/>
      <c r="I2017" s="194"/>
      <c r="J2017" s="194"/>
      <c r="L2017" s="194"/>
      <c r="M2017" s="194"/>
    </row>
    <row r="2018" ht="22.5" customHeight="1">
      <c r="C2018" s="193"/>
      <c r="G2018" s="193"/>
      <c r="H2018" s="194"/>
      <c r="I2018" s="194"/>
      <c r="J2018" s="194"/>
      <c r="L2018" s="194"/>
      <c r="M2018" s="194"/>
    </row>
    <row r="2019" ht="22.5" customHeight="1">
      <c r="C2019" s="193"/>
      <c r="G2019" s="193"/>
      <c r="H2019" s="194"/>
      <c r="I2019" s="194"/>
      <c r="J2019" s="194"/>
      <c r="L2019" s="194"/>
      <c r="M2019" s="194"/>
    </row>
    <row r="2020" ht="22.5" customHeight="1">
      <c r="C2020" s="193"/>
      <c r="G2020" s="193"/>
      <c r="H2020" s="194"/>
      <c r="I2020" s="194"/>
      <c r="J2020" s="194"/>
      <c r="L2020" s="194"/>
      <c r="M2020" s="194"/>
    </row>
    <row r="2021" ht="22.5" customHeight="1">
      <c r="C2021" s="193"/>
      <c r="G2021" s="193"/>
      <c r="H2021" s="194"/>
      <c r="I2021" s="194"/>
      <c r="J2021" s="194"/>
      <c r="L2021" s="194"/>
      <c r="M2021" s="194"/>
    </row>
    <row r="2022" ht="22.5" customHeight="1">
      <c r="C2022" s="193"/>
      <c r="G2022" s="193"/>
      <c r="H2022" s="194"/>
      <c r="I2022" s="194"/>
      <c r="J2022" s="194"/>
      <c r="L2022" s="194"/>
      <c r="M2022" s="194"/>
    </row>
    <row r="2023" ht="22.5" customHeight="1">
      <c r="C2023" s="193"/>
      <c r="G2023" s="193"/>
      <c r="H2023" s="194"/>
      <c r="I2023" s="194"/>
      <c r="J2023" s="194"/>
      <c r="L2023" s="194"/>
      <c r="M2023" s="194"/>
    </row>
    <row r="2024" ht="22.5" customHeight="1">
      <c r="C2024" s="193"/>
      <c r="G2024" s="193"/>
      <c r="H2024" s="194"/>
      <c r="I2024" s="194"/>
      <c r="J2024" s="194"/>
      <c r="L2024" s="194"/>
      <c r="M2024" s="194"/>
    </row>
    <row r="2025" ht="22.5" customHeight="1">
      <c r="C2025" s="193"/>
      <c r="G2025" s="193"/>
      <c r="H2025" s="194"/>
      <c r="I2025" s="194"/>
      <c r="J2025" s="194"/>
      <c r="L2025" s="194"/>
      <c r="M2025" s="194"/>
    </row>
    <row r="2026" ht="22.5" customHeight="1">
      <c r="C2026" s="193"/>
      <c r="G2026" s="193"/>
      <c r="H2026" s="194"/>
      <c r="I2026" s="194"/>
      <c r="J2026" s="194"/>
      <c r="L2026" s="194"/>
      <c r="M2026" s="194"/>
    </row>
    <row r="2027" ht="22.5" customHeight="1">
      <c r="C2027" s="193"/>
      <c r="G2027" s="193"/>
      <c r="H2027" s="194"/>
      <c r="I2027" s="194"/>
      <c r="J2027" s="194"/>
      <c r="L2027" s="194"/>
      <c r="M2027" s="194"/>
    </row>
    <row r="2028" ht="22.5" customHeight="1">
      <c r="C2028" s="193"/>
      <c r="G2028" s="193"/>
      <c r="H2028" s="194"/>
      <c r="I2028" s="194"/>
      <c r="J2028" s="194"/>
      <c r="L2028" s="194"/>
      <c r="M2028" s="194"/>
    </row>
    <row r="2029" ht="22.5" customHeight="1">
      <c r="C2029" s="193"/>
      <c r="G2029" s="193"/>
      <c r="H2029" s="194"/>
      <c r="I2029" s="194"/>
      <c r="J2029" s="194"/>
      <c r="L2029" s="194"/>
      <c r="M2029" s="194"/>
    </row>
    <row r="2030" ht="22.5" customHeight="1">
      <c r="C2030" s="193"/>
      <c r="G2030" s="193"/>
      <c r="H2030" s="194"/>
      <c r="I2030" s="194"/>
      <c r="J2030" s="194"/>
      <c r="L2030" s="194"/>
      <c r="M2030" s="194"/>
    </row>
    <row r="2031" ht="22.5" customHeight="1">
      <c r="C2031" s="193"/>
      <c r="G2031" s="193"/>
      <c r="H2031" s="194"/>
      <c r="I2031" s="194"/>
      <c r="J2031" s="194"/>
      <c r="L2031" s="194"/>
      <c r="M2031" s="194"/>
    </row>
    <row r="2032" ht="22.5" customHeight="1">
      <c r="C2032" s="193"/>
      <c r="G2032" s="193"/>
      <c r="H2032" s="194"/>
      <c r="I2032" s="194"/>
      <c r="J2032" s="194"/>
      <c r="L2032" s="194"/>
      <c r="M2032" s="194"/>
    </row>
    <row r="2033" ht="22.5" customHeight="1">
      <c r="C2033" s="193"/>
      <c r="G2033" s="193"/>
      <c r="H2033" s="194"/>
      <c r="I2033" s="194"/>
      <c r="J2033" s="194"/>
      <c r="L2033" s="194"/>
      <c r="M2033" s="194"/>
    </row>
    <row r="2034" ht="22.5" customHeight="1">
      <c r="C2034" s="193"/>
      <c r="G2034" s="193"/>
      <c r="H2034" s="194"/>
      <c r="I2034" s="194"/>
      <c r="J2034" s="194"/>
      <c r="L2034" s="194"/>
      <c r="M2034" s="194"/>
    </row>
    <row r="2035" ht="22.5" customHeight="1">
      <c r="C2035" s="193"/>
      <c r="G2035" s="193"/>
      <c r="H2035" s="194"/>
      <c r="I2035" s="194"/>
      <c r="J2035" s="194"/>
      <c r="L2035" s="194"/>
      <c r="M2035" s="194"/>
    </row>
    <row r="2036" ht="22.5" customHeight="1">
      <c r="C2036" s="193"/>
      <c r="G2036" s="193"/>
      <c r="H2036" s="194"/>
      <c r="I2036" s="194"/>
      <c r="J2036" s="194"/>
      <c r="L2036" s="194"/>
      <c r="M2036" s="194"/>
    </row>
    <row r="2037" ht="22.5" customHeight="1">
      <c r="C2037" s="193"/>
      <c r="G2037" s="193"/>
      <c r="H2037" s="194"/>
      <c r="I2037" s="194"/>
      <c r="J2037" s="194"/>
      <c r="L2037" s="194"/>
      <c r="M2037" s="194"/>
    </row>
    <row r="2038" ht="22.5" customHeight="1">
      <c r="C2038" s="193"/>
      <c r="G2038" s="193"/>
      <c r="H2038" s="194"/>
      <c r="I2038" s="194"/>
      <c r="J2038" s="194"/>
      <c r="L2038" s="194"/>
      <c r="M2038" s="194"/>
    </row>
    <row r="2039" ht="22.5" customHeight="1">
      <c r="C2039" s="193"/>
      <c r="G2039" s="193"/>
      <c r="H2039" s="194"/>
      <c r="I2039" s="194"/>
      <c r="J2039" s="194"/>
      <c r="L2039" s="194"/>
      <c r="M2039" s="194"/>
    </row>
    <row r="2040" ht="22.5" customHeight="1">
      <c r="C2040" s="193"/>
      <c r="G2040" s="193"/>
      <c r="H2040" s="194"/>
      <c r="I2040" s="194"/>
      <c r="J2040" s="194"/>
      <c r="L2040" s="194"/>
      <c r="M2040" s="194"/>
    </row>
    <row r="2041" ht="22.5" customHeight="1">
      <c r="C2041" s="193"/>
      <c r="G2041" s="193"/>
      <c r="H2041" s="194"/>
      <c r="I2041" s="194"/>
      <c r="J2041" s="194"/>
      <c r="L2041" s="194"/>
      <c r="M2041" s="194"/>
    </row>
    <row r="2042" ht="22.5" customHeight="1">
      <c r="C2042" s="193"/>
      <c r="G2042" s="193"/>
      <c r="H2042" s="194"/>
      <c r="I2042" s="194"/>
      <c r="J2042" s="194"/>
      <c r="L2042" s="194"/>
      <c r="M2042" s="194"/>
    </row>
    <row r="2043" ht="22.5" customHeight="1">
      <c r="C2043" s="193"/>
      <c r="G2043" s="193"/>
      <c r="H2043" s="194"/>
      <c r="I2043" s="194"/>
      <c r="J2043" s="194"/>
      <c r="L2043" s="194"/>
      <c r="M2043" s="194"/>
    </row>
    <row r="2044" ht="22.5" customHeight="1">
      <c r="C2044" s="193"/>
      <c r="G2044" s="193"/>
      <c r="H2044" s="194"/>
      <c r="I2044" s="194"/>
      <c r="J2044" s="194"/>
      <c r="L2044" s="194"/>
      <c r="M2044" s="194"/>
    </row>
    <row r="2045" ht="22.5" customHeight="1">
      <c r="C2045" s="193"/>
      <c r="G2045" s="193"/>
      <c r="H2045" s="194"/>
      <c r="I2045" s="194"/>
      <c r="J2045" s="194"/>
      <c r="L2045" s="194"/>
      <c r="M2045" s="194"/>
    </row>
    <row r="2046" ht="22.5" customHeight="1">
      <c r="C2046" s="193"/>
      <c r="G2046" s="193"/>
      <c r="H2046" s="194"/>
      <c r="I2046" s="194"/>
      <c r="J2046" s="194"/>
      <c r="L2046" s="194"/>
      <c r="M2046" s="194"/>
    </row>
    <row r="2047" ht="22.5" customHeight="1">
      <c r="C2047" s="193"/>
      <c r="G2047" s="193"/>
      <c r="H2047" s="194"/>
      <c r="I2047" s="194"/>
      <c r="J2047" s="194"/>
      <c r="L2047" s="194"/>
      <c r="M2047" s="194"/>
    </row>
    <row r="2048" ht="22.5" customHeight="1">
      <c r="C2048" s="193"/>
      <c r="G2048" s="193"/>
      <c r="H2048" s="194"/>
      <c r="I2048" s="194"/>
      <c r="J2048" s="194"/>
      <c r="L2048" s="194"/>
      <c r="M2048" s="194"/>
    </row>
    <row r="2049" ht="22.5" customHeight="1">
      <c r="C2049" s="193"/>
      <c r="G2049" s="193"/>
      <c r="H2049" s="194"/>
      <c r="I2049" s="194"/>
      <c r="J2049" s="194"/>
      <c r="L2049" s="194"/>
      <c r="M2049" s="194"/>
    </row>
    <row r="2050" ht="22.5" customHeight="1">
      <c r="C2050" s="193"/>
      <c r="G2050" s="193"/>
      <c r="H2050" s="194"/>
      <c r="I2050" s="194"/>
      <c r="J2050" s="194"/>
      <c r="L2050" s="194"/>
      <c r="M2050" s="194"/>
    </row>
    <row r="2051" ht="22.5" customHeight="1">
      <c r="C2051" s="193"/>
      <c r="G2051" s="193"/>
      <c r="H2051" s="194"/>
      <c r="I2051" s="194"/>
      <c r="J2051" s="194"/>
      <c r="L2051" s="194"/>
      <c r="M2051" s="194"/>
    </row>
    <row r="2052" ht="22.5" customHeight="1">
      <c r="C2052" s="193"/>
      <c r="G2052" s="193"/>
      <c r="H2052" s="194"/>
      <c r="I2052" s="194"/>
      <c r="J2052" s="194"/>
      <c r="L2052" s="194"/>
      <c r="M2052" s="194"/>
    </row>
    <row r="2053" ht="22.5" customHeight="1">
      <c r="C2053" s="193"/>
      <c r="G2053" s="193"/>
      <c r="H2053" s="194"/>
      <c r="I2053" s="194"/>
      <c r="J2053" s="194"/>
      <c r="L2053" s="194"/>
      <c r="M2053" s="194"/>
    </row>
    <row r="2054" ht="22.5" customHeight="1">
      <c r="C2054" s="193"/>
      <c r="G2054" s="193"/>
      <c r="H2054" s="194"/>
      <c r="I2054" s="194"/>
      <c r="J2054" s="194"/>
      <c r="L2054" s="194"/>
      <c r="M2054" s="194"/>
    </row>
    <row r="2055" ht="22.5" customHeight="1">
      <c r="C2055" s="193"/>
      <c r="G2055" s="193"/>
      <c r="H2055" s="194"/>
      <c r="I2055" s="194"/>
      <c r="J2055" s="194"/>
      <c r="L2055" s="194"/>
      <c r="M2055" s="194"/>
    </row>
    <row r="2056" ht="22.5" customHeight="1">
      <c r="C2056" s="193"/>
      <c r="G2056" s="193"/>
      <c r="H2056" s="194"/>
      <c r="I2056" s="194"/>
      <c r="J2056" s="194"/>
      <c r="L2056" s="194"/>
      <c r="M2056" s="194"/>
    </row>
    <row r="2057" ht="22.5" customHeight="1">
      <c r="C2057" s="193"/>
      <c r="G2057" s="193"/>
      <c r="H2057" s="194"/>
      <c r="I2057" s="194"/>
      <c r="J2057" s="194"/>
      <c r="L2057" s="194"/>
      <c r="M2057" s="194"/>
    </row>
    <row r="2058" ht="22.5" customHeight="1">
      <c r="C2058" s="193"/>
      <c r="G2058" s="193"/>
      <c r="H2058" s="194"/>
      <c r="I2058" s="194"/>
      <c r="J2058" s="194"/>
      <c r="L2058" s="194"/>
      <c r="M2058" s="194"/>
    </row>
    <row r="2059" ht="22.5" customHeight="1">
      <c r="C2059" s="193"/>
      <c r="G2059" s="193"/>
      <c r="H2059" s="194"/>
      <c r="I2059" s="194"/>
      <c r="J2059" s="194"/>
      <c r="L2059" s="194"/>
      <c r="M2059" s="194"/>
    </row>
    <row r="2060" ht="22.5" customHeight="1">
      <c r="C2060" s="193"/>
      <c r="G2060" s="193"/>
      <c r="H2060" s="194"/>
      <c r="I2060" s="194"/>
      <c r="J2060" s="194"/>
      <c r="L2060" s="194"/>
      <c r="M2060" s="194"/>
    </row>
    <row r="2061" ht="22.5" customHeight="1">
      <c r="C2061" s="193"/>
      <c r="G2061" s="193"/>
      <c r="H2061" s="194"/>
      <c r="I2061" s="194"/>
      <c r="J2061" s="194"/>
      <c r="L2061" s="194"/>
      <c r="M2061" s="194"/>
    </row>
    <row r="2062" ht="22.5" customHeight="1">
      <c r="C2062" s="193"/>
      <c r="G2062" s="193"/>
      <c r="H2062" s="194"/>
      <c r="I2062" s="194"/>
      <c r="J2062" s="194"/>
      <c r="L2062" s="194"/>
      <c r="M2062" s="194"/>
    </row>
    <row r="2063" ht="22.5" customHeight="1">
      <c r="C2063" s="193"/>
      <c r="G2063" s="193"/>
      <c r="H2063" s="194"/>
      <c r="I2063" s="194"/>
      <c r="J2063" s="194"/>
      <c r="L2063" s="194"/>
      <c r="M2063" s="194"/>
    </row>
    <row r="2064" ht="22.5" customHeight="1">
      <c r="C2064" s="193"/>
      <c r="G2064" s="193"/>
      <c r="H2064" s="194"/>
      <c r="I2064" s="194"/>
      <c r="J2064" s="194"/>
      <c r="L2064" s="194"/>
      <c r="M2064" s="194"/>
    </row>
    <row r="2065" ht="22.5" customHeight="1">
      <c r="C2065" s="193"/>
      <c r="G2065" s="193"/>
      <c r="H2065" s="194"/>
      <c r="I2065" s="194"/>
      <c r="J2065" s="194"/>
      <c r="L2065" s="194"/>
      <c r="M2065" s="194"/>
    </row>
    <row r="2066" ht="22.5" customHeight="1">
      <c r="C2066" s="193"/>
      <c r="G2066" s="193"/>
      <c r="H2066" s="194"/>
      <c r="I2066" s="194"/>
      <c r="J2066" s="194"/>
      <c r="L2066" s="194"/>
      <c r="M2066" s="194"/>
    </row>
    <row r="2067" ht="22.5" customHeight="1">
      <c r="C2067" s="193"/>
      <c r="G2067" s="193"/>
      <c r="H2067" s="194"/>
      <c r="I2067" s="194"/>
      <c r="J2067" s="194"/>
      <c r="L2067" s="194"/>
      <c r="M2067" s="194"/>
    </row>
    <row r="2068" ht="22.5" customHeight="1">
      <c r="C2068" s="193"/>
      <c r="G2068" s="193"/>
      <c r="H2068" s="194"/>
      <c r="I2068" s="194"/>
      <c r="J2068" s="194"/>
      <c r="L2068" s="194"/>
      <c r="M2068" s="194"/>
    </row>
    <row r="2069" ht="22.5" customHeight="1">
      <c r="C2069" s="193"/>
      <c r="G2069" s="193"/>
      <c r="H2069" s="194"/>
      <c r="I2069" s="194"/>
      <c r="J2069" s="194"/>
      <c r="L2069" s="194"/>
      <c r="M2069" s="194"/>
    </row>
    <row r="2070" ht="22.5" customHeight="1">
      <c r="C2070" s="193"/>
      <c r="G2070" s="193"/>
      <c r="H2070" s="194"/>
      <c r="I2070" s="194"/>
      <c r="J2070" s="194"/>
      <c r="L2070" s="194"/>
      <c r="M2070" s="194"/>
    </row>
    <row r="2071" ht="22.5" customHeight="1">
      <c r="C2071" s="193"/>
      <c r="G2071" s="193"/>
      <c r="H2071" s="194"/>
      <c r="I2071" s="194"/>
      <c r="J2071" s="194"/>
      <c r="L2071" s="194"/>
      <c r="M2071" s="194"/>
    </row>
    <row r="2072" ht="22.5" customHeight="1">
      <c r="C2072" s="193"/>
      <c r="G2072" s="193"/>
      <c r="H2072" s="194"/>
      <c r="I2072" s="194"/>
      <c r="J2072" s="194"/>
      <c r="L2072" s="194"/>
      <c r="M2072" s="194"/>
    </row>
    <row r="2073" ht="22.5" customHeight="1">
      <c r="C2073" s="193"/>
      <c r="G2073" s="193"/>
      <c r="H2073" s="194"/>
      <c r="I2073" s="194"/>
      <c r="J2073" s="194"/>
      <c r="L2073" s="194"/>
      <c r="M2073" s="194"/>
    </row>
    <row r="2074" ht="22.5" customHeight="1">
      <c r="C2074" s="193"/>
      <c r="G2074" s="193"/>
      <c r="H2074" s="194"/>
      <c r="I2074" s="194"/>
      <c r="J2074" s="194"/>
      <c r="L2074" s="194"/>
      <c r="M2074" s="194"/>
    </row>
    <row r="2075" ht="22.5" customHeight="1">
      <c r="C2075" s="193"/>
      <c r="G2075" s="193"/>
      <c r="H2075" s="194"/>
      <c r="I2075" s="194"/>
      <c r="J2075" s="194"/>
      <c r="L2075" s="194"/>
      <c r="M2075" s="194"/>
    </row>
    <row r="2076" ht="22.5" customHeight="1">
      <c r="C2076" s="193"/>
      <c r="G2076" s="193"/>
      <c r="H2076" s="194"/>
      <c r="I2076" s="194"/>
      <c r="J2076" s="194"/>
      <c r="L2076" s="194"/>
      <c r="M2076" s="194"/>
    </row>
    <row r="2077" ht="22.5" customHeight="1">
      <c r="C2077" s="193"/>
      <c r="G2077" s="193"/>
      <c r="H2077" s="194"/>
      <c r="I2077" s="194"/>
      <c r="J2077" s="194"/>
      <c r="L2077" s="194"/>
      <c r="M2077" s="194"/>
    </row>
    <row r="2078" ht="22.5" customHeight="1">
      <c r="C2078" s="193"/>
      <c r="G2078" s="193"/>
      <c r="H2078" s="194"/>
      <c r="I2078" s="194"/>
      <c r="J2078" s="194"/>
      <c r="L2078" s="194"/>
      <c r="M2078" s="194"/>
    </row>
    <row r="2079" ht="22.5" customHeight="1">
      <c r="C2079" s="193"/>
      <c r="G2079" s="193"/>
      <c r="H2079" s="194"/>
      <c r="I2079" s="194"/>
      <c r="J2079" s="194"/>
      <c r="L2079" s="194"/>
      <c r="M2079" s="194"/>
    </row>
    <row r="2080" ht="22.5" customHeight="1">
      <c r="C2080" s="193"/>
      <c r="G2080" s="193"/>
      <c r="H2080" s="194"/>
      <c r="I2080" s="194"/>
      <c r="J2080" s="194"/>
      <c r="L2080" s="194"/>
      <c r="M2080" s="194"/>
    </row>
    <row r="2081" ht="22.5" customHeight="1">
      <c r="C2081" s="193"/>
      <c r="G2081" s="193"/>
      <c r="H2081" s="194"/>
      <c r="I2081" s="194"/>
      <c r="J2081" s="194"/>
      <c r="L2081" s="194"/>
      <c r="M2081" s="194"/>
    </row>
    <row r="2082" ht="22.5" customHeight="1">
      <c r="C2082" s="193"/>
      <c r="G2082" s="193"/>
      <c r="H2082" s="194"/>
      <c r="I2082" s="194"/>
      <c r="J2082" s="194"/>
      <c r="L2082" s="194"/>
      <c r="M2082" s="194"/>
    </row>
    <row r="2083" ht="22.5" customHeight="1">
      <c r="C2083" s="193"/>
      <c r="G2083" s="193"/>
      <c r="H2083" s="194"/>
      <c r="I2083" s="194"/>
      <c r="J2083" s="194"/>
      <c r="L2083" s="194"/>
      <c r="M2083" s="194"/>
    </row>
    <row r="2084" ht="22.5" customHeight="1">
      <c r="C2084" s="193"/>
      <c r="G2084" s="193"/>
      <c r="H2084" s="194"/>
      <c r="I2084" s="194"/>
      <c r="J2084" s="194"/>
      <c r="L2084" s="194"/>
      <c r="M2084" s="194"/>
    </row>
    <row r="2085" ht="22.5" customHeight="1">
      <c r="C2085" s="193"/>
      <c r="G2085" s="193"/>
      <c r="H2085" s="194"/>
      <c r="I2085" s="194"/>
      <c r="J2085" s="194"/>
      <c r="L2085" s="194"/>
      <c r="M2085" s="194"/>
    </row>
    <row r="2086" ht="22.5" customHeight="1">
      <c r="C2086" s="193"/>
      <c r="G2086" s="193"/>
      <c r="H2086" s="194"/>
      <c r="I2086" s="194"/>
      <c r="J2086" s="194"/>
      <c r="L2086" s="194"/>
      <c r="M2086" s="194"/>
    </row>
    <row r="2087" ht="22.5" customHeight="1">
      <c r="C2087" s="193"/>
      <c r="G2087" s="193"/>
      <c r="H2087" s="194"/>
      <c r="I2087" s="194"/>
      <c r="J2087" s="194"/>
      <c r="L2087" s="194"/>
      <c r="M2087" s="194"/>
    </row>
    <row r="2088" ht="22.5" customHeight="1">
      <c r="C2088" s="193"/>
      <c r="G2088" s="193"/>
      <c r="H2088" s="194"/>
      <c r="I2088" s="194"/>
      <c r="J2088" s="194"/>
      <c r="L2088" s="194"/>
      <c r="M2088" s="194"/>
    </row>
    <row r="2089" ht="22.5" customHeight="1">
      <c r="C2089" s="193"/>
      <c r="G2089" s="193"/>
      <c r="H2089" s="194"/>
      <c r="I2089" s="194"/>
      <c r="J2089" s="194"/>
      <c r="L2089" s="194"/>
      <c r="M2089" s="194"/>
    </row>
    <row r="2090" ht="22.5" customHeight="1">
      <c r="C2090" s="193"/>
      <c r="G2090" s="193"/>
      <c r="H2090" s="194"/>
      <c r="I2090" s="194"/>
      <c r="J2090" s="194"/>
      <c r="L2090" s="194"/>
      <c r="M2090" s="194"/>
    </row>
    <row r="2091" ht="22.5" customHeight="1">
      <c r="C2091" s="193"/>
      <c r="G2091" s="193"/>
      <c r="H2091" s="194"/>
      <c r="I2091" s="194"/>
      <c r="J2091" s="194"/>
      <c r="L2091" s="194"/>
      <c r="M2091" s="194"/>
    </row>
    <row r="2092" ht="22.5" customHeight="1">
      <c r="C2092" s="193"/>
      <c r="G2092" s="193"/>
      <c r="H2092" s="194"/>
      <c r="I2092" s="194"/>
      <c r="J2092" s="194"/>
      <c r="L2092" s="194"/>
      <c r="M2092" s="194"/>
    </row>
    <row r="2093" ht="22.5" customHeight="1">
      <c r="C2093" s="193"/>
      <c r="G2093" s="193"/>
      <c r="H2093" s="194"/>
      <c r="I2093" s="194"/>
      <c r="J2093" s="194"/>
      <c r="L2093" s="194"/>
      <c r="M2093" s="194"/>
    </row>
    <row r="2094" ht="22.5" customHeight="1">
      <c r="C2094" s="193"/>
      <c r="G2094" s="193"/>
      <c r="H2094" s="194"/>
      <c r="I2094" s="194"/>
      <c r="J2094" s="194"/>
      <c r="L2094" s="194"/>
      <c r="M2094" s="194"/>
    </row>
    <row r="2095" ht="22.5" customHeight="1">
      <c r="C2095" s="193"/>
      <c r="G2095" s="193"/>
      <c r="H2095" s="194"/>
      <c r="I2095" s="194"/>
      <c r="J2095" s="194"/>
      <c r="L2095" s="194"/>
      <c r="M2095" s="194"/>
    </row>
    <row r="2096" ht="22.5" customHeight="1">
      <c r="C2096" s="193"/>
      <c r="G2096" s="193"/>
      <c r="H2096" s="194"/>
      <c r="I2096" s="194"/>
      <c r="J2096" s="194"/>
      <c r="L2096" s="194"/>
      <c r="M2096" s="194"/>
    </row>
    <row r="2097" ht="22.5" customHeight="1">
      <c r="C2097" s="193"/>
      <c r="G2097" s="193"/>
      <c r="H2097" s="194"/>
      <c r="I2097" s="194"/>
      <c r="J2097" s="194"/>
      <c r="L2097" s="194"/>
      <c r="M2097" s="194"/>
    </row>
    <row r="2098" ht="22.5" customHeight="1">
      <c r="C2098" s="193"/>
      <c r="G2098" s="193"/>
      <c r="H2098" s="194"/>
      <c r="I2098" s="194"/>
      <c r="J2098" s="194"/>
      <c r="L2098" s="194"/>
      <c r="M2098" s="194"/>
    </row>
    <row r="2099" ht="22.5" customHeight="1">
      <c r="C2099" s="193"/>
      <c r="G2099" s="193"/>
      <c r="H2099" s="194"/>
      <c r="I2099" s="194"/>
      <c r="J2099" s="194"/>
      <c r="L2099" s="194"/>
      <c r="M2099" s="194"/>
    </row>
    <row r="2100" ht="22.5" customHeight="1">
      <c r="C2100" s="193"/>
      <c r="G2100" s="193"/>
      <c r="H2100" s="194"/>
      <c r="I2100" s="194"/>
      <c r="J2100" s="194"/>
      <c r="L2100" s="194"/>
      <c r="M2100" s="194"/>
    </row>
    <row r="2101" ht="22.5" customHeight="1">
      <c r="C2101" s="193"/>
      <c r="G2101" s="193"/>
      <c r="H2101" s="194"/>
      <c r="I2101" s="194"/>
      <c r="J2101" s="194"/>
      <c r="L2101" s="194"/>
      <c r="M2101" s="194"/>
    </row>
    <row r="2102" ht="22.5" customHeight="1">
      <c r="C2102" s="193"/>
      <c r="G2102" s="193"/>
      <c r="H2102" s="194"/>
      <c r="I2102" s="194"/>
      <c r="J2102" s="194"/>
      <c r="L2102" s="194"/>
      <c r="M2102" s="194"/>
    </row>
    <row r="2103" ht="22.5" customHeight="1">
      <c r="C2103" s="193"/>
      <c r="G2103" s="193"/>
      <c r="H2103" s="194"/>
      <c r="I2103" s="194"/>
      <c r="J2103" s="194"/>
      <c r="L2103" s="194"/>
      <c r="M2103" s="194"/>
    </row>
    <row r="2104" ht="22.5" customHeight="1">
      <c r="C2104" s="193"/>
      <c r="G2104" s="193"/>
      <c r="H2104" s="194"/>
      <c r="I2104" s="194"/>
      <c r="J2104" s="194"/>
      <c r="L2104" s="194"/>
      <c r="M2104" s="194"/>
    </row>
    <row r="2105" ht="22.5" customHeight="1">
      <c r="C2105" s="193"/>
      <c r="G2105" s="193"/>
      <c r="H2105" s="194"/>
      <c r="I2105" s="194"/>
      <c r="J2105" s="194"/>
      <c r="L2105" s="194"/>
      <c r="M2105" s="194"/>
    </row>
    <row r="2106" ht="22.5" customHeight="1">
      <c r="C2106" s="193"/>
      <c r="G2106" s="193"/>
      <c r="H2106" s="194"/>
      <c r="I2106" s="194"/>
      <c r="J2106" s="194"/>
      <c r="L2106" s="194"/>
      <c r="M2106" s="194"/>
    </row>
    <row r="2107" ht="22.5" customHeight="1">
      <c r="C2107" s="193"/>
      <c r="G2107" s="193"/>
      <c r="H2107" s="194"/>
      <c r="I2107" s="194"/>
      <c r="J2107" s="194"/>
      <c r="L2107" s="194"/>
      <c r="M2107" s="194"/>
    </row>
    <row r="2108" ht="22.5" customHeight="1">
      <c r="C2108" s="193"/>
      <c r="G2108" s="193"/>
      <c r="H2108" s="194"/>
      <c r="I2108" s="194"/>
      <c r="J2108" s="194"/>
      <c r="L2108" s="194"/>
      <c r="M2108" s="194"/>
    </row>
    <row r="2109" ht="22.5" customHeight="1">
      <c r="C2109" s="193"/>
      <c r="G2109" s="193"/>
      <c r="H2109" s="194"/>
      <c r="I2109" s="194"/>
      <c r="J2109" s="194"/>
      <c r="L2109" s="194"/>
      <c r="M2109" s="194"/>
    </row>
    <row r="2110" ht="22.5" customHeight="1">
      <c r="C2110" s="193"/>
      <c r="G2110" s="193"/>
      <c r="H2110" s="194"/>
      <c r="I2110" s="194"/>
      <c r="J2110" s="194"/>
      <c r="L2110" s="194"/>
      <c r="M2110" s="194"/>
    </row>
    <row r="2111" ht="22.5" customHeight="1">
      <c r="C2111" s="193"/>
      <c r="G2111" s="193"/>
      <c r="H2111" s="194"/>
      <c r="I2111" s="194"/>
      <c r="J2111" s="194"/>
      <c r="L2111" s="194"/>
      <c r="M2111" s="194"/>
    </row>
    <row r="2112" ht="22.5" customHeight="1">
      <c r="C2112" s="193"/>
      <c r="G2112" s="193"/>
      <c r="H2112" s="194"/>
      <c r="I2112" s="194"/>
      <c r="J2112" s="194"/>
      <c r="L2112" s="194"/>
      <c r="M2112" s="194"/>
    </row>
    <row r="2113" ht="22.5" customHeight="1">
      <c r="C2113" s="193"/>
      <c r="G2113" s="193"/>
      <c r="H2113" s="194"/>
      <c r="I2113" s="194"/>
      <c r="J2113" s="194"/>
      <c r="L2113" s="194"/>
      <c r="M2113" s="194"/>
    </row>
    <row r="2114" ht="22.5" customHeight="1">
      <c r="C2114" s="193"/>
      <c r="G2114" s="193"/>
      <c r="H2114" s="194"/>
      <c r="I2114" s="194"/>
      <c r="J2114" s="194"/>
      <c r="L2114" s="194"/>
      <c r="M2114" s="194"/>
    </row>
    <row r="2115" ht="22.5" customHeight="1">
      <c r="C2115" s="193"/>
      <c r="G2115" s="193"/>
      <c r="H2115" s="194"/>
      <c r="I2115" s="194"/>
      <c r="J2115" s="194"/>
      <c r="L2115" s="194"/>
      <c r="M2115" s="194"/>
    </row>
    <row r="2116" ht="22.5" customHeight="1">
      <c r="C2116" s="193"/>
      <c r="G2116" s="193"/>
      <c r="H2116" s="194"/>
      <c r="I2116" s="194"/>
      <c r="J2116" s="194"/>
      <c r="L2116" s="194"/>
      <c r="M2116" s="194"/>
    </row>
    <row r="2117" ht="22.5" customHeight="1">
      <c r="C2117" s="193"/>
      <c r="G2117" s="193"/>
      <c r="H2117" s="194"/>
      <c r="I2117" s="194"/>
      <c r="J2117" s="194"/>
      <c r="L2117" s="194"/>
      <c r="M2117" s="194"/>
    </row>
    <row r="2118" ht="22.5" customHeight="1">
      <c r="C2118" s="193"/>
      <c r="G2118" s="193"/>
      <c r="H2118" s="194"/>
      <c r="I2118" s="194"/>
      <c r="J2118" s="194"/>
      <c r="L2118" s="194"/>
      <c r="M2118" s="194"/>
    </row>
    <row r="2119" ht="22.5" customHeight="1">
      <c r="C2119" s="193"/>
      <c r="G2119" s="193"/>
      <c r="H2119" s="194"/>
      <c r="I2119" s="194"/>
      <c r="J2119" s="194"/>
      <c r="L2119" s="194"/>
      <c r="M2119" s="194"/>
    </row>
    <row r="2120" ht="22.5" customHeight="1">
      <c r="C2120" s="193"/>
      <c r="G2120" s="193"/>
      <c r="H2120" s="194"/>
      <c r="I2120" s="194"/>
      <c r="J2120" s="194"/>
      <c r="L2120" s="194"/>
      <c r="M2120" s="194"/>
    </row>
    <row r="2121" ht="22.5" customHeight="1">
      <c r="C2121" s="193"/>
      <c r="G2121" s="193"/>
      <c r="H2121" s="194"/>
      <c r="I2121" s="194"/>
      <c r="J2121" s="194"/>
      <c r="L2121" s="194"/>
      <c r="M2121" s="194"/>
    </row>
    <row r="2122" ht="22.5" customHeight="1">
      <c r="C2122" s="193"/>
      <c r="G2122" s="193"/>
      <c r="H2122" s="194"/>
      <c r="I2122" s="194"/>
      <c r="J2122" s="194"/>
      <c r="L2122" s="194"/>
      <c r="M2122" s="194"/>
    </row>
    <row r="2123" ht="22.5" customHeight="1">
      <c r="C2123" s="193"/>
      <c r="G2123" s="193"/>
      <c r="H2123" s="194"/>
      <c r="I2123" s="194"/>
      <c r="J2123" s="194"/>
      <c r="L2123" s="194"/>
      <c r="M2123" s="194"/>
    </row>
    <row r="2124" ht="22.5" customHeight="1">
      <c r="C2124" s="193"/>
      <c r="G2124" s="193"/>
      <c r="H2124" s="194"/>
      <c r="I2124" s="194"/>
      <c r="J2124" s="194"/>
      <c r="L2124" s="194"/>
      <c r="M2124" s="194"/>
    </row>
    <row r="2125" ht="22.5" customHeight="1">
      <c r="C2125" s="193"/>
      <c r="G2125" s="193"/>
      <c r="H2125" s="194"/>
      <c r="I2125" s="194"/>
      <c r="J2125" s="194"/>
      <c r="L2125" s="194"/>
      <c r="M2125" s="194"/>
    </row>
    <row r="2126" ht="22.5" customHeight="1">
      <c r="C2126" s="193"/>
      <c r="G2126" s="193"/>
      <c r="H2126" s="194"/>
      <c r="I2126" s="194"/>
      <c r="J2126" s="194"/>
      <c r="L2126" s="194"/>
      <c r="M2126" s="194"/>
    </row>
    <row r="2127" ht="22.5" customHeight="1">
      <c r="C2127" s="193"/>
      <c r="G2127" s="193"/>
      <c r="H2127" s="194"/>
      <c r="I2127" s="194"/>
      <c r="J2127" s="194"/>
      <c r="L2127" s="194"/>
      <c r="M2127" s="194"/>
    </row>
    <row r="2128" ht="22.5" customHeight="1">
      <c r="C2128" s="193"/>
      <c r="G2128" s="193"/>
      <c r="H2128" s="194"/>
      <c r="I2128" s="194"/>
      <c r="J2128" s="194"/>
      <c r="L2128" s="194"/>
      <c r="M2128" s="194"/>
    </row>
    <row r="2129" ht="22.5" customHeight="1">
      <c r="C2129" s="193"/>
      <c r="G2129" s="193"/>
      <c r="H2129" s="194"/>
      <c r="I2129" s="194"/>
      <c r="J2129" s="194"/>
      <c r="L2129" s="194"/>
      <c r="M2129" s="194"/>
    </row>
    <row r="2130" ht="22.5" customHeight="1">
      <c r="C2130" s="193"/>
      <c r="G2130" s="193"/>
      <c r="H2130" s="194"/>
      <c r="I2130" s="194"/>
      <c r="J2130" s="194"/>
      <c r="L2130" s="194"/>
      <c r="M2130" s="194"/>
    </row>
    <row r="2131" ht="22.5" customHeight="1">
      <c r="C2131" s="193"/>
      <c r="G2131" s="193"/>
      <c r="H2131" s="194"/>
      <c r="I2131" s="194"/>
      <c r="J2131" s="194"/>
      <c r="L2131" s="194"/>
      <c r="M2131" s="194"/>
    </row>
    <row r="2132" ht="22.5" customHeight="1">
      <c r="C2132" s="193"/>
      <c r="G2132" s="193"/>
      <c r="H2132" s="194"/>
      <c r="I2132" s="194"/>
      <c r="J2132" s="194"/>
      <c r="L2132" s="194"/>
      <c r="M2132" s="194"/>
    </row>
    <row r="2133" ht="22.5" customHeight="1">
      <c r="C2133" s="193"/>
      <c r="G2133" s="193"/>
      <c r="H2133" s="194"/>
      <c r="I2133" s="194"/>
      <c r="J2133" s="194"/>
      <c r="L2133" s="194"/>
      <c r="M2133" s="194"/>
    </row>
    <row r="2134" ht="22.5" customHeight="1">
      <c r="C2134" s="193"/>
      <c r="G2134" s="193"/>
      <c r="H2134" s="194"/>
      <c r="I2134" s="194"/>
      <c r="J2134" s="194"/>
      <c r="L2134" s="194"/>
      <c r="M2134" s="194"/>
    </row>
    <row r="2135" ht="22.5" customHeight="1">
      <c r="C2135" s="193"/>
      <c r="G2135" s="193"/>
      <c r="H2135" s="194"/>
      <c r="I2135" s="194"/>
      <c r="J2135" s="194"/>
      <c r="L2135" s="194"/>
      <c r="M2135" s="194"/>
    </row>
    <row r="2136" ht="22.5" customHeight="1">
      <c r="C2136" s="193"/>
      <c r="G2136" s="193"/>
      <c r="H2136" s="194"/>
      <c r="I2136" s="194"/>
      <c r="J2136" s="194"/>
      <c r="L2136" s="194"/>
      <c r="M2136" s="194"/>
    </row>
    <row r="2137" ht="22.5" customHeight="1">
      <c r="C2137" s="193"/>
      <c r="G2137" s="193"/>
      <c r="H2137" s="194"/>
      <c r="I2137" s="194"/>
      <c r="J2137" s="194"/>
      <c r="L2137" s="194"/>
      <c r="M2137" s="194"/>
    </row>
    <row r="2138" ht="22.5" customHeight="1">
      <c r="C2138" s="193"/>
      <c r="G2138" s="193"/>
      <c r="H2138" s="194"/>
      <c r="I2138" s="194"/>
      <c r="J2138" s="194"/>
      <c r="L2138" s="194"/>
      <c r="M2138" s="194"/>
    </row>
    <row r="2139" ht="22.5" customHeight="1">
      <c r="C2139" s="193"/>
      <c r="G2139" s="193"/>
      <c r="H2139" s="194"/>
      <c r="I2139" s="194"/>
      <c r="J2139" s="194"/>
      <c r="L2139" s="194"/>
      <c r="M2139" s="194"/>
    </row>
    <row r="2140" ht="22.5" customHeight="1">
      <c r="C2140" s="193"/>
      <c r="G2140" s="193"/>
      <c r="H2140" s="194"/>
      <c r="I2140" s="194"/>
      <c r="J2140" s="194"/>
      <c r="L2140" s="194"/>
      <c r="M2140" s="194"/>
    </row>
    <row r="2141" ht="22.5" customHeight="1">
      <c r="C2141" s="193"/>
      <c r="G2141" s="193"/>
      <c r="H2141" s="194"/>
      <c r="I2141" s="194"/>
      <c r="J2141" s="194"/>
      <c r="L2141" s="194"/>
      <c r="M2141" s="194"/>
    </row>
    <row r="2142" ht="22.5" customHeight="1">
      <c r="C2142" s="193"/>
      <c r="G2142" s="193"/>
      <c r="H2142" s="194"/>
      <c r="I2142" s="194"/>
      <c r="J2142" s="194"/>
      <c r="L2142" s="194"/>
      <c r="M2142" s="194"/>
    </row>
    <row r="2143" ht="22.5" customHeight="1">
      <c r="C2143" s="193"/>
      <c r="G2143" s="193"/>
      <c r="H2143" s="194"/>
      <c r="I2143" s="194"/>
      <c r="J2143" s="194"/>
      <c r="L2143" s="194"/>
      <c r="M2143" s="194"/>
    </row>
    <row r="2144" ht="22.5" customHeight="1">
      <c r="C2144" s="193"/>
      <c r="G2144" s="193"/>
      <c r="H2144" s="194"/>
      <c r="I2144" s="194"/>
      <c r="J2144" s="194"/>
      <c r="L2144" s="194"/>
      <c r="M2144" s="194"/>
    </row>
    <row r="2145" ht="22.5" customHeight="1">
      <c r="C2145" s="193"/>
      <c r="G2145" s="193"/>
      <c r="H2145" s="194"/>
      <c r="I2145" s="194"/>
      <c r="J2145" s="194"/>
      <c r="L2145" s="194"/>
      <c r="M2145" s="194"/>
    </row>
    <row r="2146" ht="22.5" customHeight="1">
      <c r="C2146" s="193"/>
      <c r="G2146" s="193"/>
      <c r="H2146" s="194"/>
      <c r="I2146" s="194"/>
      <c r="J2146" s="194"/>
      <c r="L2146" s="194"/>
      <c r="M2146" s="194"/>
    </row>
    <row r="2147" ht="22.5" customHeight="1">
      <c r="C2147" s="193"/>
      <c r="G2147" s="193"/>
      <c r="H2147" s="194"/>
      <c r="I2147" s="194"/>
      <c r="J2147" s="194"/>
      <c r="L2147" s="194"/>
      <c r="M2147" s="194"/>
    </row>
    <row r="2148" ht="22.5" customHeight="1">
      <c r="C2148" s="193"/>
      <c r="G2148" s="193"/>
      <c r="H2148" s="194"/>
      <c r="I2148" s="194"/>
      <c r="J2148" s="194"/>
      <c r="L2148" s="194"/>
      <c r="M2148" s="194"/>
    </row>
    <row r="2149" ht="22.5" customHeight="1">
      <c r="C2149" s="193"/>
      <c r="G2149" s="193"/>
      <c r="H2149" s="194"/>
      <c r="I2149" s="194"/>
      <c r="J2149" s="194"/>
      <c r="L2149" s="194"/>
      <c r="M2149" s="194"/>
    </row>
    <row r="2150" ht="22.5" customHeight="1">
      <c r="C2150" s="193"/>
      <c r="G2150" s="193"/>
      <c r="H2150" s="194"/>
      <c r="I2150" s="194"/>
      <c r="J2150" s="194"/>
      <c r="L2150" s="194"/>
      <c r="M2150" s="194"/>
    </row>
    <row r="2151" ht="22.5" customHeight="1">
      <c r="C2151" s="193"/>
      <c r="G2151" s="193"/>
      <c r="H2151" s="194"/>
      <c r="I2151" s="194"/>
      <c r="J2151" s="194"/>
      <c r="L2151" s="194"/>
      <c r="M2151" s="194"/>
    </row>
    <row r="2152" ht="22.5" customHeight="1">
      <c r="C2152" s="193"/>
      <c r="G2152" s="193"/>
      <c r="H2152" s="194"/>
      <c r="I2152" s="194"/>
      <c r="J2152" s="194"/>
      <c r="L2152" s="194"/>
      <c r="M2152" s="194"/>
    </row>
    <row r="2153" ht="22.5" customHeight="1">
      <c r="C2153" s="193"/>
      <c r="G2153" s="193"/>
      <c r="H2153" s="194"/>
      <c r="I2153" s="194"/>
      <c r="J2153" s="194"/>
      <c r="L2153" s="194"/>
      <c r="M2153" s="194"/>
    </row>
    <row r="2154" ht="22.5" customHeight="1">
      <c r="C2154" s="193"/>
      <c r="G2154" s="193"/>
      <c r="H2154" s="194"/>
      <c r="I2154" s="194"/>
      <c r="J2154" s="194"/>
      <c r="L2154" s="194"/>
      <c r="M2154" s="194"/>
    </row>
    <row r="2155" ht="22.5" customHeight="1">
      <c r="C2155" s="193"/>
      <c r="G2155" s="193"/>
      <c r="H2155" s="194"/>
      <c r="I2155" s="194"/>
      <c r="J2155" s="194"/>
      <c r="L2155" s="194"/>
      <c r="M2155" s="194"/>
    </row>
    <row r="2156" ht="22.5" customHeight="1">
      <c r="C2156" s="193"/>
      <c r="G2156" s="193"/>
      <c r="H2156" s="194"/>
      <c r="I2156" s="194"/>
      <c r="J2156" s="194"/>
      <c r="L2156" s="194"/>
      <c r="M2156" s="194"/>
    </row>
    <row r="2157" ht="22.5" customHeight="1">
      <c r="C2157" s="193"/>
      <c r="G2157" s="193"/>
      <c r="H2157" s="194"/>
      <c r="I2157" s="194"/>
      <c r="J2157" s="194"/>
      <c r="L2157" s="194"/>
      <c r="M2157" s="194"/>
    </row>
    <row r="2158" ht="22.5" customHeight="1">
      <c r="C2158" s="193"/>
      <c r="G2158" s="193"/>
      <c r="H2158" s="194"/>
      <c r="I2158" s="194"/>
      <c r="J2158" s="194"/>
      <c r="L2158" s="194"/>
      <c r="M2158" s="194"/>
    </row>
    <row r="2159" ht="22.5" customHeight="1">
      <c r="C2159" s="193"/>
      <c r="G2159" s="193"/>
      <c r="H2159" s="194"/>
      <c r="I2159" s="194"/>
      <c r="J2159" s="194"/>
      <c r="L2159" s="194"/>
      <c r="M2159" s="194"/>
    </row>
    <row r="2160" ht="22.5" customHeight="1">
      <c r="C2160" s="193"/>
      <c r="G2160" s="193"/>
      <c r="H2160" s="194"/>
      <c r="I2160" s="194"/>
      <c r="J2160" s="194"/>
      <c r="L2160" s="194"/>
      <c r="M2160" s="194"/>
    </row>
    <row r="2161" ht="22.5" customHeight="1">
      <c r="C2161" s="193"/>
      <c r="G2161" s="193"/>
      <c r="H2161" s="194"/>
      <c r="I2161" s="194"/>
      <c r="J2161" s="194"/>
      <c r="L2161" s="194"/>
      <c r="M2161" s="194"/>
    </row>
    <row r="2162" ht="22.5" customHeight="1">
      <c r="C2162" s="193"/>
      <c r="G2162" s="193"/>
      <c r="H2162" s="194"/>
      <c r="I2162" s="194"/>
      <c r="J2162" s="194"/>
      <c r="L2162" s="194"/>
      <c r="M2162" s="194"/>
    </row>
    <row r="2163" ht="22.5" customHeight="1">
      <c r="C2163" s="193"/>
      <c r="G2163" s="193"/>
      <c r="H2163" s="194"/>
      <c r="I2163" s="194"/>
      <c r="J2163" s="194"/>
      <c r="L2163" s="194"/>
      <c r="M2163" s="194"/>
    </row>
    <row r="2164" ht="22.5" customHeight="1">
      <c r="C2164" s="193"/>
      <c r="G2164" s="193"/>
      <c r="H2164" s="194"/>
      <c r="I2164" s="194"/>
      <c r="J2164" s="194"/>
      <c r="L2164" s="194"/>
      <c r="M2164" s="194"/>
    </row>
    <row r="2165" ht="22.5" customHeight="1">
      <c r="C2165" s="193"/>
      <c r="G2165" s="193"/>
      <c r="H2165" s="194"/>
      <c r="I2165" s="194"/>
      <c r="J2165" s="194"/>
      <c r="L2165" s="194"/>
      <c r="M2165" s="194"/>
    </row>
    <row r="2166" ht="22.5" customHeight="1">
      <c r="C2166" s="193"/>
      <c r="G2166" s="193"/>
      <c r="H2166" s="194"/>
      <c r="I2166" s="194"/>
      <c r="J2166" s="194"/>
      <c r="L2166" s="194"/>
      <c r="M2166" s="194"/>
    </row>
    <row r="2167" ht="22.5" customHeight="1">
      <c r="C2167" s="193"/>
      <c r="G2167" s="193"/>
      <c r="H2167" s="194"/>
      <c r="I2167" s="194"/>
      <c r="J2167" s="194"/>
      <c r="L2167" s="194"/>
      <c r="M2167" s="194"/>
    </row>
    <row r="2168" ht="22.5" customHeight="1">
      <c r="C2168" s="193"/>
      <c r="G2168" s="193"/>
      <c r="H2168" s="194"/>
      <c r="I2168" s="194"/>
      <c r="J2168" s="194"/>
      <c r="L2168" s="194"/>
      <c r="M2168" s="194"/>
    </row>
    <row r="2169" ht="22.5" customHeight="1">
      <c r="C2169" s="193"/>
      <c r="G2169" s="193"/>
      <c r="H2169" s="194"/>
      <c r="I2169" s="194"/>
      <c r="J2169" s="194"/>
      <c r="L2169" s="194"/>
      <c r="M2169" s="194"/>
    </row>
    <row r="2170" ht="22.5" customHeight="1">
      <c r="C2170" s="193"/>
      <c r="G2170" s="193"/>
      <c r="H2170" s="194"/>
      <c r="I2170" s="194"/>
      <c r="J2170" s="194"/>
      <c r="L2170" s="194"/>
      <c r="M2170" s="194"/>
    </row>
    <row r="2171" ht="22.5" customHeight="1">
      <c r="C2171" s="193"/>
      <c r="G2171" s="193"/>
      <c r="H2171" s="194"/>
      <c r="I2171" s="194"/>
      <c r="J2171" s="194"/>
      <c r="L2171" s="194"/>
      <c r="M2171" s="194"/>
    </row>
    <row r="2172" ht="22.5" customHeight="1">
      <c r="C2172" s="193"/>
      <c r="G2172" s="193"/>
      <c r="H2172" s="194"/>
      <c r="I2172" s="194"/>
      <c r="J2172" s="194"/>
      <c r="L2172" s="194"/>
      <c r="M2172" s="194"/>
    </row>
    <row r="2173" ht="22.5" customHeight="1">
      <c r="C2173" s="193"/>
      <c r="G2173" s="193"/>
      <c r="H2173" s="194"/>
      <c r="I2173" s="194"/>
      <c r="J2173" s="194"/>
      <c r="L2173" s="194"/>
      <c r="M2173" s="194"/>
    </row>
    <row r="2174" ht="22.5" customHeight="1">
      <c r="C2174" s="193"/>
      <c r="G2174" s="193"/>
      <c r="H2174" s="194"/>
      <c r="I2174" s="194"/>
      <c r="J2174" s="194"/>
      <c r="L2174" s="194"/>
      <c r="M2174" s="194"/>
    </row>
    <row r="2175" ht="22.5" customHeight="1">
      <c r="C2175" s="193"/>
      <c r="G2175" s="193"/>
      <c r="H2175" s="194"/>
      <c r="I2175" s="194"/>
      <c r="J2175" s="194"/>
      <c r="L2175" s="194"/>
      <c r="M2175" s="194"/>
    </row>
    <row r="2176" ht="22.5" customHeight="1">
      <c r="C2176" s="193"/>
      <c r="G2176" s="193"/>
      <c r="H2176" s="194"/>
      <c r="I2176" s="194"/>
      <c r="J2176" s="194"/>
      <c r="L2176" s="194"/>
      <c r="M2176" s="194"/>
    </row>
    <row r="2177" ht="22.5" customHeight="1">
      <c r="C2177" s="193"/>
      <c r="G2177" s="193"/>
      <c r="H2177" s="194"/>
      <c r="I2177" s="194"/>
      <c r="J2177" s="194"/>
      <c r="L2177" s="194"/>
      <c r="M2177" s="194"/>
    </row>
    <row r="2178" ht="22.5" customHeight="1">
      <c r="C2178" s="193"/>
      <c r="G2178" s="193"/>
      <c r="H2178" s="194"/>
      <c r="I2178" s="194"/>
      <c r="J2178" s="194"/>
      <c r="L2178" s="194"/>
      <c r="M2178" s="194"/>
    </row>
    <row r="2179" ht="22.5" customHeight="1">
      <c r="C2179" s="193"/>
      <c r="G2179" s="193"/>
      <c r="H2179" s="194"/>
      <c r="I2179" s="194"/>
      <c r="J2179" s="194"/>
      <c r="L2179" s="194"/>
      <c r="M2179" s="194"/>
    </row>
    <row r="2180" ht="22.5" customHeight="1">
      <c r="C2180" s="193"/>
      <c r="G2180" s="193"/>
      <c r="H2180" s="194"/>
      <c r="I2180" s="194"/>
      <c r="J2180" s="194"/>
      <c r="L2180" s="194"/>
      <c r="M2180" s="194"/>
    </row>
    <row r="2181" ht="22.5" customHeight="1">
      <c r="C2181" s="193"/>
      <c r="G2181" s="193"/>
      <c r="H2181" s="194"/>
      <c r="I2181" s="194"/>
      <c r="J2181" s="194"/>
      <c r="L2181" s="194"/>
      <c r="M2181" s="194"/>
    </row>
    <row r="2182" ht="22.5" customHeight="1">
      <c r="C2182" s="193"/>
      <c r="G2182" s="193"/>
      <c r="H2182" s="194"/>
      <c r="I2182" s="194"/>
      <c r="J2182" s="194"/>
      <c r="L2182" s="194"/>
      <c r="M2182" s="194"/>
    </row>
    <row r="2183" ht="22.5" customHeight="1">
      <c r="C2183" s="193"/>
      <c r="G2183" s="193"/>
      <c r="H2183" s="194"/>
      <c r="I2183" s="194"/>
      <c r="J2183" s="194"/>
      <c r="L2183" s="194"/>
      <c r="M2183" s="194"/>
    </row>
    <row r="2184" ht="22.5" customHeight="1">
      <c r="C2184" s="193"/>
      <c r="G2184" s="193"/>
      <c r="H2184" s="194"/>
      <c r="I2184" s="194"/>
      <c r="J2184" s="194"/>
      <c r="L2184" s="194"/>
      <c r="M2184" s="194"/>
    </row>
    <row r="2185" ht="22.5" customHeight="1">
      <c r="C2185" s="193"/>
      <c r="G2185" s="193"/>
      <c r="H2185" s="194"/>
      <c r="I2185" s="194"/>
      <c r="J2185" s="194"/>
      <c r="L2185" s="194"/>
      <c r="M2185" s="194"/>
    </row>
    <row r="2186" ht="22.5" customHeight="1">
      <c r="C2186" s="193"/>
      <c r="G2186" s="193"/>
      <c r="H2186" s="194"/>
      <c r="I2186" s="194"/>
      <c r="J2186" s="194"/>
      <c r="L2186" s="194"/>
      <c r="M2186" s="194"/>
    </row>
    <row r="2187" ht="22.5" customHeight="1">
      <c r="C2187" s="193"/>
      <c r="G2187" s="193"/>
      <c r="H2187" s="194"/>
      <c r="I2187" s="194"/>
      <c r="J2187" s="194"/>
      <c r="L2187" s="194"/>
      <c r="M2187" s="194"/>
    </row>
    <row r="2188" ht="22.5" customHeight="1">
      <c r="C2188" s="193"/>
      <c r="G2188" s="193"/>
      <c r="H2188" s="194"/>
      <c r="I2188" s="194"/>
      <c r="J2188" s="194"/>
      <c r="L2188" s="194"/>
      <c r="M2188" s="194"/>
    </row>
    <row r="2189" ht="22.5" customHeight="1">
      <c r="C2189" s="193"/>
      <c r="G2189" s="193"/>
      <c r="H2189" s="194"/>
      <c r="I2189" s="194"/>
      <c r="J2189" s="194"/>
      <c r="L2189" s="194"/>
      <c r="M2189" s="194"/>
    </row>
    <row r="2190" ht="22.5" customHeight="1">
      <c r="C2190" s="193"/>
      <c r="G2190" s="193"/>
      <c r="H2190" s="194"/>
      <c r="I2190" s="194"/>
      <c r="J2190" s="194"/>
      <c r="L2190" s="194"/>
      <c r="M2190" s="194"/>
    </row>
    <row r="2191" ht="22.5" customHeight="1">
      <c r="C2191" s="193"/>
      <c r="G2191" s="193"/>
      <c r="H2191" s="194"/>
      <c r="I2191" s="194"/>
      <c r="J2191" s="194"/>
      <c r="L2191" s="194"/>
      <c r="M2191" s="194"/>
    </row>
    <row r="2192" ht="22.5" customHeight="1">
      <c r="C2192" s="193"/>
      <c r="G2192" s="193"/>
      <c r="H2192" s="194"/>
      <c r="I2192" s="194"/>
      <c r="J2192" s="194"/>
      <c r="L2192" s="194"/>
      <c r="M2192" s="194"/>
    </row>
    <row r="2193" ht="22.5" customHeight="1">
      <c r="C2193" s="193"/>
      <c r="G2193" s="193"/>
      <c r="H2193" s="194"/>
      <c r="I2193" s="194"/>
      <c r="J2193" s="194"/>
      <c r="L2193" s="194"/>
      <c r="M2193" s="194"/>
    </row>
    <row r="2194" ht="22.5" customHeight="1">
      <c r="C2194" s="193"/>
      <c r="G2194" s="193"/>
      <c r="H2194" s="194"/>
      <c r="I2194" s="194"/>
      <c r="J2194" s="194"/>
      <c r="L2194" s="194"/>
      <c r="M2194" s="194"/>
    </row>
    <row r="2195" ht="22.5" customHeight="1">
      <c r="C2195" s="193"/>
      <c r="G2195" s="193"/>
      <c r="H2195" s="194"/>
      <c r="I2195" s="194"/>
      <c r="J2195" s="194"/>
      <c r="L2195" s="194"/>
      <c r="M2195" s="194"/>
    </row>
    <row r="2196" ht="22.5" customHeight="1">
      <c r="C2196" s="193"/>
      <c r="G2196" s="193"/>
      <c r="H2196" s="194"/>
      <c r="I2196" s="194"/>
      <c r="J2196" s="194"/>
      <c r="L2196" s="194"/>
      <c r="M2196" s="194"/>
    </row>
    <row r="2197" ht="22.5" customHeight="1">
      <c r="C2197" s="193"/>
      <c r="G2197" s="193"/>
      <c r="H2197" s="194"/>
      <c r="I2197" s="194"/>
      <c r="J2197" s="194"/>
      <c r="L2197" s="194"/>
      <c r="M2197" s="194"/>
    </row>
    <row r="2198" ht="22.5" customHeight="1">
      <c r="C2198" s="193"/>
      <c r="G2198" s="193"/>
      <c r="H2198" s="194"/>
      <c r="I2198" s="194"/>
      <c r="J2198" s="194"/>
      <c r="L2198" s="194"/>
      <c r="M2198" s="194"/>
    </row>
    <row r="2199" ht="22.5" customHeight="1">
      <c r="C2199" s="193"/>
      <c r="G2199" s="193"/>
      <c r="H2199" s="194"/>
      <c r="I2199" s="194"/>
      <c r="J2199" s="194"/>
      <c r="L2199" s="194"/>
      <c r="M2199" s="194"/>
    </row>
    <row r="2200" ht="22.5" customHeight="1">
      <c r="C2200" s="193"/>
      <c r="G2200" s="193"/>
      <c r="H2200" s="194"/>
      <c r="I2200" s="194"/>
      <c r="J2200" s="194"/>
      <c r="L2200" s="194"/>
      <c r="M2200" s="194"/>
    </row>
    <row r="2201" ht="22.5" customHeight="1">
      <c r="C2201" s="193"/>
      <c r="G2201" s="193"/>
      <c r="H2201" s="194"/>
      <c r="I2201" s="194"/>
      <c r="J2201" s="194"/>
      <c r="L2201" s="194"/>
      <c r="M2201" s="194"/>
    </row>
    <row r="2202" ht="22.5" customHeight="1">
      <c r="C2202" s="193"/>
      <c r="G2202" s="193"/>
      <c r="H2202" s="194"/>
      <c r="I2202" s="194"/>
      <c r="J2202" s="194"/>
      <c r="L2202" s="194"/>
      <c r="M2202" s="194"/>
    </row>
    <row r="2203" ht="22.5" customHeight="1">
      <c r="C2203" s="193"/>
      <c r="G2203" s="193"/>
      <c r="H2203" s="194"/>
      <c r="I2203" s="194"/>
      <c r="J2203" s="194"/>
      <c r="L2203" s="194"/>
      <c r="M2203" s="194"/>
    </row>
    <row r="2204" ht="22.5" customHeight="1">
      <c r="C2204" s="193"/>
      <c r="G2204" s="193"/>
      <c r="H2204" s="194"/>
      <c r="I2204" s="194"/>
      <c r="J2204" s="194"/>
      <c r="L2204" s="194"/>
      <c r="M2204" s="194"/>
    </row>
    <row r="2205" ht="22.5" customHeight="1">
      <c r="C2205" s="193"/>
      <c r="G2205" s="193"/>
      <c r="H2205" s="194"/>
      <c r="I2205" s="194"/>
      <c r="J2205" s="194"/>
      <c r="L2205" s="194"/>
      <c r="M2205" s="194"/>
    </row>
    <row r="2206" ht="22.5" customHeight="1">
      <c r="C2206" s="193"/>
      <c r="G2206" s="193"/>
      <c r="H2206" s="194"/>
      <c r="I2206" s="194"/>
      <c r="J2206" s="194"/>
      <c r="L2206" s="194"/>
      <c r="M2206" s="194"/>
    </row>
    <row r="2207" ht="22.5" customHeight="1">
      <c r="C2207" s="193"/>
      <c r="G2207" s="193"/>
      <c r="H2207" s="194"/>
      <c r="I2207" s="194"/>
      <c r="J2207" s="194"/>
      <c r="L2207" s="194"/>
      <c r="M2207" s="194"/>
    </row>
    <row r="2208" ht="22.5" customHeight="1">
      <c r="C2208" s="193"/>
      <c r="G2208" s="193"/>
      <c r="H2208" s="194"/>
      <c r="I2208" s="194"/>
      <c r="J2208" s="194"/>
      <c r="L2208" s="194"/>
      <c r="M2208" s="194"/>
    </row>
    <row r="2209" ht="22.5" customHeight="1">
      <c r="C2209" s="193"/>
      <c r="G2209" s="193"/>
      <c r="H2209" s="194"/>
      <c r="I2209" s="194"/>
      <c r="J2209" s="194"/>
      <c r="L2209" s="194"/>
      <c r="M2209" s="194"/>
    </row>
    <row r="2210" ht="22.5" customHeight="1">
      <c r="C2210" s="193"/>
      <c r="G2210" s="193"/>
      <c r="H2210" s="194"/>
      <c r="I2210" s="194"/>
      <c r="J2210" s="194"/>
      <c r="L2210" s="194"/>
      <c r="M2210" s="194"/>
    </row>
    <row r="2211" ht="22.5" customHeight="1">
      <c r="C2211" s="193"/>
      <c r="G2211" s="193"/>
      <c r="H2211" s="194"/>
      <c r="I2211" s="194"/>
      <c r="J2211" s="194"/>
      <c r="L2211" s="194"/>
      <c r="M2211" s="194"/>
    </row>
    <row r="2212" ht="22.5" customHeight="1">
      <c r="C2212" s="193"/>
      <c r="G2212" s="193"/>
      <c r="H2212" s="194"/>
      <c r="I2212" s="194"/>
      <c r="J2212" s="194"/>
      <c r="L2212" s="194"/>
      <c r="M2212" s="194"/>
    </row>
    <row r="2213" ht="22.5" customHeight="1">
      <c r="C2213" s="193"/>
      <c r="G2213" s="193"/>
      <c r="H2213" s="194"/>
      <c r="I2213" s="194"/>
      <c r="J2213" s="194"/>
      <c r="L2213" s="194"/>
      <c r="M2213" s="194"/>
    </row>
    <row r="2214" ht="22.5" customHeight="1">
      <c r="C2214" s="193"/>
      <c r="G2214" s="193"/>
      <c r="H2214" s="194"/>
      <c r="I2214" s="194"/>
      <c r="J2214" s="194"/>
      <c r="L2214" s="194"/>
      <c r="M2214" s="194"/>
    </row>
    <row r="2215" ht="22.5" customHeight="1">
      <c r="C2215" s="193"/>
      <c r="G2215" s="193"/>
      <c r="H2215" s="194"/>
      <c r="I2215" s="194"/>
      <c r="J2215" s="194"/>
      <c r="L2215" s="194"/>
      <c r="M2215" s="194"/>
    </row>
    <row r="2216" ht="22.5" customHeight="1">
      <c r="C2216" s="193"/>
      <c r="G2216" s="193"/>
      <c r="H2216" s="194"/>
      <c r="I2216" s="194"/>
      <c r="J2216" s="194"/>
      <c r="L2216" s="194"/>
      <c r="M2216" s="194"/>
    </row>
    <row r="2217" ht="22.5" customHeight="1">
      <c r="C2217" s="193"/>
      <c r="G2217" s="193"/>
      <c r="H2217" s="194"/>
      <c r="I2217" s="194"/>
      <c r="J2217" s="194"/>
      <c r="L2217" s="194"/>
      <c r="M2217" s="194"/>
    </row>
    <row r="2218" ht="22.5" customHeight="1">
      <c r="C2218" s="193"/>
      <c r="G2218" s="193"/>
      <c r="H2218" s="194"/>
      <c r="I2218" s="194"/>
      <c r="J2218" s="194"/>
      <c r="L2218" s="194"/>
      <c r="M2218" s="194"/>
    </row>
    <row r="2219" ht="22.5" customHeight="1">
      <c r="C2219" s="193"/>
      <c r="G2219" s="193"/>
      <c r="H2219" s="194"/>
      <c r="I2219" s="194"/>
      <c r="J2219" s="194"/>
      <c r="L2219" s="194"/>
      <c r="M2219" s="194"/>
    </row>
    <row r="2220" ht="22.5" customHeight="1">
      <c r="C2220" s="193"/>
      <c r="G2220" s="193"/>
      <c r="H2220" s="194"/>
      <c r="I2220" s="194"/>
      <c r="J2220" s="194"/>
      <c r="L2220" s="194"/>
      <c r="M2220" s="194"/>
    </row>
    <row r="2221" ht="22.5" customHeight="1">
      <c r="C2221" s="193"/>
      <c r="G2221" s="193"/>
      <c r="H2221" s="194"/>
      <c r="I2221" s="194"/>
      <c r="J2221" s="194"/>
      <c r="L2221" s="194"/>
      <c r="M2221" s="194"/>
    </row>
    <row r="2222" ht="22.5" customHeight="1">
      <c r="C2222" s="193"/>
      <c r="G2222" s="193"/>
      <c r="H2222" s="194"/>
      <c r="I2222" s="194"/>
      <c r="J2222" s="194"/>
      <c r="L2222" s="194"/>
      <c r="M2222" s="194"/>
    </row>
    <row r="2223" ht="22.5" customHeight="1">
      <c r="C2223" s="193"/>
      <c r="G2223" s="193"/>
      <c r="H2223" s="194"/>
      <c r="I2223" s="194"/>
      <c r="J2223" s="194"/>
      <c r="L2223" s="194"/>
      <c r="M2223" s="194"/>
    </row>
    <row r="2224" ht="22.5" customHeight="1">
      <c r="C2224" s="193"/>
      <c r="G2224" s="193"/>
      <c r="H2224" s="194"/>
      <c r="I2224" s="194"/>
      <c r="J2224" s="194"/>
      <c r="L2224" s="194"/>
      <c r="M2224" s="194"/>
    </row>
    <row r="2225" ht="22.5" customHeight="1">
      <c r="C2225" s="193"/>
      <c r="G2225" s="193"/>
      <c r="H2225" s="194"/>
      <c r="I2225" s="194"/>
      <c r="J2225" s="194"/>
      <c r="L2225" s="194"/>
      <c r="M2225" s="194"/>
    </row>
    <row r="2226" ht="22.5" customHeight="1">
      <c r="C2226" s="193"/>
      <c r="G2226" s="193"/>
      <c r="H2226" s="194"/>
      <c r="I2226" s="194"/>
      <c r="J2226" s="194"/>
      <c r="L2226" s="194"/>
      <c r="M2226" s="194"/>
    </row>
    <row r="2227" ht="22.5" customHeight="1">
      <c r="C2227" s="193"/>
      <c r="G2227" s="193"/>
      <c r="H2227" s="194"/>
      <c r="I2227" s="194"/>
      <c r="J2227" s="194"/>
      <c r="L2227" s="194"/>
      <c r="M2227" s="194"/>
    </row>
    <row r="2228" ht="22.5" customHeight="1">
      <c r="C2228" s="193"/>
      <c r="G2228" s="193"/>
      <c r="H2228" s="194"/>
      <c r="I2228" s="194"/>
      <c r="J2228" s="194"/>
      <c r="L2228" s="194"/>
      <c r="M2228" s="194"/>
    </row>
    <row r="2229" ht="22.5" customHeight="1">
      <c r="C2229" s="193"/>
      <c r="G2229" s="193"/>
      <c r="H2229" s="194"/>
      <c r="I2229" s="194"/>
      <c r="J2229" s="194"/>
      <c r="L2229" s="194"/>
      <c r="M2229" s="194"/>
    </row>
    <row r="2230" ht="22.5" customHeight="1">
      <c r="C2230" s="193"/>
      <c r="G2230" s="193"/>
      <c r="H2230" s="194"/>
      <c r="I2230" s="194"/>
      <c r="J2230" s="194"/>
      <c r="L2230" s="194"/>
      <c r="M2230" s="194"/>
    </row>
    <row r="2231" ht="22.5" customHeight="1">
      <c r="C2231" s="193"/>
      <c r="G2231" s="193"/>
      <c r="H2231" s="194"/>
      <c r="I2231" s="194"/>
      <c r="J2231" s="194"/>
      <c r="L2231" s="194"/>
      <c r="M2231" s="194"/>
    </row>
    <row r="2232" ht="22.5" customHeight="1">
      <c r="C2232" s="193"/>
      <c r="G2232" s="193"/>
      <c r="H2232" s="194"/>
      <c r="I2232" s="194"/>
      <c r="J2232" s="194"/>
      <c r="L2232" s="194"/>
      <c r="M2232" s="194"/>
    </row>
    <row r="2233" ht="22.5" customHeight="1">
      <c r="C2233" s="193"/>
      <c r="G2233" s="193"/>
      <c r="H2233" s="194"/>
      <c r="I2233" s="194"/>
      <c r="J2233" s="194"/>
      <c r="L2233" s="194"/>
      <c r="M2233" s="194"/>
    </row>
    <row r="2234" ht="22.5" customHeight="1">
      <c r="C2234" s="193"/>
      <c r="G2234" s="193"/>
      <c r="H2234" s="194"/>
      <c r="I2234" s="194"/>
      <c r="J2234" s="194"/>
      <c r="L2234" s="194"/>
      <c r="M2234" s="194"/>
    </row>
    <row r="2235" ht="22.5" customHeight="1">
      <c r="C2235" s="193"/>
      <c r="G2235" s="193"/>
      <c r="H2235" s="194"/>
      <c r="I2235" s="194"/>
      <c r="J2235" s="194"/>
      <c r="L2235" s="194"/>
      <c r="M2235" s="194"/>
    </row>
    <row r="2236" ht="22.5" customHeight="1">
      <c r="C2236" s="193"/>
      <c r="G2236" s="193"/>
      <c r="H2236" s="194"/>
      <c r="I2236" s="194"/>
      <c r="J2236" s="194"/>
      <c r="L2236" s="194"/>
      <c r="M2236" s="194"/>
    </row>
    <row r="2237" ht="22.5" customHeight="1">
      <c r="C2237" s="193"/>
      <c r="G2237" s="193"/>
      <c r="H2237" s="194"/>
      <c r="I2237" s="194"/>
      <c r="J2237" s="194"/>
      <c r="L2237" s="194"/>
      <c r="M2237" s="194"/>
    </row>
    <row r="2238" ht="22.5" customHeight="1">
      <c r="C2238" s="193"/>
      <c r="G2238" s="193"/>
      <c r="H2238" s="194"/>
      <c r="I2238" s="194"/>
      <c r="J2238" s="194"/>
      <c r="L2238" s="194"/>
      <c r="M2238" s="194"/>
    </row>
    <row r="2239" ht="22.5" customHeight="1">
      <c r="C2239" s="193"/>
      <c r="G2239" s="193"/>
      <c r="H2239" s="194"/>
      <c r="I2239" s="194"/>
      <c r="J2239" s="194"/>
      <c r="L2239" s="194"/>
      <c r="M2239" s="194"/>
    </row>
    <row r="2240" ht="22.5" customHeight="1">
      <c r="C2240" s="193"/>
      <c r="G2240" s="193"/>
      <c r="H2240" s="194"/>
      <c r="I2240" s="194"/>
      <c r="J2240" s="194"/>
      <c r="L2240" s="194"/>
      <c r="M2240" s="194"/>
    </row>
    <row r="2241" ht="22.5" customHeight="1">
      <c r="C2241" s="193"/>
      <c r="G2241" s="193"/>
      <c r="H2241" s="194"/>
      <c r="I2241" s="194"/>
      <c r="J2241" s="194"/>
      <c r="L2241" s="194"/>
      <c r="M2241" s="194"/>
    </row>
    <row r="2242" ht="22.5" customHeight="1">
      <c r="C2242" s="193"/>
      <c r="G2242" s="193"/>
      <c r="H2242" s="194"/>
      <c r="I2242" s="194"/>
      <c r="J2242" s="194"/>
      <c r="L2242" s="194"/>
      <c r="M2242" s="194"/>
    </row>
    <row r="2243" ht="22.5" customHeight="1">
      <c r="C2243" s="193"/>
      <c r="G2243" s="193"/>
      <c r="H2243" s="194"/>
      <c r="I2243" s="194"/>
      <c r="J2243" s="194"/>
      <c r="L2243" s="194"/>
      <c r="M2243" s="194"/>
    </row>
    <row r="2244" ht="22.5" customHeight="1">
      <c r="C2244" s="193"/>
      <c r="G2244" s="193"/>
      <c r="H2244" s="194"/>
      <c r="I2244" s="194"/>
      <c r="J2244" s="194"/>
      <c r="L2244" s="194"/>
      <c r="M2244" s="194"/>
    </row>
    <row r="2245" ht="22.5" customHeight="1">
      <c r="C2245" s="193"/>
      <c r="G2245" s="193"/>
      <c r="H2245" s="194"/>
      <c r="I2245" s="194"/>
      <c r="J2245" s="194"/>
      <c r="L2245" s="194"/>
      <c r="M2245" s="194"/>
    </row>
    <row r="2246" ht="22.5" customHeight="1">
      <c r="C2246" s="193"/>
      <c r="G2246" s="193"/>
      <c r="H2246" s="194"/>
      <c r="I2246" s="194"/>
      <c r="J2246" s="194"/>
      <c r="L2246" s="194"/>
      <c r="M2246" s="194"/>
    </row>
    <row r="2247" ht="22.5" customHeight="1">
      <c r="C2247" s="193"/>
      <c r="G2247" s="193"/>
      <c r="H2247" s="194"/>
      <c r="I2247" s="194"/>
      <c r="J2247" s="194"/>
      <c r="L2247" s="194"/>
      <c r="M2247" s="194"/>
    </row>
    <row r="2248" ht="22.5" customHeight="1">
      <c r="C2248" s="193"/>
      <c r="G2248" s="193"/>
      <c r="H2248" s="194"/>
      <c r="I2248" s="194"/>
      <c r="J2248" s="194"/>
      <c r="L2248" s="194"/>
      <c r="M2248" s="194"/>
    </row>
    <row r="2249" ht="22.5" customHeight="1">
      <c r="C2249" s="193"/>
      <c r="G2249" s="193"/>
      <c r="H2249" s="194"/>
      <c r="I2249" s="194"/>
      <c r="J2249" s="194"/>
      <c r="L2249" s="194"/>
      <c r="M2249" s="194"/>
    </row>
    <row r="2250" ht="22.5" customHeight="1">
      <c r="C2250" s="193"/>
      <c r="G2250" s="193"/>
      <c r="H2250" s="194"/>
      <c r="I2250" s="194"/>
      <c r="J2250" s="194"/>
      <c r="L2250" s="194"/>
      <c r="M2250" s="194"/>
    </row>
    <row r="2251" ht="22.5" customHeight="1">
      <c r="C2251" s="193"/>
      <c r="G2251" s="193"/>
      <c r="H2251" s="194"/>
      <c r="I2251" s="194"/>
      <c r="J2251" s="194"/>
      <c r="L2251" s="194"/>
      <c r="M2251" s="194"/>
    </row>
    <row r="2252" ht="22.5" customHeight="1">
      <c r="C2252" s="193"/>
      <c r="G2252" s="193"/>
      <c r="H2252" s="194"/>
      <c r="I2252" s="194"/>
      <c r="J2252" s="194"/>
      <c r="L2252" s="194"/>
      <c r="M2252" s="194"/>
    </row>
    <row r="2253" ht="22.5" customHeight="1">
      <c r="C2253" s="193"/>
      <c r="G2253" s="193"/>
      <c r="H2253" s="194"/>
      <c r="I2253" s="194"/>
      <c r="J2253" s="194"/>
      <c r="L2253" s="194"/>
      <c r="M2253" s="194"/>
    </row>
    <row r="2254" ht="22.5" customHeight="1">
      <c r="C2254" s="193"/>
      <c r="G2254" s="193"/>
      <c r="H2254" s="194"/>
      <c r="I2254" s="194"/>
      <c r="J2254" s="194"/>
      <c r="L2254" s="194"/>
      <c r="M2254" s="194"/>
    </row>
    <row r="2255" ht="22.5" customHeight="1">
      <c r="C2255" s="193"/>
      <c r="G2255" s="193"/>
      <c r="H2255" s="194"/>
      <c r="I2255" s="194"/>
      <c r="J2255" s="194"/>
      <c r="L2255" s="194"/>
      <c r="M2255" s="194"/>
    </row>
    <row r="2256" ht="22.5" customHeight="1">
      <c r="C2256" s="193"/>
      <c r="G2256" s="193"/>
      <c r="H2256" s="194"/>
      <c r="I2256" s="194"/>
      <c r="J2256" s="194"/>
      <c r="L2256" s="194"/>
      <c r="M2256" s="194"/>
    </row>
    <row r="2257" ht="22.5" customHeight="1">
      <c r="C2257" s="193"/>
      <c r="G2257" s="193"/>
      <c r="H2257" s="194"/>
      <c r="I2257" s="194"/>
      <c r="J2257" s="194"/>
      <c r="L2257" s="194"/>
      <c r="M2257" s="194"/>
    </row>
    <row r="2258" ht="22.5" customHeight="1">
      <c r="C2258" s="193"/>
      <c r="G2258" s="193"/>
      <c r="H2258" s="194"/>
      <c r="I2258" s="194"/>
      <c r="J2258" s="194"/>
      <c r="L2258" s="194"/>
      <c r="M2258" s="194"/>
    </row>
    <row r="2259" ht="22.5" customHeight="1">
      <c r="C2259" s="193"/>
      <c r="G2259" s="193"/>
      <c r="H2259" s="194"/>
      <c r="I2259" s="194"/>
      <c r="J2259" s="194"/>
      <c r="L2259" s="194"/>
      <c r="M2259" s="194"/>
    </row>
    <row r="2260" ht="22.5" customHeight="1">
      <c r="C2260" s="193"/>
      <c r="G2260" s="193"/>
      <c r="H2260" s="194"/>
      <c r="I2260" s="194"/>
      <c r="J2260" s="194"/>
      <c r="L2260" s="194"/>
      <c r="M2260" s="194"/>
    </row>
    <row r="2261" ht="22.5" customHeight="1">
      <c r="C2261" s="193"/>
      <c r="G2261" s="193"/>
      <c r="H2261" s="194"/>
      <c r="I2261" s="194"/>
      <c r="J2261" s="194"/>
      <c r="L2261" s="194"/>
      <c r="M2261" s="194"/>
    </row>
    <row r="2262" ht="22.5" customHeight="1">
      <c r="C2262" s="193"/>
      <c r="G2262" s="193"/>
      <c r="H2262" s="194"/>
      <c r="I2262" s="194"/>
      <c r="J2262" s="194"/>
      <c r="L2262" s="194"/>
      <c r="M2262" s="194"/>
    </row>
    <row r="2263" ht="22.5" customHeight="1">
      <c r="C2263" s="193"/>
      <c r="G2263" s="193"/>
      <c r="H2263" s="194"/>
      <c r="I2263" s="194"/>
      <c r="J2263" s="194"/>
      <c r="L2263" s="194"/>
      <c r="M2263" s="194"/>
    </row>
    <row r="2264" ht="22.5" customHeight="1">
      <c r="C2264" s="193"/>
      <c r="G2264" s="193"/>
      <c r="H2264" s="194"/>
      <c r="I2264" s="194"/>
      <c r="J2264" s="194"/>
      <c r="L2264" s="194"/>
      <c r="M2264" s="194"/>
    </row>
    <row r="2265" ht="22.5" customHeight="1">
      <c r="C2265" s="193"/>
      <c r="G2265" s="193"/>
      <c r="H2265" s="194"/>
      <c r="I2265" s="194"/>
      <c r="J2265" s="194"/>
      <c r="L2265" s="194"/>
      <c r="M2265" s="194"/>
    </row>
    <row r="2266" ht="22.5" customHeight="1">
      <c r="C2266" s="193"/>
      <c r="G2266" s="193"/>
      <c r="H2266" s="194"/>
      <c r="I2266" s="194"/>
      <c r="J2266" s="194"/>
      <c r="L2266" s="194"/>
      <c r="M2266" s="194"/>
    </row>
    <row r="2267" ht="22.5" customHeight="1">
      <c r="C2267" s="193"/>
      <c r="G2267" s="193"/>
      <c r="H2267" s="194"/>
      <c r="I2267" s="194"/>
      <c r="J2267" s="194"/>
      <c r="L2267" s="194"/>
      <c r="M2267" s="194"/>
    </row>
    <row r="2268" ht="22.5" customHeight="1">
      <c r="C2268" s="193"/>
      <c r="G2268" s="193"/>
      <c r="H2268" s="194"/>
      <c r="I2268" s="194"/>
      <c r="J2268" s="194"/>
      <c r="L2268" s="194"/>
      <c r="M2268" s="194"/>
    </row>
    <row r="2269" ht="22.5" customHeight="1">
      <c r="C2269" s="193"/>
      <c r="G2269" s="193"/>
      <c r="H2269" s="194"/>
      <c r="I2269" s="194"/>
      <c r="J2269" s="194"/>
      <c r="L2269" s="194"/>
      <c r="M2269" s="194"/>
    </row>
    <row r="2270" ht="22.5" customHeight="1">
      <c r="C2270" s="193"/>
      <c r="G2270" s="193"/>
      <c r="H2270" s="194"/>
      <c r="I2270" s="194"/>
      <c r="J2270" s="194"/>
      <c r="L2270" s="194"/>
      <c r="M2270" s="194"/>
    </row>
    <row r="2271" ht="22.5" customHeight="1">
      <c r="C2271" s="193"/>
      <c r="G2271" s="193"/>
      <c r="H2271" s="194"/>
      <c r="I2271" s="194"/>
      <c r="J2271" s="194"/>
      <c r="L2271" s="194"/>
      <c r="M2271" s="194"/>
    </row>
    <row r="2272" ht="22.5" customHeight="1">
      <c r="C2272" s="193"/>
      <c r="G2272" s="193"/>
      <c r="H2272" s="194"/>
      <c r="I2272" s="194"/>
      <c r="J2272" s="194"/>
      <c r="L2272" s="194"/>
      <c r="M2272" s="194"/>
    </row>
    <row r="2273" ht="22.5" customHeight="1">
      <c r="C2273" s="193"/>
      <c r="G2273" s="193"/>
      <c r="H2273" s="194"/>
      <c r="I2273" s="194"/>
      <c r="J2273" s="194"/>
      <c r="L2273" s="194"/>
      <c r="M2273" s="194"/>
    </row>
    <row r="2274" ht="22.5" customHeight="1">
      <c r="C2274" s="193"/>
      <c r="G2274" s="193"/>
      <c r="H2274" s="194"/>
      <c r="I2274" s="194"/>
      <c r="J2274" s="194"/>
      <c r="L2274" s="194"/>
      <c r="M2274" s="194"/>
    </row>
    <row r="2275" ht="22.5" customHeight="1">
      <c r="C2275" s="193"/>
      <c r="G2275" s="193"/>
      <c r="H2275" s="194"/>
      <c r="I2275" s="194"/>
      <c r="J2275" s="194"/>
      <c r="L2275" s="194"/>
      <c r="M2275" s="194"/>
    </row>
    <row r="2276" ht="22.5" customHeight="1">
      <c r="C2276" s="193"/>
      <c r="G2276" s="193"/>
      <c r="H2276" s="194"/>
      <c r="I2276" s="194"/>
      <c r="J2276" s="194"/>
      <c r="L2276" s="194"/>
      <c r="M2276" s="194"/>
    </row>
    <row r="2277" ht="22.5" customHeight="1">
      <c r="C2277" s="193"/>
      <c r="G2277" s="193"/>
      <c r="H2277" s="194"/>
      <c r="I2277" s="194"/>
      <c r="J2277" s="194"/>
      <c r="L2277" s="194"/>
      <c r="M2277" s="194"/>
    </row>
    <row r="2278" ht="22.5" customHeight="1">
      <c r="C2278" s="193"/>
      <c r="G2278" s="193"/>
      <c r="H2278" s="194"/>
      <c r="I2278" s="194"/>
      <c r="J2278" s="194"/>
      <c r="L2278" s="194"/>
      <c r="M2278" s="194"/>
    </row>
    <row r="2279" ht="22.5" customHeight="1">
      <c r="C2279" s="193"/>
      <c r="G2279" s="193"/>
      <c r="H2279" s="194"/>
      <c r="I2279" s="194"/>
      <c r="J2279" s="194"/>
      <c r="L2279" s="194"/>
      <c r="M2279" s="194"/>
    </row>
    <row r="2280" ht="22.5" customHeight="1">
      <c r="C2280" s="193"/>
      <c r="G2280" s="193"/>
      <c r="H2280" s="194"/>
      <c r="I2280" s="194"/>
      <c r="J2280" s="194"/>
      <c r="L2280" s="194"/>
      <c r="M2280" s="194"/>
    </row>
    <row r="2281" ht="22.5" customHeight="1">
      <c r="C2281" s="193"/>
      <c r="G2281" s="193"/>
      <c r="H2281" s="194"/>
      <c r="I2281" s="194"/>
      <c r="J2281" s="194"/>
      <c r="L2281" s="194"/>
      <c r="M2281" s="194"/>
    </row>
    <row r="2282" ht="22.5" customHeight="1">
      <c r="C2282" s="193"/>
      <c r="G2282" s="193"/>
      <c r="H2282" s="194"/>
      <c r="I2282" s="194"/>
      <c r="J2282" s="194"/>
      <c r="L2282" s="194"/>
      <c r="M2282" s="194"/>
    </row>
    <row r="2283" ht="22.5" customHeight="1">
      <c r="C2283" s="193"/>
      <c r="G2283" s="193"/>
      <c r="H2283" s="194"/>
      <c r="I2283" s="194"/>
      <c r="J2283" s="194"/>
      <c r="L2283" s="194"/>
      <c r="M2283" s="194"/>
    </row>
    <row r="2284" ht="22.5" customHeight="1">
      <c r="C2284" s="193"/>
      <c r="G2284" s="193"/>
      <c r="H2284" s="194"/>
      <c r="I2284" s="194"/>
      <c r="J2284" s="194"/>
      <c r="L2284" s="194"/>
      <c r="M2284" s="194"/>
    </row>
    <row r="2285" ht="22.5" customHeight="1">
      <c r="C2285" s="193"/>
      <c r="G2285" s="193"/>
      <c r="H2285" s="194"/>
      <c r="I2285" s="194"/>
      <c r="J2285" s="194"/>
      <c r="L2285" s="194"/>
      <c r="M2285" s="194"/>
    </row>
    <row r="2286" ht="22.5" customHeight="1">
      <c r="C2286" s="193"/>
      <c r="G2286" s="193"/>
      <c r="H2286" s="194"/>
      <c r="I2286" s="194"/>
      <c r="J2286" s="194"/>
      <c r="L2286" s="194"/>
      <c r="M2286" s="194"/>
    </row>
    <row r="2287" ht="22.5" customHeight="1">
      <c r="C2287" s="193"/>
      <c r="G2287" s="193"/>
      <c r="H2287" s="194"/>
      <c r="I2287" s="194"/>
      <c r="J2287" s="194"/>
      <c r="L2287" s="194"/>
      <c r="M2287" s="194"/>
    </row>
    <row r="2288" ht="22.5" customHeight="1">
      <c r="C2288" s="193"/>
      <c r="G2288" s="193"/>
      <c r="H2288" s="194"/>
      <c r="I2288" s="194"/>
      <c r="J2288" s="194"/>
      <c r="L2288" s="194"/>
      <c r="M2288" s="194"/>
    </row>
    <row r="2289" ht="22.5" customHeight="1">
      <c r="C2289" s="193"/>
      <c r="G2289" s="193"/>
      <c r="H2289" s="194"/>
      <c r="I2289" s="194"/>
      <c r="J2289" s="194"/>
      <c r="L2289" s="194"/>
      <c r="M2289" s="194"/>
    </row>
    <row r="2290" ht="22.5" customHeight="1">
      <c r="C2290" s="193"/>
      <c r="G2290" s="193"/>
      <c r="H2290" s="194"/>
      <c r="I2290" s="194"/>
      <c r="J2290" s="194"/>
      <c r="L2290" s="194"/>
      <c r="M2290" s="194"/>
    </row>
    <row r="2291" ht="22.5" customHeight="1">
      <c r="C2291" s="193"/>
      <c r="G2291" s="193"/>
      <c r="H2291" s="194"/>
      <c r="I2291" s="194"/>
      <c r="J2291" s="194"/>
      <c r="L2291" s="194"/>
      <c r="M2291" s="194"/>
    </row>
    <row r="2292" ht="22.5" customHeight="1">
      <c r="C2292" s="193"/>
      <c r="G2292" s="193"/>
      <c r="H2292" s="194"/>
      <c r="I2292" s="194"/>
      <c r="J2292" s="194"/>
      <c r="L2292" s="194"/>
      <c r="M2292" s="194"/>
    </row>
    <row r="2293" ht="22.5" customHeight="1">
      <c r="C2293" s="193"/>
      <c r="G2293" s="193"/>
      <c r="H2293" s="194"/>
      <c r="I2293" s="194"/>
      <c r="J2293" s="194"/>
      <c r="L2293" s="194"/>
      <c r="M2293" s="194"/>
    </row>
    <row r="2294" ht="22.5" customHeight="1">
      <c r="C2294" s="193"/>
      <c r="G2294" s="193"/>
      <c r="H2294" s="194"/>
      <c r="I2294" s="194"/>
      <c r="J2294" s="194"/>
      <c r="L2294" s="194"/>
      <c r="M2294" s="194"/>
    </row>
    <row r="2295" ht="22.5" customHeight="1">
      <c r="C2295" s="193"/>
      <c r="G2295" s="193"/>
      <c r="H2295" s="194"/>
      <c r="I2295" s="194"/>
      <c r="J2295" s="194"/>
      <c r="L2295" s="194"/>
      <c r="M2295" s="194"/>
    </row>
    <row r="2296" ht="22.5" customHeight="1">
      <c r="C2296" s="193"/>
      <c r="G2296" s="193"/>
      <c r="H2296" s="194"/>
      <c r="I2296" s="194"/>
      <c r="J2296" s="194"/>
      <c r="L2296" s="194"/>
      <c r="M2296" s="194"/>
    </row>
    <row r="2297" ht="22.5" customHeight="1">
      <c r="C2297" s="193"/>
      <c r="G2297" s="193"/>
      <c r="H2297" s="194"/>
      <c r="I2297" s="194"/>
      <c r="J2297" s="194"/>
      <c r="L2297" s="194"/>
      <c r="M2297" s="194"/>
    </row>
    <row r="2298" ht="22.5" customHeight="1">
      <c r="C2298" s="193"/>
      <c r="G2298" s="193"/>
      <c r="H2298" s="194"/>
      <c r="I2298" s="194"/>
      <c r="J2298" s="194"/>
      <c r="L2298" s="194"/>
      <c r="M2298" s="194"/>
    </row>
    <row r="2299" ht="22.5" customHeight="1">
      <c r="C2299" s="193"/>
      <c r="G2299" s="193"/>
      <c r="H2299" s="194"/>
      <c r="I2299" s="194"/>
      <c r="J2299" s="194"/>
      <c r="L2299" s="194"/>
      <c r="M2299" s="194"/>
    </row>
    <row r="2300" ht="22.5" customHeight="1">
      <c r="C2300" s="193"/>
      <c r="G2300" s="193"/>
      <c r="H2300" s="194"/>
      <c r="I2300" s="194"/>
      <c r="J2300" s="194"/>
      <c r="L2300" s="194"/>
      <c r="M2300" s="194"/>
    </row>
    <row r="2301" ht="22.5" customHeight="1">
      <c r="C2301" s="193"/>
      <c r="G2301" s="193"/>
      <c r="H2301" s="194"/>
      <c r="I2301" s="194"/>
      <c r="J2301" s="194"/>
      <c r="L2301" s="194"/>
      <c r="M2301" s="194"/>
    </row>
    <row r="2302" ht="22.5" customHeight="1">
      <c r="C2302" s="193"/>
      <c r="G2302" s="193"/>
      <c r="H2302" s="194"/>
      <c r="I2302" s="194"/>
      <c r="J2302" s="194"/>
      <c r="L2302" s="194"/>
      <c r="M2302" s="194"/>
    </row>
    <row r="2303" ht="22.5" customHeight="1">
      <c r="C2303" s="193"/>
      <c r="G2303" s="193"/>
      <c r="H2303" s="194"/>
      <c r="I2303" s="194"/>
      <c r="J2303" s="194"/>
      <c r="L2303" s="194"/>
      <c r="M2303" s="194"/>
    </row>
    <row r="2304" ht="22.5" customHeight="1">
      <c r="C2304" s="193"/>
      <c r="G2304" s="193"/>
      <c r="H2304" s="194"/>
      <c r="I2304" s="194"/>
      <c r="J2304" s="194"/>
      <c r="L2304" s="194"/>
      <c r="M2304" s="194"/>
    </row>
    <row r="2305" ht="22.5" customHeight="1">
      <c r="C2305" s="193"/>
      <c r="G2305" s="193"/>
      <c r="H2305" s="194"/>
      <c r="I2305" s="194"/>
      <c r="J2305" s="194"/>
      <c r="L2305" s="194"/>
      <c r="M2305" s="194"/>
    </row>
    <row r="2306" ht="22.5" customHeight="1">
      <c r="C2306" s="193"/>
      <c r="G2306" s="193"/>
      <c r="H2306" s="194"/>
      <c r="I2306" s="194"/>
      <c r="J2306" s="194"/>
      <c r="L2306" s="194"/>
      <c r="M2306" s="194"/>
    </row>
    <row r="2307" ht="22.5" customHeight="1">
      <c r="C2307" s="193"/>
      <c r="G2307" s="193"/>
      <c r="H2307" s="194"/>
      <c r="I2307" s="194"/>
      <c r="J2307" s="194"/>
      <c r="L2307" s="194"/>
      <c r="M2307" s="194"/>
    </row>
    <row r="2308" ht="22.5" customHeight="1">
      <c r="C2308" s="193"/>
      <c r="G2308" s="193"/>
      <c r="H2308" s="194"/>
      <c r="I2308" s="194"/>
      <c r="J2308" s="194"/>
      <c r="L2308" s="194"/>
      <c r="M2308" s="194"/>
    </row>
    <row r="2309" ht="22.5" customHeight="1">
      <c r="C2309" s="193"/>
      <c r="G2309" s="193"/>
      <c r="H2309" s="194"/>
      <c r="I2309" s="194"/>
      <c r="J2309" s="194"/>
      <c r="L2309" s="194"/>
      <c r="M2309" s="194"/>
    </row>
    <row r="2310" ht="22.5" customHeight="1">
      <c r="C2310" s="193"/>
      <c r="G2310" s="193"/>
      <c r="H2310" s="194"/>
      <c r="I2310" s="194"/>
      <c r="J2310" s="194"/>
      <c r="L2310" s="194"/>
      <c r="M2310" s="194"/>
    </row>
    <row r="2311" ht="22.5" customHeight="1">
      <c r="C2311" s="193"/>
      <c r="G2311" s="193"/>
      <c r="H2311" s="194"/>
      <c r="I2311" s="194"/>
      <c r="J2311" s="194"/>
      <c r="L2311" s="194"/>
      <c r="M2311" s="194"/>
    </row>
    <row r="2312" ht="22.5" customHeight="1">
      <c r="C2312" s="193"/>
      <c r="G2312" s="193"/>
      <c r="H2312" s="194"/>
      <c r="I2312" s="194"/>
      <c r="J2312" s="194"/>
      <c r="L2312" s="194"/>
      <c r="M2312" s="194"/>
    </row>
    <row r="2313" ht="22.5" customHeight="1">
      <c r="C2313" s="193"/>
      <c r="G2313" s="193"/>
      <c r="H2313" s="194"/>
      <c r="I2313" s="194"/>
      <c r="J2313" s="194"/>
      <c r="L2313" s="194"/>
      <c r="M2313" s="194"/>
    </row>
    <row r="2314" ht="22.5" customHeight="1">
      <c r="C2314" s="193"/>
      <c r="G2314" s="193"/>
      <c r="H2314" s="194"/>
      <c r="I2314" s="194"/>
      <c r="J2314" s="194"/>
      <c r="L2314" s="194"/>
      <c r="M2314" s="194"/>
    </row>
    <row r="2315" ht="22.5" customHeight="1">
      <c r="C2315" s="193"/>
      <c r="G2315" s="193"/>
      <c r="H2315" s="194"/>
      <c r="I2315" s="194"/>
      <c r="J2315" s="194"/>
      <c r="L2315" s="194"/>
      <c r="M2315" s="194"/>
    </row>
    <row r="2316" ht="22.5" customHeight="1">
      <c r="C2316" s="193"/>
      <c r="G2316" s="193"/>
      <c r="H2316" s="194"/>
      <c r="I2316" s="194"/>
      <c r="J2316" s="194"/>
      <c r="L2316" s="194"/>
      <c r="M2316" s="194"/>
    </row>
    <row r="2317" ht="22.5" customHeight="1">
      <c r="C2317" s="193"/>
      <c r="G2317" s="193"/>
      <c r="H2317" s="194"/>
      <c r="I2317" s="194"/>
      <c r="J2317" s="194"/>
      <c r="L2317" s="194"/>
      <c r="M2317" s="194"/>
    </row>
    <row r="2318" ht="22.5" customHeight="1">
      <c r="C2318" s="193"/>
      <c r="G2318" s="193"/>
      <c r="H2318" s="194"/>
      <c r="I2318" s="194"/>
      <c r="J2318" s="194"/>
      <c r="L2318" s="194"/>
      <c r="M2318" s="194"/>
    </row>
    <row r="2319" ht="22.5" customHeight="1">
      <c r="C2319" s="193"/>
      <c r="G2319" s="193"/>
      <c r="H2319" s="194"/>
      <c r="I2319" s="194"/>
      <c r="J2319" s="194"/>
      <c r="L2319" s="194"/>
      <c r="M2319" s="194"/>
    </row>
    <row r="2320" ht="22.5" customHeight="1">
      <c r="C2320" s="193"/>
      <c r="G2320" s="193"/>
      <c r="H2320" s="194"/>
      <c r="I2320" s="194"/>
      <c r="J2320" s="194"/>
      <c r="L2320" s="194"/>
      <c r="M2320" s="194"/>
    </row>
    <row r="2321" ht="22.5" customHeight="1">
      <c r="C2321" s="193"/>
      <c r="G2321" s="193"/>
      <c r="H2321" s="194"/>
      <c r="I2321" s="194"/>
      <c r="J2321" s="194"/>
      <c r="L2321" s="194"/>
      <c r="M2321" s="194"/>
    </row>
    <row r="2322" ht="22.5" customHeight="1">
      <c r="C2322" s="193"/>
      <c r="G2322" s="193"/>
      <c r="H2322" s="194"/>
      <c r="I2322" s="194"/>
      <c r="J2322" s="194"/>
      <c r="L2322" s="194"/>
      <c r="M2322" s="194"/>
    </row>
    <row r="2323" ht="22.5" customHeight="1">
      <c r="C2323" s="193"/>
      <c r="G2323" s="193"/>
      <c r="H2323" s="194"/>
      <c r="I2323" s="194"/>
      <c r="J2323" s="194"/>
      <c r="L2323" s="194"/>
      <c r="M2323" s="194"/>
    </row>
    <row r="2324" ht="22.5" customHeight="1">
      <c r="C2324" s="193"/>
      <c r="G2324" s="193"/>
      <c r="H2324" s="194"/>
      <c r="I2324" s="194"/>
      <c r="J2324" s="194"/>
      <c r="L2324" s="194"/>
      <c r="M2324" s="194"/>
    </row>
    <row r="2325" ht="22.5" customHeight="1">
      <c r="C2325" s="193"/>
      <c r="G2325" s="193"/>
      <c r="H2325" s="194"/>
      <c r="I2325" s="194"/>
      <c r="J2325" s="194"/>
      <c r="L2325" s="194"/>
      <c r="M2325" s="194"/>
    </row>
    <row r="2326" ht="22.5" customHeight="1">
      <c r="C2326" s="193"/>
      <c r="G2326" s="193"/>
      <c r="H2326" s="194"/>
      <c r="I2326" s="194"/>
      <c r="J2326" s="194"/>
      <c r="L2326" s="194"/>
      <c r="M2326" s="194"/>
    </row>
    <row r="2327" ht="22.5" customHeight="1">
      <c r="C2327" s="193"/>
      <c r="G2327" s="193"/>
      <c r="H2327" s="194"/>
      <c r="I2327" s="194"/>
      <c r="J2327" s="194"/>
      <c r="L2327" s="194"/>
      <c r="M2327" s="194"/>
    </row>
    <row r="2328" ht="22.5" customHeight="1">
      <c r="C2328" s="193"/>
      <c r="G2328" s="193"/>
      <c r="H2328" s="194"/>
      <c r="I2328" s="194"/>
      <c r="J2328" s="194"/>
      <c r="L2328" s="194"/>
      <c r="M2328" s="194"/>
    </row>
    <row r="2329" ht="22.5" customHeight="1">
      <c r="C2329" s="193"/>
      <c r="G2329" s="193"/>
      <c r="H2329" s="194"/>
      <c r="I2329" s="194"/>
      <c r="J2329" s="194"/>
      <c r="L2329" s="194"/>
      <c r="M2329" s="194"/>
    </row>
    <row r="2330" ht="22.5" customHeight="1">
      <c r="C2330" s="193"/>
      <c r="G2330" s="193"/>
      <c r="H2330" s="194"/>
      <c r="I2330" s="194"/>
      <c r="J2330" s="194"/>
      <c r="L2330" s="194"/>
      <c r="M2330" s="194"/>
    </row>
    <row r="2331" ht="22.5" customHeight="1">
      <c r="C2331" s="193"/>
      <c r="G2331" s="193"/>
      <c r="H2331" s="194"/>
      <c r="I2331" s="194"/>
      <c r="J2331" s="194"/>
      <c r="L2331" s="194"/>
      <c r="M2331" s="194"/>
    </row>
    <row r="2332" ht="22.5" customHeight="1">
      <c r="C2332" s="193"/>
      <c r="G2332" s="193"/>
      <c r="H2332" s="194"/>
      <c r="I2332" s="194"/>
      <c r="J2332" s="194"/>
      <c r="L2332" s="194"/>
      <c r="M2332" s="194"/>
    </row>
    <row r="2333" ht="22.5" customHeight="1">
      <c r="C2333" s="193"/>
      <c r="G2333" s="193"/>
      <c r="H2333" s="194"/>
      <c r="I2333" s="194"/>
      <c r="J2333" s="194"/>
      <c r="L2333" s="194"/>
      <c r="M2333" s="194"/>
    </row>
    <row r="2334" ht="22.5" customHeight="1">
      <c r="C2334" s="193"/>
      <c r="G2334" s="193"/>
      <c r="H2334" s="194"/>
      <c r="I2334" s="194"/>
      <c r="J2334" s="194"/>
      <c r="L2334" s="194"/>
      <c r="M2334" s="194"/>
    </row>
    <row r="2335" ht="22.5" customHeight="1">
      <c r="C2335" s="193"/>
      <c r="G2335" s="193"/>
      <c r="H2335" s="194"/>
      <c r="I2335" s="194"/>
      <c r="J2335" s="194"/>
      <c r="L2335" s="194"/>
      <c r="M2335" s="194"/>
    </row>
    <row r="2336" ht="22.5" customHeight="1">
      <c r="C2336" s="193"/>
      <c r="G2336" s="193"/>
      <c r="H2336" s="194"/>
      <c r="I2336" s="194"/>
      <c r="J2336" s="194"/>
      <c r="L2336" s="194"/>
      <c r="M2336" s="194"/>
    </row>
    <row r="2337" ht="22.5" customHeight="1">
      <c r="C2337" s="193"/>
      <c r="G2337" s="193"/>
      <c r="H2337" s="194"/>
      <c r="I2337" s="194"/>
      <c r="J2337" s="194"/>
      <c r="L2337" s="194"/>
      <c r="M2337" s="194"/>
    </row>
    <row r="2338" ht="22.5" customHeight="1">
      <c r="C2338" s="193"/>
      <c r="G2338" s="193"/>
      <c r="H2338" s="194"/>
      <c r="I2338" s="194"/>
      <c r="J2338" s="194"/>
      <c r="L2338" s="194"/>
      <c r="M2338" s="194"/>
    </row>
    <row r="2339" ht="22.5" customHeight="1">
      <c r="C2339" s="193"/>
      <c r="G2339" s="193"/>
      <c r="H2339" s="194"/>
      <c r="I2339" s="194"/>
      <c r="J2339" s="194"/>
      <c r="L2339" s="194"/>
      <c r="M2339" s="194"/>
    </row>
    <row r="2340" ht="22.5" customHeight="1">
      <c r="C2340" s="193"/>
      <c r="G2340" s="193"/>
      <c r="H2340" s="194"/>
      <c r="I2340" s="194"/>
      <c r="J2340" s="194"/>
      <c r="L2340" s="194"/>
      <c r="M2340" s="194"/>
    </row>
    <row r="2341" ht="22.5" customHeight="1">
      <c r="C2341" s="193"/>
      <c r="G2341" s="193"/>
      <c r="H2341" s="194"/>
      <c r="I2341" s="194"/>
      <c r="J2341" s="194"/>
      <c r="L2341" s="194"/>
      <c r="M2341" s="194"/>
    </row>
    <row r="2342" ht="22.5" customHeight="1">
      <c r="C2342" s="193"/>
      <c r="G2342" s="193"/>
      <c r="H2342" s="194"/>
      <c r="I2342" s="194"/>
      <c r="J2342" s="194"/>
      <c r="L2342" s="194"/>
      <c r="M2342" s="194"/>
    </row>
    <row r="2343" ht="22.5" customHeight="1">
      <c r="C2343" s="193"/>
      <c r="G2343" s="193"/>
      <c r="H2343" s="194"/>
      <c r="I2343" s="194"/>
      <c r="J2343" s="194"/>
      <c r="L2343" s="194"/>
      <c r="M2343" s="194"/>
    </row>
    <row r="2344" ht="22.5" customHeight="1">
      <c r="C2344" s="193"/>
      <c r="G2344" s="193"/>
      <c r="H2344" s="194"/>
      <c r="I2344" s="194"/>
      <c r="J2344" s="194"/>
      <c r="L2344" s="194"/>
      <c r="M2344" s="194"/>
    </row>
    <row r="2345" ht="22.5" customHeight="1">
      <c r="C2345" s="193"/>
      <c r="G2345" s="193"/>
      <c r="H2345" s="194"/>
      <c r="I2345" s="194"/>
      <c r="J2345" s="194"/>
      <c r="L2345" s="194"/>
      <c r="M2345" s="194"/>
    </row>
    <row r="2346" ht="22.5" customHeight="1">
      <c r="C2346" s="193"/>
      <c r="G2346" s="193"/>
      <c r="H2346" s="194"/>
      <c r="I2346" s="194"/>
      <c r="J2346" s="194"/>
      <c r="L2346" s="194"/>
      <c r="M2346" s="194"/>
    </row>
    <row r="2347" ht="22.5" customHeight="1">
      <c r="C2347" s="193"/>
      <c r="G2347" s="193"/>
      <c r="H2347" s="194"/>
      <c r="I2347" s="194"/>
      <c r="J2347" s="194"/>
      <c r="L2347" s="194"/>
      <c r="M2347" s="194"/>
    </row>
    <row r="2348" ht="22.5" customHeight="1">
      <c r="C2348" s="193"/>
      <c r="G2348" s="193"/>
      <c r="H2348" s="194"/>
      <c r="I2348" s="194"/>
      <c r="J2348" s="194"/>
      <c r="L2348" s="194"/>
      <c r="M2348" s="194"/>
    </row>
    <row r="2349" ht="22.5" customHeight="1">
      <c r="C2349" s="193"/>
      <c r="G2349" s="193"/>
      <c r="H2349" s="194"/>
      <c r="I2349" s="194"/>
      <c r="J2349" s="194"/>
      <c r="L2349" s="194"/>
      <c r="M2349" s="194"/>
    </row>
    <row r="2350" ht="22.5" customHeight="1">
      <c r="C2350" s="193"/>
      <c r="G2350" s="193"/>
      <c r="H2350" s="194"/>
      <c r="I2350" s="194"/>
      <c r="J2350" s="194"/>
      <c r="L2350" s="194"/>
      <c r="M2350" s="194"/>
    </row>
    <row r="2351" ht="22.5" customHeight="1">
      <c r="C2351" s="193"/>
      <c r="G2351" s="193"/>
      <c r="H2351" s="194"/>
      <c r="I2351" s="194"/>
      <c r="J2351" s="194"/>
      <c r="L2351" s="194"/>
      <c r="M2351" s="194"/>
    </row>
    <row r="2352" ht="22.5" customHeight="1">
      <c r="C2352" s="193"/>
      <c r="G2352" s="193"/>
      <c r="H2352" s="194"/>
      <c r="I2352" s="194"/>
      <c r="J2352" s="194"/>
      <c r="L2352" s="194"/>
      <c r="M2352" s="194"/>
    </row>
    <row r="2353" ht="22.5" customHeight="1">
      <c r="C2353" s="193"/>
      <c r="G2353" s="193"/>
      <c r="H2353" s="194"/>
      <c r="I2353" s="194"/>
      <c r="J2353" s="194"/>
      <c r="L2353" s="194"/>
      <c r="M2353" s="194"/>
    </row>
    <row r="2354" ht="22.5" customHeight="1">
      <c r="C2354" s="193"/>
      <c r="G2354" s="193"/>
      <c r="H2354" s="194"/>
      <c r="I2354" s="194"/>
      <c r="J2354" s="194"/>
      <c r="L2354" s="194"/>
      <c r="M2354" s="194"/>
    </row>
    <row r="2355" ht="22.5" customHeight="1">
      <c r="C2355" s="193"/>
      <c r="G2355" s="193"/>
      <c r="H2355" s="194"/>
      <c r="I2355" s="194"/>
      <c r="J2355" s="194"/>
      <c r="L2355" s="194"/>
      <c r="M2355" s="194"/>
    </row>
    <row r="2356" ht="22.5" customHeight="1">
      <c r="C2356" s="193"/>
      <c r="G2356" s="193"/>
      <c r="H2356" s="194"/>
      <c r="I2356" s="194"/>
      <c r="J2356" s="194"/>
      <c r="L2356" s="194"/>
      <c r="M2356" s="194"/>
    </row>
    <row r="2357" ht="22.5" customHeight="1">
      <c r="C2357" s="193"/>
      <c r="G2357" s="193"/>
      <c r="H2357" s="194"/>
      <c r="I2357" s="194"/>
      <c r="J2357" s="194"/>
      <c r="L2357" s="194"/>
      <c r="M2357" s="194"/>
    </row>
    <row r="2358" ht="22.5" customHeight="1">
      <c r="C2358" s="193"/>
      <c r="G2358" s="193"/>
      <c r="H2358" s="194"/>
      <c r="I2358" s="194"/>
      <c r="J2358" s="194"/>
      <c r="L2358" s="194"/>
      <c r="M2358" s="194"/>
    </row>
    <row r="2359" ht="22.5" customHeight="1">
      <c r="C2359" s="193"/>
      <c r="G2359" s="193"/>
      <c r="H2359" s="194"/>
      <c r="I2359" s="194"/>
      <c r="J2359" s="194"/>
      <c r="L2359" s="194"/>
      <c r="M2359" s="194"/>
    </row>
    <row r="2360" ht="22.5" customHeight="1">
      <c r="C2360" s="193"/>
      <c r="G2360" s="193"/>
      <c r="H2360" s="194"/>
      <c r="I2360" s="194"/>
      <c r="J2360" s="194"/>
      <c r="L2360" s="194"/>
      <c r="M2360" s="194"/>
    </row>
    <row r="2361" ht="22.5" customHeight="1">
      <c r="C2361" s="193"/>
      <c r="G2361" s="193"/>
      <c r="H2361" s="194"/>
      <c r="I2361" s="194"/>
      <c r="J2361" s="194"/>
      <c r="L2361" s="194"/>
      <c r="M2361" s="194"/>
    </row>
    <row r="2362" ht="22.5" customHeight="1">
      <c r="C2362" s="193"/>
      <c r="G2362" s="193"/>
      <c r="H2362" s="194"/>
      <c r="I2362" s="194"/>
      <c r="J2362" s="194"/>
      <c r="L2362" s="194"/>
      <c r="M2362" s="194"/>
    </row>
    <row r="2363" ht="22.5" customHeight="1">
      <c r="C2363" s="193"/>
      <c r="G2363" s="193"/>
      <c r="H2363" s="194"/>
      <c r="I2363" s="194"/>
      <c r="J2363" s="194"/>
      <c r="L2363" s="194"/>
      <c r="M2363" s="194"/>
    </row>
    <row r="2364" ht="22.5" customHeight="1">
      <c r="C2364" s="193"/>
      <c r="G2364" s="193"/>
      <c r="H2364" s="194"/>
      <c r="I2364" s="194"/>
      <c r="J2364" s="194"/>
      <c r="L2364" s="194"/>
      <c r="M2364" s="194"/>
    </row>
    <row r="2365" ht="22.5" customHeight="1">
      <c r="C2365" s="193"/>
      <c r="G2365" s="193"/>
      <c r="H2365" s="194"/>
      <c r="I2365" s="194"/>
      <c r="J2365" s="194"/>
      <c r="L2365" s="194"/>
      <c r="M2365" s="194"/>
    </row>
    <row r="2366" ht="22.5" customHeight="1">
      <c r="C2366" s="193"/>
      <c r="G2366" s="193"/>
      <c r="H2366" s="194"/>
      <c r="I2366" s="194"/>
      <c r="J2366" s="194"/>
      <c r="L2366" s="194"/>
      <c r="M2366" s="194"/>
    </row>
    <row r="2367" ht="22.5" customHeight="1">
      <c r="C2367" s="193"/>
      <c r="G2367" s="193"/>
      <c r="H2367" s="194"/>
      <c r="I2367" s="194"/>
      <c r="J2367" s="194"/>
      <c r="L2367" s="194"/>
      <c r="M2367" s="194"/>
    </row>
    <row r="2368" ht="22.5" customHeight="1">
      <c r="C2368" s="193"/>
      <c r="G2368" s="193"/>
      <c r="H2368" s="194"/>
      <c r="I2368" s="194"/>
      <c r="J2368" s="194"/>
      <c r="L2368" s="194"/>
      <c r="M2368" s="194"/>
    </row>
    <row r="2369" ht="22.5" customHeight="1">
      <c r="C2369" s="193"/>
      <c r="G2369" s="193"/>
      <c r="H2369" s="194"/>
      <c r="I2369" s="194"/>
      <c r="J2369" s="194"/>
      <c r="L2369" s="194"/>
      <c r="M2369" s="194"/>
    </row>
    <row r="2370" ht="22.5" customHeight="1">
      <c r="C2370" s="193"/>
      <c r="G2370" s="193"/>
      <c r="H2370" s="194"/>
      <c r="I2370" s="194"/>
      <c r="J2370" s="194"/>
      <c r="L2370" s="194"/>
      <c r="M2370" s="194"/>
    </row>
    <row r="2371" ht="22.5" customHeight="1">
      <c r="C2371" s="193"/>
      <c r="G2371" s="193"/>
      <c r="H2371" s="194"/>
      <c r="I2371" s="194"/>
      <c r="J2371" s="194"/>
      <c r="L2371" s="194"/>
      <c r="M2371" s="194"/>
    </row>
    <row r="2372" ht="22.5" customHeight="1">
      <c r="C2372" s="193"/>
      <c r="G2372" s="193"/>
      <c r="H2372" s="194"/>
      <c r="I2372" s="194"/>
      <c r="J2372" s="194"/>
      <c r="L2372" s="194"/>
      <c r="M2372" s="194"/>
    </row>
    <row r="2373" ht="22.5" customHeight="1">
      <c r="C2373" s="193"/>
      <c r="G2373" s="193"/>
      <c r="H2373" s="194"/>
      <c r="I2373" s="194"/>
      <c r="J2373" s="194"/>
      <c r="L2373" s="194"/>
      <c r="M2373" s="194"/>
    </row>
    <row r="2374" ht="22.5" customHeight="1">
      <c r="C2374" s="193"/>
      <c r="G2374" s="193"/>
      <c r="H2374" s="194"/>
      <c r="I2374" s="194"/>
      <c r="J2374" s="194"/>
      <c r="L2374" s="194"/>
      <c r="M2374" s="194"/>
    </row>
    <row r="2375" ht="22.5" customHeight="1">
      <c r="C2375" s="193"/>
      <c r="G2375" s="193"/>
      <c r="H2375" s="194"/>
      <c r="I2375" s="194"/>
      <c r="J2375" s="194"/>
      <c r="L2375" s="194"/>
      <c r="M2375" s="194"/>
    </row>
    <row r="2376" ht="22.5" customHeight="1">
      <c r="C2376" s="193"/>
      <c r="G2376" s="193"/>
      <c r="H2376" s="194"/>
      <c r="I2376" s="194"/>
      <c r="J2376" s="194"/>
      <c r="L2376" s="194"/>
      <c r="M2376" s="194"/>
    </row>
    <row r="2377" ht="22.5" customHeight="1">
      <c r="C2377" s="193"/>
      <c r="G2377" s="193"/>
      <c r="H2377" s="194"/>
      <c r="I2377" s="194"/>
      <c r="J2377" s="194"/>
      <c r="L2377" s="194"/>
      <c r="M2377" s="194"/>
    </row>
    <row r="2378" ht="22.5" customHeight="1">
      <c r="C2378" s="193"/>
      <c r="G2378" s="193"/>
      <c r="H2378" s="194"/>
      <c r="I2378" s="194"/>
      <c r="J2378" s="194"/>
      <c r="L2378" s="194"/>
      <c r="M2378" s="194"/>
    </row>
    <row r="2379" ht="22.5" customHeight="1">
      <c r="C2379" s="193"/>
      <c r="G2379" s="193"/>
      <c r="H2379" s="194"/>
      <c r="I2379" s="194"/>
      <c r="J2379" s="194"/>
      <c r="L2379" s="194"/>
      <c r="M2379" s="194"/>
    </row>
    <row r="2380" ht="22.5" customHeight="1">
      <c r="C2380" s="193"/>
      <c r="G2380" s="193"/>
      <c r="H2380" s="194"/>
      <c r="I2380" s="194"/>
      <c r="J2380" s="194"/>
      <c r="L2380" s="194"/>
      <c r="M2380" s="194"/>
    </row>
    <row r="2381" ht="22.5" customHeight="1">
      <c r="C2381" s="193"/>
      <c r="G2381" s="193"/>
      <c r="H2381" s="194"/>
      <c r="I2381" s="194"/>
      <c r="J2381" s="194"/>
      <c r="L2381" s="194"/>
      <c r="M2381" s="194"/>
    </row>
    <row r="2382" ht="22.5" customHeight="1">
      <c r="C2382" s="193"/>
      <c r="G2382" s="193"/>
      <c r="H2382" s="194"/>
      <c r="I2382" s="194"/>
      <c r="J2382" s="194"/>
      <c r="L2382" s="194"/>
      <c r="M2382" s="194"/>
    </row>
    <row r="2383" ht="22.5" customHeight="1">
      <c r="C2383" s="193"/>
      <c r="G2383" s="193"/>
      <c r="H2383" s="194"/>
      <c r="I2383" s="194"/>
      <c r="J2383" s="194"/>
      <c r="L2383" s="194"/>
      <c r="M2383" s="194"/>
    </row>
    <row r="2384" ht="22.5" customHeight="1">
      <c r="C2384" s="193"/>
      <c r="G2384" s="193"/>
      <c r="H2384" s="194"/>
      <c r="I2384" s="194"/>
      <c r="J2384" s="194"/>
      <c r="L2384" s="194"/>
      <c r="M2384" s="194"/>
    </row>
    <row r="2385" ht="22.5" customHeight="1">
      <c r="C2385" s="193"/>
      <c r="G2385" s="193"/>
      <c r="H2385" s="194"/>
      <c r="I2385" s="194"/>
      <c r="J2385" s="194"/>
      <c r="L2385" s="194"/>
      <c r="M2385" s="194"/>
    </row>
    <row r="2386" ht="22.5" customHeight="1">
      <c r="C2386" s="193"/>
      <c r="G2386" s="193"/>
      <c r="H2386" s="194"/>
      <c r="I2386" s="194"/>
      <c r="J2386" s="194"/>
      <c r="L2386" s="194"/>
      <c r="M2386" s="194"/>
    </row>
    <row r="2387" ht="22.5" customHeight="1">
      <c r="C2387" s="193"/>
      <c r="G2387" s="193"/>
      <c r="H2387" s="194"/>
      <c r="I2387" s="194"/>
      <c r="J2387" s="194"/>
      <c r="L2387" s="194"/>
      <c r="M2387" s="194"/>
    </row>
    <row r="2388" ht="22.5" customHeight="1">
      <c r="C2388" s="193"/>
      <c r="G2388" s="193"/>
      <c r="H2388" s="194"/>
      <c r="I2388" s="194"/>
      <c r="J2388" s="194"/>
      <c r="L2388" s="194"/>
      <c r="M2388" s="194"/>
    </row>
    <row r="2389" ht="22.5" customHeight="1">
      <c r="C2389" s="193"/>
      <c r="G2389" s="193"/>
      <c r="H2389" s="194"/>
      <c r="I2389" s="194"/>
      <c r="J2389" s="194"/>
      <c r="L2389" s="194"/>
      <c r="M2389" s="194"/>
    </row>
    <row r="2390" ht="22.5" customHeight="1">
      <c r="C2390" s="193"/>
      <c r="G2390" s="193"/>
      <c r="H2390" s="194"/>
      <c r="I2390" s="194"/>
      <c r="J2390" s="194"/>
      <c r="L2390" s="194"/>
      <c r="M2390" s="194"/>
    </row>
    <row r="2391" ht="22.5" customHeight="1">
      <c r="C2391" s="193"/>
      <c r="G2391" s="193"/>
      <c r="H2391" s="194"/>
      <c r="I2391" s="194"/>
      <c r="J2391" s="194"/>
      <c r="L2391" s="194"/>
      <c r="M2391" s="194"/>
    </row>
    <row r="2392" ht="22.5" customHeight="1">
      <c r="C2392" s="193"/>
      <c r="G2392" s="193"/>
      <c r="H2392" s="194"/>
      <c r="I2392" s="194"/>
      <c r="J2392" s="194"/>
      <c r="L2392" s="194"/>
      <c r="M2392" s="194"/>
    </row>
    <row r="2393" ht="22.5" customHeight="1">
      <c r="C2393" s="193"/>
      <c r="G2393" s="193"/>
      <c r="H2393" s="194"/>
      <c r="I2393" s="194"/>
      <c r="J2393" s="194"/>
      <c r="L2393" s="194"/>
      <c r="M2393" s="194"/>
    </row>
    <row r="2394" ht="22.5" customHeight="1">
      <c r="C2394" s="193"/>
      <c r="G2394" s="193"/>
      <c r="H2394" s="194"/>
      <c r="I2394" s="194"/>
      <c r="J2394" s="194"/>
      <c r="L2394" s="194"/>
      <c r="M2394" s="194"/>
    </row>
    <row r="2395" ht="22.5" customHeight="1">
      <c r="C2395" s="193"/>
      <c r="G2395" s="193"/>
      <c r="H2395" s="194"/>
      <c r="I2395" s="194"/>
      <c r="J2395" s="194"/>
      <c r="L2395" s="194"/>
      <c r="M2395" s="194"/>
    </row>
    <row r="2396" ht="22.5" customHeight="1">
      <c r="C2396" s="193"/>
      <c r="G2396" s="193"/>
      <c r="H2396" s="194"/>
      <c r="I2396" s="194"/>
      <c r="J2396" s="194"/>
      <c r="L2396" s="194"/>
      <c r="M2396" s="194"/>
    </row>
    <row r="2397" ht="22.5" customHeight="1">
      <c r="C2397" s="193"/>
      <c r="G2397" s="193"/>
      <c r="H2397" s="194"/>
      <c r="I2397" s="194"/>
      <c r="J2397" s="194"/>
      <c r="L2397" s="194"/>
      <c r="M2397" s="194"/>
    </row>
    <row r="2398" ht="22.5" customHeight="1">
      <c r="C2398" s="193"/>
      <c r="G2398" s="193"/>
      <c r="H2398" s="194"/>
      <c r="I2398" s="194"/>
      <c r="J2398" s="194"/>
      <c r="L2398" s="194"/>
      <c r="M2398" s="194"/>
    </row>
    <row r="2399" ht="22.5" customHeight="1">
      <c r="C2399" s="193"/>
      <c r="G2399" s="193"/>
      <c r="H2399" s="194"/>
      <c r="I2399" s="194"/>
      <c r="J2399" s="194"/>
      <c r="L2399" s="194"/>
      <c r="M2399" s="194"/>
    </row>
    <row r="2400" ht="22.5" customHeight="1">
      <c r="C2400" s="193"/>
      <c r="G2400" s="193"/>
      <c r="H2400" s="194"/>
      <c r="I2400" s="194"/>
      <c r="J2400" s="194"/>
      <c r="L2400" s="194"/>
      <c r="M2400" s="194"/>
    </row>
    <row r="2401" ht="22.5" customHeight="1">
      <c r="C2401" s="193"/>
      <c r="G2401" s="193"/>
      <c r="H2401" s="194"/>
      <c r="I2401" s="194"/>
      <c r="J2401" s="194"/>
      <c r="L2401" s="194"/>
      <c r="M2401" s="194"/>
    </row>
    <row r="2402" ht="22.5" customHeight="1">
      <c r="C2402" s="193"/>
      <c r="G2402" s="193"/>
      <c r="H2402" s="194"/>
      <c r="I2402" s="194"/>
      <c r="J2402" s="194"/>
      <c r="L2402" s="194"/>
      <c r="M2402" s="194"/>
    </row>
    <row r="2403" ht="22.5" customHeight="1">
      <c r="C2403" s="193"/>
      <c r="G2403" s="193"/>
      <c r="H2403" s="194"/>
      <c r="I2403" s="194"/>
      <c r="J2403" s="194"/>
      <c r="L2403" s="194"/>
      <c r="M2403" s="194"/>
    </row>
    <row r="2404" ht="22.5" customHeight="1">
      <c r="C2404" s="193"/>
      <c r="G2404" s="193"/>
      <c r="H2404" s="194"/>
      <c r="I2404" s="194"/>
      <c r="J2404" s="194"/>
      <c r="L2404" s="194"/>
      <c r="M2404" s="194"/>
    </row>
    <row r="2405" ht="22.5" customHeight="1">
      <c r="C2405" s="193"/>
      <c r="G2405" s="193"/>
      <c r="H2405" s="194"/>
      <c r="I2405" s="194"/>
      <c r="J2405" s="194"/>
      <c r="L2405" s="194"/>
      <c r="M2405" s="194"/>
    </row>
    <row r="2406" ht="22.5" customHeight="1">
      <c r="C2406" s="193"/>
      <c r="G2406" s="193"/>
      <c r="H2406" s="194"/>
      <c r="I2406" s="194"/>
      <c r="J2406" s="194"/>
      <c r="L2406" s="194"/>
      <c r="M2406" s="194"/>
    </row>
    <row r="2407" ht="22.5" customHeight="1">
      <c r="C2407" s="193"/>
      <c r="G2407" s="193"/>
      <c r="H2407" s="194"/>
      <c r="I2407" s="194"/>
      <c r="J2407" s="194"/>
      <c r="L2407" s="194"/>
      <c r="M2407" s="194"/>
    </row>
    <row r="2408" ht="22.5" customHeight="1">
      <c r="C2408" s="193"/>
      <c r="G2408" s="193"/>
      <c r="H2408" s="194"/>
      <c r="I2408" s="194"/>
      <c r="J2408" s="194"/>
      <c r="L2408" s="194"/>
      <c r="M2408" s="194"/>
    </row>
    <row r="2409" ht="22.5" customHeight="1">
      <c r="C2409" s="193"/>
      <c r="G2409" s="193"/>
      <c r="H2409" s="194"/>
      <c r="I2409" s="194"/>
      <c r="J2409" s="194"/>
      <c r="L2409" s="194"/>
      <c r="M2409" s="194"/>
    </row>
    <row r="2410" ht="22.5" customHeight="1">
      <c r="C2410" s="193"/>
      <c r="G2410" s="193"/>
      <c r="H2410" s="194"/>
      <c r="I2410" s="194"/>
      <c r="J2410" s="194"/>
      <c r="L2410" s="194"/>
      <c r="M2410" s="194"/>
    </row>
    <row r="2411" ht="22.5" customHeight="1">
      <c r="C2411" s="193"/>
      <c r="G2411" s="193"/>
      <c r="H2411" s="194"/>
      <c r="I2411" s="194"/>
      <c r="J2411" s="194"/>
      <c r="L2411" s="194"/>
      <c r="M2411" s="194"/>
    </row>
    <row r="2412" ht="22.5" customHeight="1">
      <c r="C2412" s="193"/>
      <c r="G2412" s="193"/>
      <c r="H2412" s="194"/>
      <c r="I2412" s="194"/>
      <c r="J2412" s="194"/>
      <c r="L2412" s="194"/>
      <c r="M2412" s="194"/>
    </row>
    <row r="2413" ht="22.5" customHeight="1">
      <c r="C2413" s="193"/>
      <c r="G2413" s="193"/>
      <c r="H2413" s="194"/>
      <c r="I2413" s="194"/>
      <c r="J2413" s="194"/>
      <c r="L2413" s="194"/>
      <c r="M2413" s="194"/>
    </row>
    <row r="2414" ht="22.5" customHeight="1">
      <c r="C2414" s="193"/>
      <c r="G2414" s="193"/>
      <c r="H2414" s="194"/>
      <c r="I2414" s="194"/>
      <c r="J2414" s="194"/>
      <c r="L2414" s="194"/>
      <c r="M2414" s="194"/>
    </row>
    <row r="2415" ht="22.5" customHeight="1">
      <c r="C2415" s="193"/>
      <c r="G2415" s="193"/>
      <c r="H2415" s="194"/>
      <c r="I2415" s="194"/>
      <c r="J2415" s="194"/>
      <c r="L2415" s="194"/>
      <c r="M2415" s="194"/>
    </row>
    <row r="2416" ht="22.5" customHeight="1">
      <c r="C2416" s="193"/>
      <c r="G2416" s="193"/>
      <c r="H2416" s="194"/>
      <c r="I2416" s="194"/>
      <c r="J2416" s="194"/>
      <c r="L2416" s="194"/>
      <c r="M2416" s="194"/>
    </row>
    <row r="2417" ht="22.5" customHeight="1">
      <c r="C2417" s="193"/>
      <c r="G2417" s="193"/>
      <c r="H2417" s="194"/>
      <c r="I2417" s="194"/>
      <c r="J2417" s="194"/>
      <c r="L2417" s="194"/>
      <c r="M2417" s="194"/>
    </row>
    <row r="2418" ht="22.5" customHeight="1">
      <c r="C2418" s="193"/>
      <c r="G2418" s="193"/>
      <c r="H2418" s="194"/>
      <c r="I2418" s="194"/>
      <c r="J2418" s="194"/>
      <c r="L2418" s="194"/>
      <c r="M2418" s="194"/>
    </row>
    <row r="2419" ht="22.5" customHeight="1">
      <c r="C2419" s="193"/>
      <c r="G2419" s="193"/>
      <c r="H2419" s="194"/>
      <c r="I2419" s="194"/>
      <c r="J2419" s="194"/>
      <c r="L2419" s="194"/>
      <c r="M2419" s="194"/>
    </row>
    <row r="2420" ht="22.5" customHeight="1">
      <c r="C2420" s="193"/>
      <c r="G2420" s="193"/>
      <c r="H2420" s="194"/>
      <c r="I2420" s="194"/>
      <c r="J2420" s="194"/>
      <c r="L2420" s="194"/>
      <c r="M2420" s="194"/>
    </row>
    <row r="2421" ht="22.5" customHeight="1">
      <c r="C2421" s="193"/>
      <c r="G2421" s="193"/>
      <c r="H2421" s="194"/>
      <c r="I2421" s="194"/>
      <c r="J2421" s="194"/>
      <c r="L2421" s="194"/>
      <c r="M2421" s="194"/>
    </row>
    <row r="2422" ht="22.5" customHeight="1">
      <c r="C2422" s="193"/>
      <c r="G2422" s="193"/>
      <c r="H2422" s="194"/>
      <c r="I2422" s="194"/>
      <c r="J2422" s="194"/>
      <c r="L2422" s="194"/>
      <c r="M2422" s="194"/>
    </row>
    <row r="2423" ht="22.5" customHeight="1">
      <c r="C2423" s="193"/>
      <c r="G2423" s="193"/>
      <c r="H2423" s="194"/>
      <c r="I2423" s="194"/>
      <c r="J2423" s="194"/>
      <c r="L2423" s="194"/>
      <c r="M2423" s="194"/>
    </row>
    <row r="2424" ht="22.5" customHeight="1">
      <c r="C2424" s="193"/>
      <c r="G2424" s="193"/>
      <c r="H2424" s="194"/>
      <c r="I2424" s="194"/>
      <c r="J2424" s="194"/>
      <c r="L2424" s="194"/>
      <c r="M2424" s="194"/>
    </row>
    <row r="2425" ht="22.5" customHeight="1">
      <c r="C2425" s="193"/>
      <c r="G2425" s="193"/>
      <c r="H2425" s="194"/>
      <c r="I2425" s="194"/>
      <c r="J2425" s="194"/>
      <c r="L2425" s="194"/>
      <c r="M2425" s="194"/>
    </row>
    <row r="2426" ht="22.5" customHeight="1">
      <c r="C2426" s="193"/>
      <c r="G2426" s="193"/>
      <c r="H2426" s="194"/>
      <c r="I2426" s="194"/>
      <c r="J2426" s="194"/>
      <c r="L2426" s="194"/>
      <c r="M2426" s="194"/>
    </row>
    <row r="2427" ht="22.5" customHeight="1">
      <c r="C2427" s="193"/>
      <c r="G2427" s="193"/>
      <c r="H2427" s="194"/>
      <c r="I2427" s="194"/>
      <c r="J2427" s="194"/>
      <c r="L2427" s="194"/>
      <c r="M2427" s="194"/>
    </row>
    <row r="2428" ht="22.5" customHeight="1">
      <c r="C2428" s="193"/>
      <c r="G2428" s="193"/>
      <c r="H2428" s="194"/>
      <c r="I2428" s="194"/>
      <c r="J2428" s="194"/>
      <c r="L2428" s="194"/>
      <c r="M2428" s="194"/>
    </row>
    <row r="2429" ht="22.5" customHeight="1">
      <c r="C2429" s="193"/>
      <c r="G2429" s="193"/>
      <c r="H2429" s="194"/>
      <c r="I2429" s="194"/>
      <c r="J2429" s="194"/>
      <c r="L2429" s="194"/>
      <c r="M2429" s="194"/>
    </row>
    <row r="2430" ht="22.5" customHeight="1">
      <c r="C2430" s="193"/>
      <c r="G2430" s="193"/>
      <c r="H2430" s="194"/>
      <c r="I2430" s="194"/>
      <c r="J2430" s="194"/>
      <c r="L2430" s="194"/>
      <c r="M2430" s="194"/>
    </row>
    <row r="2431" ht="22.5" customHeight="1">
      <c r="C2431" s="193"/>
      <c r="G2431" s="193"/>
      <c r="H2431" s="194"/>
      <c r="I2431" s="194"/>
      <c r="J2431" s="194"/>
      <c r="L2431" s="194"/>
      <c r="M2431" s="194"/>
    </row>
    <row r="2432" ht="22.5" customHeight="1">
      <c r="C2432" s="193"/>
      <c r="G2432" s="193"/>
      <c r="H2432" s="194"/>
      <c r="I2432" s="194"/>
      <c r="J2432" s="194"/>
      <c r="L2432" s="194"/>
      <c r="M2432" s="194"/>
    </row>
    <row r="2433" ht="22.5" customHeight="1">
      <c r="C2433" s="193"/>
      <c r="G2433" s="193"/>
      <c r="H2433" s="194"/>
      <c r="I2433" s="194"/>
      <c r="J2433" s="194"/>
      <c r="L2433" s="194"/>
      <c r="M2433" s="194"/>
    </row>
    <row r="2434" ht="22.5" customHeight="1">
      <c r="C2434" s="193"/>
      <c r="G2434" s="193"/>
      <c r="H2434" s="194"/>
      <c r="I2434" s="194"/>
      <c r="J2434" s="194"/>
      <c r="L2434" s="194"/>
      <c r="M2434" s="194"/>
    </row>
    <row r="2435" ht="22.5" customHeight="1">
      <c r="C2435" s="193"/>
      <c r="G2435" s="193"/>
      <c r="H2435" s="194"/>
      <c r="I2435" s="194"/>
      <c r="J2435" s="194"/>
      <c r="L2435" s="194"/>
      <c r="M2435" s="194"/>
    </row>
    <row r="2436" ht="22.5" customHeight="1">
      <c r="C2436" s="193"/>
      <c r="G2436" s="193"/>
      <c r="H2436" s="194"/>
      <c r="I2436" s="194"/>
      <c r="J2436" s="194"/>
      <c r="L2436" s="194"/>
      <c r="M2436" s="194"/>
    </row>
    <row r="2437" ht="22.5" customHeight="1">
      <c r="C2437" s="193"/>
      <c r="G2437" s="193"/>
      <c r="H2437" s="194"/>
      <c r="I2437" s="194"/>
      <c r="J2437" s="194"/>
      <c r="L2437" s="194"/>
      <c r="M2437" s="194"/>
    </row>
    <row r="2438" ht="22.5" customHeight="1">
      <c r="C2438" s="193"/>
      <c r="G2438" s="193"/>
      <c r="H2438" s="194"/>
      <c r="I2438" s="194"/>
      <c r="J2438" s="194"/>
      <c r="L2438" s="194"/>
      <c r="M2438" s="194"/>
    </row>
    <row r="2439" ht="22.5" customHeight="1">
      <c r="C2439" s="193"/>
      <c r="G2439" s="193"/>
      <c r="H2439" s="194"/>
      <c r="I2439" s="194"/>
      <c r="J2439" s="194"/>
      <c r="L2439" s="194"/>
      <c r="M2439" s="194"/>
    </row>
    <row r="2440" ht="22.5" customHeight="1">
      <c r="C2440" s="193"/>
      <c r="G2440" s="193"/>
      <c r="H2440" s="194"/>
      <c r="I2440" s="194"/>
      <c r="J2440" s="194"/>
      <c r="L2440" s="194"/>
      <c r="M2440" s="194"/>
    </row>
    <row r="2441" ht="22.5" customHeight="1">
      <c r="C2441" s="193"/>
      <c r="G2441" s="193"/>
      <c r="H2441" s="194"/>
      <c r="I2441" s="194"/>
      <c r="J2441" s="194"/>
      <c r="L2441" s="194"/>
      <c r="M2441" s="194"/>
    </row>
    <row r="2442" ht="22.5" customHeight="1">
      <c r="C2442" s="193"/>
      <c r="G2442" s="193"/>
      <c r="H2442" s="194"/>
      <c r="I2442" s="194"/>
      <c r="J2442" s="194"/>
      <c r="L2442" s="194"/>
      <c r="M2442" s="194"/>
    </row>
    <row r="2443" ht="22.5" customHeight="1">
      <c r="C2443" s="193"/>
      <c r="G2443" s="193"/>
      <c r="H2443" s="194"/>
      <c r="I2443" s="194"/>
      <c r="J2443" s="194"/>
      <c r="L2443" s="194"/>
      <c r="M2443" s="194"/>
    </row>
    <row r="2444" ht="22.5" customHeight="1">
      <c r="C2444" s="193"/>
      <c r="G2444" s="193"/>
      <c r="H2444" s="194"/>
      <c r="I2444" s="194"/>
      <c r="J2444" s="194"/>
      <c r="L2444" s="194"/>
      <c r="M2444" s="194"/>
    </row>
    <row r="2445" ht="22.5" customHeight="1">
      <c r="C2445" s="193"/>
      <c r="G2445" s="193"/>
      <c r="H2445" s="194"/>
      <c r="I2445" s="194"/>
      <c r="J2445" s="194"/>
      <c r="L2445" s="194"/>
      <c r="M2445" s="194"/>
    </row>
    <row r="2446" ht="22.5" customHeight="1">
      <c r="C2446" s="193"/>
      <c r="G2446" s="193"/>
      <c r="H2446" s="194"/>
      <c r="I2446" s="194"/>
      <c r="J2446" s="194"/>
      <c r="L2446" s="194"/>
      <c r="M2446" s="194"/>
    </row>
    <row r="2447" ht="22.5" customHeight="1">
      <c r="C2447" s="193"/>
      <c r="G2447" s="193"/>
      <c r="H2447" s="194"/>
      <c r="I2447" s="194"/>
      <c r="J2447" s="194"/>
      <c r="L2447" s="194"/>
      <c r="M2447" s="194"/>
    </row>
    <row r="2448" ht="22.5" customHeight="1">
      <c r="C2448" s="193"/>
      <c r="G2448" s="193"/>
      <c r="H2448" s="194"/>
      <c r="I2448" s="194"/>
      <c r="J2448" s="194"/>
      <c r="L2448" s="194"/>
      <c r="M2448" s="194"/>
    </row>
    <row r="2449" ht="22.5" customHeight="1">
      <c r="C2449" s="193"/>
      <c r="G2449" s="193"/>
      <c r="H2449" s="194"/>
      <c r="I2449" s="194"/>
      <c r="J2449" s="194"/>
      <c r="L2449" s="194"/>
      <c r="M2449" s="194"/>
    </row>
    <row r="2450" ht="22.5" customHeight="1">
      <c r="C2450" s="193"/>
      <c r="G2450" s="193"/>
      <c r="H2450" s="194"/>
      <c r="I2450" s="194"/>
      <c r="J2450" s="194"/>
      <c r="L2450" s="194"/>
      <c r="M2450" s="194"/>
    </row>
    <row r="2451" ht="22.5" customHeight="1">
      <c r="C2451" s="193"/>
      <c r="G2451" s="193"/>
      <c r="H2451" s="194"/>
      <c r="I2451" s="194"/>
      <c r="J2451" s="194"/>
      <c r="L2451" s="194"/>
      <c r="M2451" s="194"/>
    </row>
    <row r="2452" ht="22.5" customHeight="1">
      <c r="C2452" s="193"/>
      <c r="G2452" s="193"/>
      <c r="H2452" s="194"/>
      <c r="I2452" s="194"/>
      <c r="J2452" s="194"/>
      <c r="L2452" s="194"/>
      <c r="M2452" s="194"/>
    </row>
    <row r="2453" ht="22.5" customHeight="1">
      <c r="C2453" s="193"/>
      <c r="G2453" s="193"/>
      <c r="H2453" s="194"/>
      <c r="I2453" s="194"/>
      <c r="J2453" s="194"/>
      <c r="L2453" s="194"/>
      <c r="M2453" s="194"/>
    </row>
    <row r="2454" ht="22.5" customHeight="1">
      <c r="C2454" s="193"/>
      <c r="G2454" s="193"/>
      <c r="H2454" s="194"/>
      <c r="I2454" s="194"/>
      <c r="J2454" s="194"/>
      <c r="L2454" s="194"/>
      <c r="M2454" s="194"/>
    </row>
    <row r="2455" ht="22.5" customHeight="1">
      <c r="C2455" s="193"/>
      <c r="G2455" s="193"/>
      <c r="H2455" s="194"/>
      <c r="I2455" s="194"/>
      <c r="J2455" s="194"/>
      <c r="L2455" s="194"/>
      <c r="M2455" s="194"/>
    </row>
    <row r="2456" ht="22.5" customHeight="1">
      <c r="C2456" s="193"/>
      <c r="G2456" s="193"/>
      <c r="H2456" s="194"/>
      <c r="I2456" s="194"/>
      <c r="J2456" s="194"/>
      <c r="L2456" s="194"/>
      <c r="M2456" s="194"/>
    </row>
    <row r="2457" ht="22.5" customHeight="1">
      <c r="C2457" s="193"/>
      <c r="G2457" s="193"/>
      <c r="H2457" s="194"/>
      <c r="I2457" s="194"/>
      <c r="J2457" s="194"/>
      <c r="L2457" s="194"/>
      <c r="M2457" s="194"/>
    </row>
    <row r="2458" ht="22.5" customHeight="1">
      <c r="C2458" s="193"/>
      <c r="G2458" s="193"/>
      <c r="H2458" s="194"/>
      <c r="I2458" s="194"/>
      <c r="J2458" s="194"/>
      <c r="L2458" s="194"/>
      <c r="M2458" s="194"/>
    </row>
    <row r="2459" ht="22.5" customHeight="1">
      <c r="C2459" s="193"/>
      <c r="G2459" s="193"/>
      <c r="H2459" s="194"/>
      <c r="I2459" s="194"/>
      <c r="J2459" s="194"/>
      <c r="L2459" s="194"/>
      <c r="M2459" s="194"/>
    </row>
    <row r="2460" ht="22.5" customHeight="1">
      <c r="C2460" s="193"/>
      <c r="G2460" s="193"/>
      <c r="H2460" s="194"/>
      <c r="I2460" s="194"/>
      <c r="J2460" s="194"/>
      <c r="L2460" s="194"/>
      <c r="M2460" s="194"/>
    </row>
    <row r="2461" ht="22.5" customHeight="1">
      <c r="C2461" s="193"/>
      <c r="G2461" s="193"/>
      <c r="H2461" s="194"/>
      <c r="I2461" s="194"/>
      <c r="J2461" s="194"/>
      <c r="L2461" s="194"/>
      <c r="M2461" s="194"/>
    </row>
    <row r="2462" ht="22.5" customHeight="1">
      <c r="C2462" s="193"/>
      <c r="G2462" s="193"/>
      <c r="H2462" s="194"/>
      <c r="I2462" s="194"/>
      <c r="J2462" s="194"/>
      <c r="L2462" s="194"/>
      <c r="M2462" s="194"/>
    </row>
    <row r="2463" ht="22.5" customHeight="1">
      <c r="C2463" s="193"/>
      <c r="G2463" s="193"/>
      <c r="H2463" s="194"/>
      <c r="I2463" s="194"/>
      <c r="J2463" s="194"/>
      <c r="L2463" s="194"/>
      <c r="M2463" s="194"/>
    </row>
    <row r="2464" ht="22.5" customHeight="1">
      <c r="C2464" s="193"/>
      <c r="G2464" s="193"/>
      <c r="H2464" s="194"/>
      <c r="I2464" s="194"/>
      <c r="J2464" s="194"/>
      <c r="L2464" s="194"/>
      <c r="M2464" s="194"/>
    </row>
    <row r="2465" ht="22.5" customHeight="1">
      <c r="C2465" s="193"/>
      <c r="G2465" s="193"/>
      <c r="H2465" s="194"/>
      <c r="I2465" s="194"/>
      <c r="J2465" s="194"/>
      <c r="L2465" s="194"/>
      <c r="M2465" s="194"/>
    </row>
    <row r="2466" ht="22.5" customHeight="1">
      <c r="C2466" s="193"/>
      <c r="G2466" s="193"/>
      <c r="H2466" s="194"/>
      <c r="I2466" s="194"/>
      <c r="J2466" s="194"/>
      <c r="L2466" s="194"/>
      <c r="M2466" s="194"/>
    </row>
    <row r="2467" ht="22.5" customHeight="1">
      <c r="C2467" s="193"/>
      <c r="G2467" s="193"/>
      <c r="H2467" s="194"/>
      <c r="I2467" s="194"/>
      <c r="J2467" s="194"/>
      <c r="L2467" s="194"/>
      <c r="M2467" s="194"/>
    </row>
    <row r="2468" ht="22.5" customHeight="1">
      <c r="C2468" s="193"/>
      <c r="G2468" s="193"/>
      <c r="H2468" s="194"/>
      <c r="I2468" s="194"/>
      <c r="J2468" s="194"/>
      <c r="L2468" s="194"/>
      <c r="M2468" s="194"/>
    </row>
    <row r="2469" ht="22.5" customHeight="1">
      <c r="C2469" s="193"/>
      <c r="G2469" s="193"/>
      <c r="H2469" s="194"/>
      <c r="I2469" s="194"/>
      <c r="J2469" s="194"/>
      <c r="L2469" s="194"/>
      <c r="M2469" s="194"/>
    </row>
    <row r="2470" ht="22.5" customHeight="1">
      <c r="C2470" s="193"/>
      <c r="G2470" s="193"/>
      <c r="H2470" s="194"/>
      <c r="I2470" s="194"/>
      <c r="J2470" s="194"/>
      <c r="L2470" s="194"/>
      <c r="M2470" s="194"/>
    </row>
    <row r="2471" ht="22.5" customHeight="1">
      <c r="C2471" s="193"/>
      <c r="G2471" s="193"/>
      <c r="H2471" s="194"/>
      <c r="I2471" s="194"/>
      <c r="J2471" s="194"/>
      <c r="L2471" s="194"/>
      <c r="M2471" s="194"/>
    </row>
    <row r="2472" ht="22.5" customHeight="1">
      <c r="C2472" s="193"/>
      <c r="G2472" s="193"/>
      <c r="H2472" s="194"/>
      <c r="I2472" s="194"/>
      <c r="J2472" s="194"/>
      <c r="L2472" s="194"/>
      <c r="M2472" s="194"/>
    </row>
    <row r="2473" ht="22.5" customHeight="1">
      <c r="C2473" s="193"/>
      <c r="G2473" s="193"/>
      <c r="H2473" s="194"/>
      <c r="I2473" s="194"/>
      <c r="J2473" s="194"/>
      <c r="L2473" s="194"/>
      <c r="M2473" s="194"/>
    </row>
    <row r="2474" ht="22.5" customHeight="1">
      <c r="C2474" s="193"/>
      <c r="G2474" s="193"/>
      <c r="H2474" s="194"/>
      <c r="I2474" s="194"/>
      <c r="J2474" s="194"/>
      <c r="L2474" s="194"/>
      <c r="M2474" s="194"/>
    </row>
    <row r="2475" ht="22.5" customHeight="1">
      <c r="C2475" s="193"/>
      <c r="G2475" s="193"/>
      <c r="H2475" s="194"/>
      <c r="I2475" s="194"/>
      <c r="J2475" s="194"/>
      <c r="L2475" s="194"/>
      <c r="M2475" s="194"/>
    </row>
    <row r="2476" ht="22.5" customHeight="1">
      <c r="C2476" s="193"/>
      <c r="G2476" s="193"/>
      <c r="H2476" s="194"/>
      <c r="I2476" s="194"/>
      <c r="J2476" s="194"/>
      <c r="L2476" s="194"/>
      <c r="M2476" s="194"/>
    </row>
    <row r="2477" ht="22.5" customHeight="1">
      <c r="C2477" s="193"/>
      <c r="G2477" s="193"/>
      <c r="H2477" s="194"/>
      <c r="I2477" s="194"/>
      <c r="J2477" s="194"/>
      <c r="L2477" s="194"/>
      <c r="M2477" s="194"/>
    </row>
    <row r="2478" ht="22.5" customHeight="1">
      <c r="C2478" s="193"/>
      <c r="G2478" s="193"/>
      <c r="H2478" s="194"/>
      <c r="I2478" s="194"/>
      <c r="J2478" s="194"/>
      <c r="L2478" s="194"/>
      <c r="M2478" s="194"/>
    </row>
    <row r="2479" ht="22.5" customHeight="1">
      <c r="C2479" s="193"/>
      <c r="G2479" s="193"/>
      <c r="H2479" s="194"/>
      <c r="I2479" s="194"/>
      <c r="J2479" s="194"/>
      <c r="L2479" s="194"/>
      <c r="M2479" s="194"/>
    </row>
    <row r="2480" ht="22.5" customHeight="1">
      <c r="C2480" s="193"/>
      <c r="G2480" s="193"/>
      <c r="H2480" s="194"/>
      <c r="I2480" s="194"/>
      <c r="J2480" s="194"/>
      <c r="L2480" s="194"/>
      <c r="M2480" s="194"/>
    </row>
    <row r="2481" ht="22.5" customHeight="1">
      <c r="C2481" s="193"/>
      <c r="G2481" s="193"/>
      <c r="H2481" s="194"/>
      <c r="I2481" s="194"/>
      <c r="J2481" s="194"/>
      <c r="L2481" s="194"/>
      <c r="M2481" s="194"/>
    </row>
    <row r="2482" ht="22.5" customHeight="1">
      <c r="C2482" s="193"/>
      <c r="G2482" s="193"/>
      <c r="H2482" s="194"/>
      <c r="I2482" s="194"/>
      <c r="J2482" s="194"/>
      <c r="L2482" s="194"/>
      <c r="M2482" s="194"/>
    </row>
    <row r="2483" ht="22.5" customHeight="1">
      <c r="C2483" s="193"/>
      <c r="G2483" s="193"/>
      <c r="H2483" s="194"/>
      <c r="I2483" s="194"/>
      <c r="J2483" s="194"/>
      <c r="L2483" s="194"/>
      <c r="M2483" s="194"/>
    </row>
    <row r="2484" ht="22.5" customHeight="1">
      <c r="C2484" s="193"/>
      <c r="G2484" s="193"/>
      <c r="H2484" s="194"/>
      <c r="I2484" s="194"/>
      <c r="J2484" s="194"/>
      <c r="L2484" s="194"/>
      <c r="M2484" s="194"/>
    </row>
    <row r="2485" ht="22.5" customHeight="1">
      <c r="C2485" s="193"/>
      <c r="G2485" s="193"/>
      <c r="H2485" s="194"/>
      <c r="I2485" s="194"/>
      <c r="J2485" s="194"/>
      <c r="L2485" s="194"/>
      <c r="M2485" s="194"/>
    </row>
    <row r="2486" ht="22.5" customHeight="1">
      <c r="C2486" s="193"/>
      <c r="G2486" s="193"/>
      <c r="H2486" s="194"/>
      <c r="I2486" s="194"/>
      <c r="J2486" s="194"/>
      <c r="L2486" s="194"/>
      <c r="M2486" s="194"/>
    </row>
    <row r="2487" ht="22.5" customHeight="1">
      <c r="C2487" s="193"/>
      <c r="G2487" s="193"/>
      <c r="H2487" s="194"/>
      <c r="I2487" s="194"/>
      <c r="J2487" s="194"/>
      <c r="L2487" s="194"/>
      <c r="M2487" s="194"/>
    </row>
    <row r="2488" ht="22.5" customHeight="1">
      <c r="C2488" s="193"/>
      <c r="G2488" s="193"/>
      <c r="H2488" s="194"/>
      <c r="I2488" s="194"/>
      <c r="J2488" s="194"/>
      <c r="L2488" s="194"/>
      <c r="M2488" s="194"/>
    </row>
    <row r="2489" ht="22.5" customHeight="1">
      <c r="C2489" s="193"/>
      <c r="G2489" s="193"/>
      <c r="H2489" s="194"/>
      <c r="I2489" s="194"/>
      <c r="J2489" s="194"/>
      <c r="L2489" s="194"/>
      <c r="M2489" s="194"/>
    </row>
    <row r="2490" ht="22.5" customHeight="1">
      <c r="C2490" s="193"/>
      <c r="G2490" s="193"/>
      <c r="H2490" s="194"/>
      <c r="I2490" s="194"/>
      <c r="J2490" s="194"/>
      <c r="L2490" s="194"/>
      <c r="M2490" s="194"/>
    </row>
    <row r="2491" ht="22.5" customHeight="1">
      <c r="C2491" s="193"/>
      <c r="G2491" s="193"/>
      <c r="H2491" s="194"/>
      <c r="I2491" s="194"/>
      <c r="J2491" s="194"/>
      <c r="L2491" s="194"/>
      <c r="M2491" s="194"/>
    </row>
    <row r="2492" ht="22.5" customHeight="1">
      <c r="C2492" s="193"/>
      <c r="G2492" s="193"/>
      <c r="H2492" s="194"/>
      <c r="I2492" s="194"/>
      <c r="J2492" s="194"/>
      <c r="L2492" s="194"/>
      <c r="M2492" s="194"/>
    </row>
    <row r="2493" ht="22.5" customHeight="1">
      <c r="C2493" s="193"/>
      <c r="G2493" s="193"/>
      <c r="H2493" s="194"/>
      <c r="I2493" s="194"/>
      <c r="J2493" s="194"/>
      <c r="L2493" s="194"/>
      <c r="M2493" s="194"/>
    </row>
    <row r="2494" ht="22.5" customHeight="1">
      <c r="C2494" s="193"/>
      <c r="G2494" s="193"/>
      <c r="H2494" s="194"/>
      <c r="I2494" s="194"/>
      <c r="J2494" s="194"/>
      <c r="L2494" s="194"/>
      <c r="M2494" s="194"/>
    </row>
    <row r="2495" ht="22.5" customHeight="1">
      <c r="C2495" s="193"/>
      <c r="G2495" s="193"/>
      <c r="H2495" s="194"/>
      <c r="I2495" s="194"/>
      <c r="J2495" s="194"/>
      <c r="L2495" s="194"/>
      <c r="M2495" s="194"/>
    </row>
    <row r="2496" ht="22.5" customHeight="1">
      <c r="C2496" s="193"/>
      <c r="G2496" s="193"/>
      <c r="H2496" s="194"/>
      <c r="I2496" s="194"/>
      <c r="J2496" s="194"/>
      <c r="L2496" s="194"/>
      <c r="M2496" s="194"/>
    </row>
    <row r="2497" ht="22.5" customHeight="1">
      <c r="C2497" s="193"/>
      <c r="G2497" s="193"/>
      <c r="H2497" s="194"/>
      <c r="I2497" s="194"/>
      <c r="J2497" s="194"/>
      <c r="L2497" s="194"/>
      <c r="M2497" s="194"/>
    </row>
    <row r="2498" ht="22.5" customHeight="1">
      <c r="C2498" s="193"/>
      <c r="G2498" s="193"/>
      <c r="H2498" s="194"/>
      <c r="I2498" s="194"/>
      <c r="J2498" s="194"/>
      <c r="L2498" s="194"/>
      <c r="M2498" s="194"/>
    </row>
    <row r="2499" ht="22.5" customHeight="1">
      <c r="C2499" s="193"/>
      <c r="G2499" s="193"/>
      <c r="H2499" s="194"/>
      <c r="I2499" s="194"/>
      <c r="J2499" s="194"/>
      <c r="L2499" s="194"/>
      <c r="M2499" s="194"/>
    </row>
    <row r="2500" ht="22.5" customHeight="1">
      <c r="C2500" s="193"/>
      <c r="G2500" s="193"/>
      <c r="H2500" s="194"/>
      <c r="I2500" s="194"/>
      <c r="J2500" s="194"/>
      <c r="L2500" s="194"/>
      <c r="M2500" s="194"/>
    </row>
    <row r="2501" ht="22.5" customHeight="1">
      <c r="C2501" s="193"/>
      <c r="G2501" s="193"/>
      <c r="H2501" s="194"/>
      <c r="I2501" s="194"/>
      <c r="J2501" s="194"/>
      <c r="L2501" s="194"/>
      <c r="M2501" s="194"/>
    </row>
    <row r="2502" ht="22.5" customHeight="1">
      <c r="C2502" s="193"/>
      <c r="G2502" s="193"/>
      <c r="H2502" s="194"/>
      <c r="I2502" s="194"/>
      <c r="J2502" s="194"/>
      <c r="L2502" s="194"/>
      <c r="M2502" s="194"/>
    </row>
    <row r="2503" ht="22.5" customHeight="1">
      <c r="C2503" s="193"/>
      <c r="G2503" s="193"/>
      <c r="H2503" s="194"/>
      <c r="I2503" s="194"/>
      <c r="J2503" s="194"/>
      <c r="L2503" s="194"/>
      <c r="M2503" s="194"/>
    </row>
    <row r="2504" ht="22.5" customHeight="1">
      <c r="C2504" s="193"/>
      <c r="G2504" s="193"/>
      <c r="H2504" s="194"/>
      <c r="I2504" s="194"/>
      <c r="J2504" s="194"/>
      <c r="L2504" s="194"/>
      <c r="M2504" s="194"/>
    </row>
    <row r="2505" ht="22.5" customHeight="1">
      <c r="C2505" s="193"/>
      <c r="G2505" s="193"/>
      <c r="H2505" s="194"/>
      <c r="I2505" s="194"/>
      <c r="J2505" s="194"/>
      <c r="L2505" s="194"/>
      <c r="M2505" s="194"/>
    </row>
    <row r="2506" ht="22.5" customHeight="1">
      <c r="C2506" s="193"/>
      <c r="G2506" s="193"/>
      <c r="H2506" s="194"/>
      <c r="I2506" s="194"/>
      <c r="J2506" s="194"/>
      <c r="L2506" s="194"/>
      <c r="M2506" s="194"/>
    </row>
    <row r="2507" ht="22.5" customHeight="1">
      <c r="C2507" s="193"/>
      <c r="G2507" s="193"/>
      <c r="H2507" s="194"/>
      <c r="I2507" s="194"/>
      <c r="J2507" s="194"/>
      <c r="L2507" s="194"/>
      <c r="M2507" s="194"/>
    </row>
    <row r="2508" ht="22.5" customHeight="1">
      <c r="C2508" s="193"/>
      <c r="G2508" s="193"/>
      <c r="H2508" s="194"/>
      <c r="I2508" s="194"/>
      <c r="J2508" s="194"/>
      <c r="L2508" s="194"/>
      <c r="M2508" s="194"/>
    </row>
    <row r="2509" ht="22.5" customHeight="1">
      <c r="C2509" s="193"/>
      <c r="G2509" s="193"/>
      <c r="H2509" s="194"/>
      <c r="I2509" s="194"/>
      <c r="J2509" s="194"/>
      <c r="L2509" s="194"/>
      <c r="M2509" s="194"/>
    </row>
    <row r="2510" ht="22.5" customHeight="1">
      <c r="C2510" s="193"/>
      <c r="G2510" s="193"/>
      <c r="H2510" s="194"/>
      <c r="I2510" s="194"/>
      <c r="J2510" s="194"/>
      <c r="L2510" s="194"/>
      <c r="M2510" s="194"/>
    </row>
    <row r="2511" ht="22.5" customHeight="1">
      <c r="C2511" s="193"/>
      <c r="G2511" s="193"/>
      <c r="H2511" s="194"/>
      <c r="I2511" s="194"/>
      <c r="J2511" s="194"/>
      <c r="L2511" s="194"/>
      <c r="M2511" s="194"/>
    </row>
    <row r="2512" ht="22.5" customHeight="1">
      <c r="C2512" s="193"/>
      <c r="G2512" s="193"/>
      <c r="H2512" s="194"/>
      <c r="I2512" s="194"/>
      <c r="J2512" s="194"/>
      <c r="L2512" s="194"/>
      <c r="M2512" s="194"/>
    </row>
    <row r="2513" ht="22.5" customHeight="1">
      <c r="C2513" s="193"/>
      <c r="G2513" s="193"/>
      <c r="H2513" s="194"/>
      <c r="I2513" s="194"/>
      <c r="J2513" s="194"/>
      <c r="L2513" s="194"/>
      <c r="M2513" s="194"/>
    </row>
    <row r="2514" ht="22.5" customHeight="1">
      <c r="C2514" s="193"/>
      <c r="G2514" s="193"/>
      <c r="H2514" s="194"/>
      <c r="I2514" s="194"/>
      <c r="J2514" s="194"/>
      <c r="L2514" s="194"/>
      <c r="M2514" s="194"/>
    </row>
    <row r="2515" ht="22.5" customHeight="1">
      <c r="C2515" s="193"/>
      <c r="G2515" s="193"/>
      <c r="H2515" s="194"/>
      <c r="I2515" s="194"/>
      <c r="J2515" s="194"/>
      <c r="L2515" s="194"/>
      <c r="M2515" s="194"/>
    </row>
    <row r="2516" ht="22.5" customHeight="1">
      <c r="C2516" s="193"/>
      <c r="G2516" s="193"/>
      <c r="H2516" s="194"/>
      <c r="I2516" s="194"/>
      <c r="J2516" s="194"/>
      <c r="L2516" s="194"/>
      <c r="M2516" s="194"/>
    </row>
    <row r="2517" ht="22.5" customHeight="1">
      <c r="C2517" s="193"/>
      <c r="G2517" s="193"/>
      <c r="H2517" s="194"/>
      <c r="I2517" s="194"/>
      <c r="J2517" s="194"/>
      <c r="L2517" s="194"/>
      <c r="M2517" s="194"/>
    </row>
    <row r="2518" ht="22.5" customHeight="1">
      <c r="C2518" s="193"/>
      <c r="G2518" s="193"/>
      <c r="H2518" s="194"/>
      <c r="I2518" s="194"/>
      <c r="J2518" s="194"/>
      <c r="L2518" s="194"/>
      <c r="M2518" s="194"/>
    </row>
    <row r="2519" ht="22.5" customHeight="1">
      <c r="C2519" s="193"/>
      <c r="G2519" s="193"/>
      <c r="H2519" s="194"/>
      <c r="I2519" s="194"/>
      <c r="J2519" s="194"/>
      <c r="L2519" s="194"/>
      <c r="M2519" s="194"/>
    </row>
    <row r="2520" ht="22.5" customHeight="1">
      <c r="C2520" s="193"/>
      <c r="G2520" s="193"/>
      <c r="H2520" s="194"/>
      <c r="I2520" s="194"/>
      <c r="J2520" s="194"/>
      <c r="L2520" s="194"/>
      <c r="M2520" s="194"/>
    </row>
    <row r="2521" ht="22.5" customHeight="1">
      <c r="C2521" s="193"/>
      <c r="G2521" s="193"/>
      <c r="H2521" s="194"/>
      <c r="I2521" s="194"/>
      <c r="J2521" s="194"/>
      <c r="L2521" s="194"/>
      <c r="M2521" s="194"/>
    </row>
    <row r="2522" ht="22.5" customHeight="1">
      <c r="C2522" s="193"/>
      <c r="G2522" s="193"/>
      <c r="H2522" s="194"/>
      <c r="I2522" s="194"/>
      <c r="J2522" s="194"/>
      <c r="L2522" s="194"/>
      <c r="M2522" s="194"/>
    </row>
    <row r="2523" ht="22.5" customHeight="1">
      <c r="C2523" s="193"/>
      <c r="G2523" s="193"/>
      <c r="H2523" s="194"/>
      <c r="I2523" s="194"/>
      <c r="J2523" s="194"/>
      <c r="L2523" s="194"/>
      <c r="M2523" s="194"/>
    </row>
    <row r="2524" ht="22.5" customHeight="1">
      <c r="C2524" s="193"/>
      <c r="G2524" s="193"/>
      <c r="H2524" s="194"/>
      <c r="I2524" s="194"/>
      <c r="J2524" s="194"/>
      <c r="L2524" s="194"/>
      <c r="M2524" s="194"/>
    </row>
    <row r="2525" ht="22.5" customHeight="1">
      <c r="C2525" s="193"/>
      <c r="G2525" s="193"/>
      <c r="H2525" s="194"/>
      <c r="I2525" s="194"/>
      <c r="J2525" s="194"/>
      <c r="L2525" s="194"/>
      <c r="M2525" s="194"/>
    </row>
    <row r="2526" ht="22.5" customHeight="1">
      <c r="C2526" s="193"/>
      <c r="G2526" s="193"/>
      <c r="H2526" s="194"/>
      <c r="I2526" s="194"/>
      <c r="J2526" s="194"/>
      <c r="L2526" s="194"/>
      <c r="M2526" s="194"/>
    </row>
    <row r="2527" ht="22.5" customHeight="1">
      <c r="C2527" s="193"/>
      <c r="G2527" s="193"/>
      <c r="H2527" s="194"/>
      <c r="I2527" s="194"/>
      <c r="J2527" s="194"/>
      <c r="L2527" s="194"/>
      <c r="M2527" s="194"/>
    </row>
    <row r="2528" ht="22.5" customHeight="1">
      <c r="C2528" s="193"/>
      <c r="G2528" s="193"/>
      <c r="H2528" s="194"/>
      <c r="I2528" s="194"/>
      <c r="J2528" s="194"/>
      <c r="L2528" s="194"/>
      <c r="M2528" s="194"/>
    </row>
    <row r="2529" ht="22.5" customHeight="1">
      <c r="C2529" s="193"/>
      <c r="G2529" s="193"/>
      <c r="H2529" s="194"/>
      <c r="I2529" s="194"/>
      <c r="J2529" s="194"/>
      <c r="L2529" s="194"/>
      <c r="M2529" s="194"/>
    </row>
    <row r="2530" ht="22.5" customHeight="1">
      <c r="C2530" s="193"/>
      <c r="G2530" s="193"/>
      <c r="H2530" s="194"/>
      <c r="I2530" s="194"/>
      <c r="J2530" s="194"/>
      <c r="L2530" s="194"/>
      <c r="M2530" s="194"/>
    </row>
    <row r="2531" ht="22.5" customHeight="1">
      <c r="C2531" s="193"/>
      <c r="G2531" s="193"/>
      <c r="H2531" s="194"/>
      <c r="I2531" s="194"/>
      <c r="J2531" s="194"/>
      <c r="L2531" s="194"/>
      <c r="M2531" s="194"/>
    </row>
    <row r="2532" ht="22.5" customHeight="1">
      <c r="C2532" s="193"/>
      <c r="G2532" s="193"/>
      <c r="H2532" s="194"/>
      <c r="I2532" s="194"/>
      <c r="J2532" s="194"/>
      <c r="L2532" s="194"/>
      <c r="M2532" s="194"/>
    </row>
    <row r="2533" ht="22.5" customHeight="1">
      <c r="C2533" s="193"/>
      <c r="G2533" s="193"/>
      <c r="H2533" s="194"/>
      <c r="I2533" s="194"/>
      <c r="J2533" s="194"/>
      <c r="L2533" s="194"/>
      <c r="M2533" s="194"/>
    </row>
    <row r="2534" ht="22.5" customHeight="1">
      <c r="C2534" s="193"/>
      <c r="G2534" s="193"/>
      <c r="H2534" s="194"/>
      <c r="I2534" s="194"/>
      <c r="J2534" s="194"/>
      <c r="L2534" s="194"/>
      <c r="M2534" s="194"/>
    </row>
    <row r="2535" ht="22.5" customHeight="1">
      <c r="C2535" s="193"/>
      <c r="G2535" s="193"/>
      <c r="H2535" s="194"/>
      <c r="I2535" s="194"/>
      <c r="J2535" s="194"/>
      <c r="L2535" s="194"/>
      <c r="M2535" s="194"/>
    </row>
    <row r="2536" ht="22.5" customHeight="1">
      <c r="C2536" s="193"/>
      <c r="G2536" s="193"/>
      <c r="H2536" s="194"/>
      <c r="I2536" s="194"/>
      <c r="J2536" s="194"/>
      <c r="L2536" s="194"/>
      <c r="M2536" s="194"/>
    </row>
    <row r="2537" ht="22.5" customHeight="1">
      <c r="C2537" s="193"/>
      <c r="G2537" s="193"/>
      <c r="H2537" s="194"/>
      <c r="I2537" s="194"/>
      <c r="J2537" s="194"/>
      <c r="L2537" s="194"/>
      <c r="M2537" s="194"/>
    </row>
    <row r="2538" ht="22.5" customHeight="1">
      <c r="C2538" s="193"/>
      <c r="G2538" s="193"/>
      <c r="H2538" s="194"/>
      <c r="I2538" s="194"/>
      <c r="J2538" s="194"/>
      <c r="L2538" s="194"/>
      <c r="M2538" s="194"/>
    </row>
    <row r="2539" ht="22.5" customHeight="1">
      <c r="C2539" s="193"/>
      <c r="G2539" s="193"/>
      <c r="H2539" s="194"/>
      <c r="I2539" s="194"/>
      <c r="J2539" s="194"/>
      <c r="L2539" s="194"/>
      <c r="M2539" s="194"/>
    </row>
    <row r="2540" ht="22.5" customHeight="1">
      <c r="C2540" s="193"/>
      <c r="G2540" s="193"/>
      <c r="H2540" s="194"/>
      <c r="I2540" s="194"/>
      <c r="J2540" s="194"/>
      <c r="L2540" s="194"/>
      <c r="M2540" s="194"/>
    </row>
    <row r="2541" ht="22.5" customHeight="1">
      <c r="C2541" s="193"/>
      <c r="G2541" s="193"/>
      <c r="H2541" s="194"/>
      <c r="I2541" s="194"/>
      <c r="J2541" s="194"/>
      <c r="L2541" s="194"/>
      <c r="M2541" s="194"/>
    </row>
    <row r="2542" ht="22.5" customHeight="1">
      <c r="C2542" s="193"/>
      <c r="G2542" s="193"/>
      <c r="H2542" s="194"/>
      <c r="I2542" s="194"/>
      <c r="J2542" s="194"/>
      <c r="L2542" s="194"/>
      <c r="M2542" s="194"/>
    </row>
    <row r="2543" ht="22.5" customHeight="1">
      <c r="C2543" s="193"/>
      <c r="G2543" s="193"/>
      <c r="H2543" s="194"/>
      <c r="I2543" s="194"/>
      <c r="J2543" s="194"/>
      <c r="L2543" s="194"/>
      <c r="M2543" s="194"/>
    </row>
    <row r="2544" ht="22.5" customHeight="1">
      <c r="C2544" s="193"/>
      <c r="G2544" s="193"/>
      <c r="H2544" s="194"/>
      <c r="I2544" s="194"/>
      <c r="J2544" s="194"/>
      <c r="L2544" s="194"/>
      <c r="M2544" s="194"/>
    </row>
    <row r="2545" ht="22.5" customHeight="1">
      <c r="C2545" s="193"/>
      <c r="G2545" s="193"/>
      <c r="H2545" s="194"/>
      <c r="I2545" s="194"/>
      <c r="J2545" s="194"/>
      <c r="L2545" s="194"/>
      <c r="M2545" s="194"/>
    </row>
    <row r="2546" ht="22.5" customHeight="1">
      <c r="C2546" s="193"/>
      <c r="G2546" s="193"/>
      <c r="H2546" s="194"/>
      <c r="I2546" s="194"/>
      <c r="J2546" s="194"/>
      <c r="L2546" s="194"/>
      <c r="M2546" s="194"/>
    </row>
    <row r="2547" ht="22.5" customHeight="1">
      <c r="C2547" s="193"/>
      <c r="G2547" s="193"/>
      <c r="H2547" s="194"/>
      <c r="I2547" s="194"/>
      <c r="J2547" s="194"/>
      <c r="L2547" s="194"/>
      <c r="M2547" s="194"/>
    </row>
    <row r="2548" ht="22.5" customHeight="1">
      <c r="C2548" s="193"/>
      <c r="G2548" s="193"/>
      <c r="H2548" s="194"/>
      <c r="I2548" s="194"/>
      <c r="J2548" s="194"/>
      <c r="L2548" s="194"/>
      <c r="M2548" s="194"/>
    </row>
    <row r="2549" ht="22.5" customHeight="1">
      <c r="C2549" s="193"/>
      <c r="G2549" s="193"/>
      <c r="H2549" s="194"/>
      <c r="I2549" s="194"/>
      <c r="J2549" s="194"/>
      <c r="L2549" s="194"/>
      <c r="M2549" s="194"/>
    </row>
    <row r="2550" ht="22.5" customHeight="1">
      <c r="C2550" s="193"/>
      <c r="G2550" s="193"/>
      <c r="H2550" s="194"/>
      <c r="I2550" s="194"/>
      <c r="J2550" s="194"/>
      <c r="L2550" s="194"/>
      <c r="M2550" s="194"/>
    </row>
    <row r="2551" ht="22.5" customHeight="1">
      <c r="C2551" s="193"/>
      <c r="G2551" s="193"/>
      <c r="H2551" s="194"/>
      <c r="I2551" s="194"/>
      <c r="J2551" s="194"/>
      <c r="L2551" s="194"/>
      <c r="M2551" s="194"/>
    </row>
    <row r="2552" ht="22.5" customHeight="1">
      <c r="C2552" s="193"/>
      <c r="G2552" s="193"/>
      <c r="H2552" s="194"/>
      <c r="I2552" s="194"/>
      <c r="J2552" s="194"/>
      <c r="L2552" s="194"/>
      <c r="M2552" s="194"/>
    </row>
    <row r="2553" ht="22.5" customHeight="1">
      <c r="C2553" s="193"/>
      <c r="G2553" s="193"/>
      <c r="H2553" s="194"/>
      <c r="I2553" s="194"/>
      <c r="J2553" s="194"/>
      <c r="L2553" s="194"/>
      <c r="M2553" s="194"/>
    </row>
    <row r="2554" ht="22.5" customHeight="1">
      <c r="C2554" s="193"/>
      <c r="G2554" s="193"/>
      <c r="H2554" s="194"/>
      <c r="I2554" s="194"/>
      <c r="J2554" s="194"/>
      <c r="L2554" s="194"/>
      <c r="M2554" s="194"/>
    </row>
    <row r="2555" ht="22.5" customHeight="1">
      <c r="C2555" s="193"/>
      <c r="G2555" s="193"/>
      <c r="H2555" s="194"/>
      <c r="I2555" s="194"/>
      <c r="J2555" s="194"/>
      <c r="L2555" s="194"/>
      <c r="M2555" s="194"/>
    </row>
    <row r="2556" ht="22.5" customHeight="1">
      <c r="C2556" s="193"/>
      <c r="G2556" s="193"/>
      <c r="H2556" s="194"/>
      <c r="I2556" s="194"/>
      <c r="J2556" s="194"/>
      <c r="L2556" s="194"/>
      <c r="M2556" s="194"/>
    </row>
    <row r="2557" ht="22.5" customHeight="1">
      <c r="C2557" s="193"/>
      <c r="G2557" s="193"/>
      <c r="H2557" s="194"/>
      <c r="I2557" s="194"/>
      <c r="J2557" s="194"/>
      <c r="L2557" s="194"/>
      <c r="M2557" s="194"/>
    </row>
    <row r="2558" ht="22.5" customHeight="1">
      <c r="C2558" s="193"/>
      <c r="G2558" s="193"/>
      <c r="H2558" s="194"/>
      <c r="I2558" s="194"/>
      <c r="J2558" s="194"/>
      <c r="L2558" s="194"/>
      <c r="M2558" s="194"/>
    </row>
    <row r="2559" ht="22.5" customHeight="1">
      <c r="C2559" s="193"/>
      <c r="G2559" s="193"/>
      <c r="H2559" s="194"/>
      <c r="I2559" s="194"/>
      <c r="J2559" s="194"/>
      <c r="L2559" s="194"/>
      <c r="M2559" s="194"/>
    </row>
    <row r="2560" ht="22.5" customHeight="1">
      <c r="C2560" s="193"/>
      <c r="G2560" s="193"/>
      <c r="H2560" s="194"/>
      <c r="I2560" s="194"/>
      <c r="J2560" s="194"/>
      <c r="L2560" s="194"/>
      <c r="M2560" s="194"/>
    </row>
    <row r="2561" ht="22.5" customHeight="1">
      <c r="C2561" s="193"/>
      <c r="G2561" s="193"/>
      <c r="H2561" s="194"/>
      <c r="I2561" s="194"/>
      <c r="J2561" s="194"/>
      <c r="L2561" s="194"/>
      <c r="M2561" s="194"/>
    </row>
    <row r="2562" ht="22.5" customHeight="1">
      <c r="C2562" s="193"/>
      <c r="G2562" s="193"/>
      <c r="H2562" s="194"/>
      <c r="I2562" s="194"/>
      <c r="J2562" s="194"/>
      <c r="L2562" s="194"/>
      <c r="M2562" s="194"/>
    </row>
    <row r="2563" ht="22.5" customHeight="1">
      <c r="C2563" s="193"/>
      <c r="G2563" s="193"/>
      <c r="H2563" s="194"/>
      <c r="I2563" s="194"/>
      <c r="J2563" s="194"/>
      <c r="L2563" s="194"/>
      <c r="M2563" s="194"/>
    </row>
    <row r="2564" ht="22.5" customHeight="1">
      <c r="C2564" s="193"/>
      <c r="G2564" s="193"/>
      <c r="H2564" s="194"/>
      <c r="I2564" s="194"/>
      <c r="J2564" s="194"/>
      <c r="L2564" s="194"/>
      <c r="M2564" s="194"/>
    </row>
    <row r="2565" ht="22.5" customHeight="1">
      <c r="C2565" s="193"/>
      <c r="G2565" s="193"/>
      <c r="H2565" s="194"/>
      <c r="I2565" s="194"/>
      <c r="J2565" s="194"/>
      <c r="L2565" s="194"/>
      <c r="M2565" s="194"/>
    </row>
    <row r="2566" ht="22.5" customHeight="1">
      <c r="C2566" s="193"/>
      <c r="G2566" s="193"/>
      <c r="H2566" s="194"/>
      <c r="I2566" s="194"/>
      <c r="J2566" s="194"/>
      <c r="L2566" s="194"/>
      <c r="M2566" s="194"/>
    </row>
    <row r="2567" ht="22.5" customHeight="1">
      <c r="C2567" s="193"/>
      <c r="G2567" s="193"/>
      <c r="H2567" s="194"/>
      <c r="I2567" s="194"/>
      <c r="J2567" s="194"/>
      <c r="L2567" s="194"/>
      <c r="M2567" s="194"/>
    </row>
    <row r="2568" ht="22.5" customHeight="1">
      <c r="C2568" s="193"/>
      <c r="G2568" s="193"/>
      <c r="H2568" s="194"/>
      <c r="I2568" s="194"/>
      <c r="J2568" s="194"/>
      <c r="L2568" s="194"/>
      <c r="M2568" s="194"/>
    </row>
    <row r="2569" ht="22.5" customHeight="1">
      <c r="C2569" s="193"/>
      <c r="G2569" s="193"/>
      <c r="H2569" s="194"/>
      <c r="I2569" s="194"/>
      <c r="J2569" s="194"/>
      <c r="L2569" s="194"/>
      <c r="M2569" s="194"/>
    </row>
    <row r="2570" ht="22.5" customHeight="1">
      <c r="C2570" s="193"/>
      <c r="G2570" s="193"/>
      <c r="H2570" s="194"/>
      <c r="I2570" s="194"/>
      <c r="J2570" s="194"/>
      <c r="L2570" s="194"/>
      <c r="M2570" s="194"/>
    </row>
    <row r="2571" ht="22.5" customHeight="1">
      <c r="C2571" s="193"/>
      <c r="G2571" s="193"/>
      <c r="H2571" s="194"/>
      <c r="I2571" s="194"/>
      <c r="J2571" s="194"/>
      <c r="L2571" s="194"/>
      <c r="M2571" s="194"/>
    </row>
    <row r="2572" ht="22.5" customHeight="1">
      <c r="C2572" s="193"/>
      <c r="G2572" s="193"/>
      <c r="H2572" s="194"/>
      <c r="I2572" s="194"/>
      <c r="J2572" s="194"/>
      <c r="L2572" s="194"/>
      <c r="M2572" s="194"/>
    </row>
    <row r="2573" ht="22.5" customHeight="1">
      <c r="C2573" s="193"/>
      <c r="G2573" s="193"/>
      <c r="H2573" s="194"/>
      <c r="I2573" s="194"/>
      <c r="J2573" s="194"/>
      <c r="L2573" s="194"/>
      <c r="M2573" s="194"/>
    </row>
    <row r="2574" ht="22.5" customHeight="1">
      <c r="C2574" s="193"/>
      <c r="G2574" s="193"/>
      <c r="H2574" s="194"/>
      <c r="I2574" s="194"/>
      <c r="J2574" s="194"/>
      <c r="L2574" s="194"/>
      <c r="M2574" s="194"/>
    </row>
    <row r="2575" ht="22.5" customHeight="1">
      <c r="C2575" s="193"/>
      <c r="G2575" s="193"/>
      <c r="H2575" s="194"/>
      <c r="I2575" s="194"/>
      <c r="J2575" s="194"/>
      <c r="L2575" s="194"/>
      <c r="M2575" s="194"/>
    </row>
    <row r="2576" ht="22.5" customHeight="1">
      <c r="C2576" s="193"/>
      <c r="G2576" s="193"/>
      <c r="H2576" s="194"/>
      <c r="I2576" s="194"/>
      <c r="J2576" s="194"/>
      <c r="L2576" s="194"/>
      <c r="M2576" s="194"/>
    </row>
    <row r="2577" ht="22.5" customHeight="1">
      <c r="C2577" s="193"/>
      <c r="G2577" s="193"/>
      <c r="H2577" s="194"/>
      <c r="I2577" s="194"/>
      <c r="J2577" s="194"/>
      <c r="L2577" s="194"/>
      <c r="M2577" s="194"/>
    </row>
    <row r="2578" ht="22.5" customHeight="1">
      <c r="C2578" s="193"/>
      <c r="G2578" s="193"/>
      <c r="H2578" s="194"/>
      <c r="I2578" s="194"/>
      <c r="J2578" s="194"/>
      <c r="L2578" s="194"/>
      <c r="M2578" s="194"/>
    </row>
    <row r="2579" ht="22.5" customHeight="1">
      <c r="C2579" s="193"/>
      <c r="G2579" s="193"/>
      <c r="H2579" s="194"/>
      <c r="I2579" s="194"/>
      <c r="J2579" s="194"/>
      <c r="L2579" s="194"/>
      <c r="M2579" s="194"/>
    </row>
    <row r="2580" ht="22.5" customHeight="1">
      <c r="C2580" s="193"/>
      <c r="G2580" s="193"/>
      <c r="H2580" s="194"/>
      <c r="I2580" s="194"/>
      <c r="J2580" s="194"/>
      <c r="L2580" s="194"/>
      <c r="M2580" s="194"/>
    </row>
    <row r="2581" ht="22.5" customHeight="1">
      <c r="C2581" s="193"/>
      <c r="G2581" s="193"/>
      <c r="H2581" s="194"/>
      <c r="I2581" s="194"/>
      <c r="J2581" s="194"/>
      <c r="L2581" s="194"/>
      <c r="M2581" s="194"/>
    </row>
    <row r="2582" ht="22.5" customHeight="1">
      <c r="C2582" s="193"/>
      <c r="G2582" s="193"/>
      <c r="H2582" s="194"/>
      <c r="I2582" s="194"/>
      <c r="J2582" s="194"/>
      <c r="L2582" s="194"/>
      <c r="M2582" s="194"/>
    </row>
    <row r="2583" ht="22.5" customHeight="1">
      <c r="C2583" s="193"/>
      <c r="G2583" s="193"/>
      <c r="H2583" s="194"/>
      <c r="I2583" s="194"/>
      <c r="J2583" s="194"/>
      <c r="L2583" s="194"/>
      <c r="M2583" s="194"/>
    </row>
    <row r="2584" ht="22.5" customHeight="1">
      <c r="C2584" s="193"/>
      <c r="G2584" s="193"/>
      <c r="H2584" s="194"/>
      <c r="I2584" s="194"/>
      <c r="J2584" s="194"/>
      <c r="L2584" s="194"/>
      <c r="M2584" s="194"/>
    </row>
    <row r="2585" ht="22.5" customHeight="1">
      <c r="C2585" s="193"/>
      <c r="G2585" s="193"/>
      <c r="H2585" s="194"/>
      <c r="I2585" s="194"/>
      <c r="J2585" s="194"/>
      <c r="L2585" s="194"/>
      <c r="M2585" s="194"/>
    </row>
    <row r="2586" ht="22.5" customHeight="1">
      <c r="C2586" s="193"/>
      <c r="G2586" s="193"/>
      <c r="H2586" s="194"/>
      <c r="I2586" s="194"/>
      <c r="J2586" s="194"/>
      <c r="L2586" s="194"/>
      <c r="M2586" s="194"/>
    </row>
    <row r="2587" ht="22.5" customHeight="1">
      <c r="C2587" s="193"/>
      <c r="G2587" s="193"/>
      <c r="H2587" s="194"/>
      <c r="I2587" s="194"/>
      <c r="J2587" s="194"/>
      <c r="L2587" s="194"/>
      <c r="M2587" s="194"/>
    </row>
    <row r="2588" ht="22.5" customHeight="1">
      <c r="C2588" s="193"/>
      <c r="G2588" s="193"/>
      <c r="H2588" s="194"/>
      <c r="I2588" s="194"/>
      <c r="J2588" s="194"/>
      <c r="L2588" s="194"/>
      <c r="M2588" s="194"/>
    </row>
    <row r="2589" ht="22.5" customHeight="1">
      <c r="C2589" s="193"/>
      <c r="G2589" s="193"/>
      <c r="H2589" s="194"/>
      <c r="I2589" s="194"/>
      <c r="J2589" s="194"/>
      <c r="L2589" s="194"/>
      <c r="M2589" s="194"/>
    </row>
    <row r="2590" ht="22.5" customHeight="1">
      <c r="C2590" s="193"/>
      <c r="G2590" s="193"/>
      <c r="H2590" s="194"/>
      <c r="I2590" s="194"/>
      <c r="J2590" s="194"/>
      <c r="L2590" s="194"/>
      <c r="M2590" s="194"/>
    </row>
    <row r="2591" ht="22.5" customHeight="1">
      <c r="C2591" s="193"/>
      <c r="G2591" s="193"/>
      <c r="H2591" s="194"/>
      <c r="I2591" s="194"/>
      <c r="J2591" s="194"/>
      <c r="L2591" s="194"/>
      <c r="M2591" s="194"/>
    </row>
    <row r="2592" ht="22.5" customHeight="1">
      <c r="C2592" s="193"/>
      <c r="G2592" s="193"/>
      <c r="H2592" s="194"/>
      <c r="I2592" s="194"/>
      <c r="J2592" s="194"/>
      <c r="L2592" s="194"/>
      <c r="M2592" s="194"/>
    </row>
    <row r="2593" ht="22.5" customHeight="1">
      <c r="C2593" s="193"/>
      <c r="G2593" s="193"/>
      <c r="H2593" s="194"/>
      <c r="I2593" s="194"/>
      <c r="J2593" s="194"/>
      <c r="L2593" s="194"/>
      <c r="M2593" s="194"/>
    </row>
    <row r="2594" ht="22.5" customHeight="1">
      <c r="C2594" s="193"/>
      <c r="G2594" s="193"/>
      <c r="H2594" s="194"/>
      <c r="I2594" s="194"/>
      <c r="J2594" s="194"/>
      <c r="L2594" s="194"/>
      <c r="M2594" s="194"/>
    </row>
    <row r="2595" ht="22.5" customHeight="1">
      <c r="C2595" s="193"/>
      <c r="G2595" s="193"/>
      <c r="H2595" s="194"/>
      <c r="I2595" s="194"/>
      <c r="J2595" s="194"/>
      <c r="L2595" s="194"/>
      <c r="M2595" s="194"/>
    </row>
    <row r="2596" ht="22.5" customHeight="1">
      <c r="C2596" s="193"/>
      <c r="G2596" s="193"/>
      <c r="H2596" s="194"/>
      <c r="I2596" s="194"/>
      <c r="J2596" s="194"/>
      <c r="L2596" s="194"/>
      <c r="M2596" s="194"/>
    </row>
    <row r="2597" ht="22.5" customHeight="1">
      <c r="C2597" s="193"/>
      <c r="G2597" s="193"/>
      <c r="H2597" s="194"/>
      <c r="I2597" s="194"/>
      <c r="J2597" s="194"/>
      <c r="L2597" s="194"/>
      <c r="M2597" s="194"/>
    </row>
    <row r="2598" ht="22.5" customHeight="1">
      <c r="C2598" s="193"/>
      <c r="G2598" s="193"/>
      <c r="H2598" s="194"/>
      <c r="I2598" s="194"/>
      <c r="J2598" s="194"/>
      <c r="L2598" s="194"/>
      <c r="M2598" s="194"/>
    </row>
    <row r="2599" ht="22.5" customHeight="1">
      <c r="C2599" s="193"/>
      <c r="G2599" s="193"/>
      <c r="H2599" s="194"/>
      <c r="I2599" s="194"/>
      <c r="J2599" s="194"/>
      <c r="L2599" s="194"/>
      <c r="M2599" s="194"/>
    </row>
    <row r="2600" ht="22.5" customHeight="1">
      <c r="C2600" s="193"/>
      <c r="G2600" s="193"/>
      <c r="H2600" s="194"/>
      <c r="I2600" s="194"/>
      <c r="J2600" s="194"/>
      <c r="L2600" s="194"/>
      <c r="M2600" s="194"/>
    </row>
    <row r="2601" ht="22.5" customHeight="1">
      <c r="C2601" s="193"/>
      <c r="G2601" s="193"/>
      <c r="H2601" s="194"/>
      <c r="I2601" s="194"/>
      <c r="J2601" s="194"/>
      <c r="L2601" s="194"/>
      <c r="M2601" s="194"/>
    </row>
    <row r="2602" ht="22.5" customHeight="1">
      <c r="C2602" s="193"/>
      <c r="G2602" s="193"/>
      <c r="H2602" s="194"/>
      <c r="I2602" s="194"/>
      <c r="J2602" s="194"/>
      <c r="L2602" s="194"/>
      <c r="M2602" s="194"/>
    </row>
    <row r="2603" ht="22.5" customHeight="1">
      <c r="C2603" s="193"/>
      <c r="G2603" s="193"/>
      <c r="H2603" s="194"/>
      <c r="I2603" s="194"/>
      <c r="J2603" s="194"/>
      <c r="L2603" s="194"/>
      <c r="M2603" s="194"/>
    </row>
    <row r="2604" ht="22.5" customHeight="1">
      <c r="C2604" s="193"/>
      <c r="G2604" s="193"/>
      <c r="H2604" s="194"/>
      <c r="I2604" s="194"/>
      <c r="J2604" s="194"/>
      <c r="L2604" s="194"/>
      <c r="M2604" s="194"/>
    </row>
    <row r="2605" ht="22.5" customHeight="1">
      <c r="C2605" s="193"/>
      <c r="G2605" s="193"/>
      <c r="H2605" s="194"/>
      <c r="I2605" s="194"/>
      <c r="J2605" s="194"/>
      <c r="L2605" s="194"/>
      <c r="M2605" s="194"/>
    </row>
    <row r="2606" ht="22.5" customHeight="1">
      <c r="C2606" s="193"/>
      <c r="G2606" s="193"/>
      <c r="H2606" s="194"/>
      <c r="I2606" s="194"/>
      <c r="J2606" s="194"/>
      <c r="L2606" s="194"/>
      <c r="M2606" s="194"/>
    </row>
    <row r="2607" ht="22.5" customHeight="1">
      <c r="C2607" s="193"/>
      <c r="G2607" s="193"/>
      <c r="H2607" s="194"/>
      <c r="I2607" s="194"/>
      <c r="J2607" s="194"/>
      <c r="L2607" s="194"/>
      <c r="M2607" s="194"/>
    </row>
    <row r="2608" ht="22.5" customHeight="1">
      <c r="C2608" s="193"/>
      <c r="G2608" s="193"/>
      <c r="H2608" s="194"/>
      <c r="I2608" s="194"/>
      <c r="J2608" s="194"/>
      <c r="L2608" s="194"/>
      <c r="M2608" s="194"/>
    </row>
    <row r="2609" ht="22.5" customHeight="1">
      <c r="C2609" s="193"/>
      <c r="G2609" s="193"/>
      <c r="H2609" s="194"/>
      <c r="I2609" s="194"/>
      <c r="J2609" s="194"/>
      <c r="L2609" s="194"/>
      <c r="M2609" s="194"/>
    </row>
    <row r="2610" ht="22.5" customHeight="1">
      <c r="C2610" s="193"/>
      <c r="G2610" s="193"/>
      <c r="H2610" s="194"/>
      <c r="I2610" s="194"/>
      <c r="J2610" s="194"/>
      <c r="L2610" s="194"/>
      <c r="M2610" s="194"/>
    </row>
    <row r="2611" ht="22.5" customHeight="1">
      <c r="C2611" s="193"/>
      <c r="G2611" s="193"/>
      <c r="H2611" s="194"/>
      <c r="I2611" s="194"/>
      <c r="J2611" s="194"/>
      <c r="L2611" s="194"/>
      <c r="M2611" s="194"/>
    </row>
    <row r="2612" ht="22.5" customHeight="1">
      <c r="C2612" s="193"/>
      <c r="G2612" s="193"/>
      <c r="H2612" s="194"/>
      <c r="I2612" s="194"/>
      <c r="J2612" s="194"/>
      <c r="L2612" s="194"/>
      <c r="M2612" s="194"/>
    </row>
    <row r="2613" ht="22.5" customHeight="1">
      <c r="C2613" s="193"/>
      <c r="G2613" s="193"/>
      <c r="H2613" s="194"/>
      <c r="I2613" s="194"/>
      <c r="J2613" s="194"/>
      <c r="L2613" s="194"/>
      <c r="M2613" s="194"/>
    </row>
    <row r="2614" ht="22.5" customHeight="1">
      <c r="C2614" s="193"/>
      <c r="G2614" s="193"/>
      <c r="H2614" s="194"/>
      <c r="I2614" s="194"/>
      <c r="J2614" s="194"/>
      <c r="L2614" s="194"/>
      <c r="M2614" s="194"/>
    </row>
    <row r="2615" ht="22.5" customHeight="1">
      <c r="C2615" s="193"/>
      <c r="G2615" s="193"/>
      <c r="H2615" s="194"/>
      <c r="I2615" s="194"/>
      <c r="J2615" s="194"/>
      <c r="L2615" s="194"/>
      <c r="M2615" s="194"/>
    </row>
    <row r="2616" ht="22.5" customHeight="1">
      <c r="C2616" s="193"/>
      <c r="G2616" s="193"/>
      <c r="H2616" s="194"/>
      <c r="I2616" s="194"/>
      <c r="J2616" s="194"/>
      <c r="L2616" s="194"/>
      <c r="M2616" s="194"/>
    </row>
    <row r="2617" ht="22.5" customHeight="1">
      <c r="C2617" s="193"/>
      <c r="G2617" s="193"/>
      <c r="H2617" s="194"/>
      <c r="I2617" s="194"/>
      <c r="J2617" s="194"/>
      <c r="L2617" s="194"/>
      <c r="M2617" s="194"/>
    </row>
    <row r="2618" ht="22.5" customHeight="1">
      <c r="C2618" s="193"/>
      <c r="G2618" s="193"/>
      <c r="H2618" s="194"/>
      <c r="I2618" s="194"/>
      <c r="J2618" s="194"/>
      <c r="L2618" s="194"/>
      <c r="M2618" s="194"/>
    </row>
    <row r="2619" ht="22.5" customHeight="1">
      <c r="C2619" s="193"/>
      <c r="G2619" s="193"/>
      <c r="H2619" s="194"/>
      <c r="I2619" s="194"/>
      <c r="J2619" s="194"/>
      <c r="L2619" s="194"/>
      <c r="M2619" s="194"/>
    </row>
    <row r="2620" ht="22.5" customHeight="1">
      <c r="C2620" s="193"/>
      <c r="G2620" s="193"/>
      <c r="H2620" s="194"/>
      <c r="I2620" s="194"/>
      <c r="J2620" s="194"/>
      <c r="L2620" s="194"/>
      <c r="M2620" s="194"/>
    </row>
    <row r="2621" ht="22.5" customHeight="1">
      <c r="C2621" s="193"/>
      <c r="G2621" s="193"/>
      <c r="H2621" s="194"/>
      <c r="I2621" s="194"/>
      <c r="J2621" s="194"/>
      <c r="L2621" s="194"/>
      <c r="M2621" s="194"/>
    </row>
    <row r="2622" ht="22.5" customHeight="1">
      <c r="C2622" s="193"/>
      <c r="G2622" s="193"/>
      <c r="H2622" s="194"/>
      <c r="I2622" s="194"/>
      <c r="J2622" s="194"/>
      <c r="L2622" s="194"/>
      <c r="M2622" s="194"/>
    </row>
    <row r="2623" ht="22.5" customHeight="1">
      <c r="C2623" s="193"/>
      <c r="G2623" s="193"/>
      <c r="H2623" s="194"/>
      <c r="I2623" s="194"/>
      <c r="J2623" s="194"/>
      <c r="L2623" s="194"/>
      <c r="M2623" s="194"/>
    </row>
    <row r="2624" ht="22.5" customHeight="1">
      <c r="C2624" s="193"/>
      <c r="G2624" s="193"/>
      <c r="H2624" s="194"/>
      <c r="I2624" s="194"/>
      <c r="J2624" s="194"/>
      <c r="L2624" s="194"/>
      <c r="M2624" s="194"/>
    </row>
    <row r="2625" ht="22.5" customHeight="1">
      <c r="C2625" s="193"/>
      <c r="G2625" s="193"/>
      <c r="H2625" s="194"/>
      <c r="I2625" s="194"/>
      <c r="J2625" s="194"/>
      <c r="L2625" s="194"/>
      <c r="M2625" s="194"/>
    </row>
    <row r="2626" ht="22.5" customHeight="1">
      <c r="C2626" s="193"/>
      <c r="G2626" s="193"/>
      <c r="H2626" s="194"/>
      <c r="I2626" s="194"/>
      <c r="J2626" s="194"/>
      <c r="L2626" s="194"/>
      <c r="M2626" s="194"/>
    </row>
    <row r="2627" ht="22.5" customHeight="1">
      <c r="C2627" s="193"/>
      <c r="G2627" s="193"/>
      <c r="H2627" s="194"/>
      <c r="I2627" s="194"/>
      <c r="J2627" s="194"/>
      <c r="L2627" s="194"/>
      <c r="M2627" s="194"/>
    </row>
    <row r="2628" ht="22.5" customHeight="1">
      <c r="C2628" s="193"/>
      <c r="G2628" s="193"/>
      <c r="H2628" s="194"/>
      <c r="I2628" s="194"/>
      <c r="J2628" s="194"/>
      <c r="L2628" s="194"/>
      <c r="M2628" s="194"/>
    </row>
    <row r="2629" ht="22.5" customHeight="1">
      <c r="C2629" s="193"/>
      <c r="G2629" s="193"/>
      <c r="H2629" s="194"/>
      <c r="I2629" s="194"/>
      <c r="J2629" s="194"/>
      <c r="L2629" s="194"/>
      <c r="M2629" s="194"/>
    </row>
    <row r="2630" ht="22.5" customHeight="1">
      <c r="C2630" s="193"/>
      <c r="G2630" s="193"/>
      <c r="H2630" s="194"/>
      <c r="I2630" s="194"/>
      <c r="J2630" s="194"/>
      <c r="L2630" s="194"/>
      <c r="M2630" s="194"/>
    </row>
    <row r="2631" ht="22.5" customHeight="1">
      <c r="C2631" s="193"/>
      <c r="G2631" s="193"/>
      <c r="H2631" s="194"/>
      <c r="I2631" s="194"/>
      <c r="J2631" s="194"/>
      <c r="L2631" s="194"/>
      <c r="M2631" s="194"/>
    </row>
    <row r="2632" ht="22.5" customHeight="1">
      <c r="C2632" s="193"/>
      <c r="G2632" s="193"/>
      <c r="H2632" s="194"/>
      <c r="I2632" s="194"/>
      <c r="J2632" s="194"/>
      <c r="L2632" s="194"/>
      <c r="M2632" s="194"/>
    </row>
    <row r="2633" ht="22.5" customHeight="1">
      <c r="C2633" s="193"/>
      <c r="G2633" s="193"/>
      <c r="H2633" s="194"/>
      <c r="I2633" s="194"/>
      <c r="J2633" s="194"/>
      <c r="L2633" s="194"/>
      <c r="M2633" s="194"/>
    </row>
    <row r="2634" ht="22.5" customHeight="1">
      <c r="C2634" s="193"/>
      <c r="G2634" s="193"/>
      <c r="H2634" s="194"/>
      <c r="I2634" s="194"/>
      <c r="J2634" s="194"/>
      <c r="L2634" s="194"/>
      <c r="M2634" s="194"/>
    </row>
    <row r="2635" ht="22.5" customHeight="1">
      <c r="C2635" s="193"/>
      <c r="G2635" s="193"/>
      <c r="H2635" s="194"/>
      <c r="I2635" s="194"/>
      <c r="J2635" s="194"/>
      <c r="L2635" s="194"/>
      <c r="M2635" s="194"/>
    </row>
    <row r="2636" ht="22.5" customHeight="1">
      <c r="C2636" s="193"/>
      <c r="G2636" s="193"/>
      <c r="H2636" s="194"/>
      <c r="I2636" s="194"/>
      <c r="J2636" s="194"/>
      <c r="L2636" s="194"/>
      <c r="M2636" s="194"/>
    </row>
    <row r="2637" ht="22.5" customHeight="1">
      <c r="C2637" s="193"/>
      <c r="G2637" s="193"/>
      <c r="H2637" s="194"/>
      <c r="I2637" s="194"/>
      <c r="J2637" s="194"/>
      <c r="L2637" s="194"/>
      <c r="M2637" s="194"/>
    </row>
    <row r="2638" ht="22.5" customHeight="1">
      <c r="C2638" s="193"/>
      <c r="G2638" s="193"/>
      <c r="H2638" s="194"/>
      <c r="I2638" s="194"/>
      <c r="J2638" s="194"/>
      <c r="L2638" s="194"/>
      <c r="M2638" s="194"/>
    </row>
    <row r="2639" ht="22.5" customHeight="1">
      <c r="C2639" s="193"/>
      <c r="G2639" s="193"/>
      <c r="H2639" s="194"/>
      <c r="I2639" s="194"/>
      <c r="J2639" s="194"/>
      <c r="L2639" s="194"/>
      <c r="M2639" s="194"/>
    </row>
    <row r="2640" ht="22.5" customHeight="1">
      <c r="C2640" s="193"/>
      <c r="G2640" s="193"/>
      <c r="H2640" s="194"/>
      <c r="I2640" s="194"/>
      <c r="J2640" s="194"/>
      <c r="L2640" s="194"/>
      <c r="M2640" s="194"/>
    </row>
    <row r="2641" ht="22.5" customHeight="1">
      <c r="C2641" s="193"/>
      <c r="G2641" s="193"/>
      <c r="H2641" s="194"/>
      <c r="I2641" s="194"/>
      <c r="J2641" s="194"/>
      <c r="L2641" s="194"/>
      <c r="M2641" s="194"/>
    </row>
    <row r="2642" ht="22.5" customHeight="1">
      <c r="C2642" s="193"/>
      <c r="G2642" s="193"/>
      <c r="H2642" s="194"/>
      <c r="I2642" s="194"/>
      <c r="J2642" s="194"/>
      <c r="L2642" s="194"/>
      <c r="M2642" s="194"/>
    </row>
    <row r="2643" ht="22.5" customHeight="1">
      <c r="C2643" s="193"/>
      <c r="G2643" s="193"/>
      <c r="H2643" s="194"/>
      <c r="I2643" s="194"/>
      <c r="J2643" s="194"/>
      <c r="L2643" s="194"/>
      <c r="M2643" s="194"/>
    </row>
    <row r="2644" ht="22.5" customHeight="1">
      <c r="C2644" s="193"/>
      <c r="G2644" s="193"/>
      <c r="H2644" s="194"/>
      <c r="I2644" s="194"/>
      <c r="J2644" s="194"/>
      <c r="L2644" s="194"/>
      <c r="M2644" s="194"/>
    </row>
    <row r="2645" ht="22.5" customHeight="1">
      <c r="C2645" s="193"/>
      <c r="G2645" s="193"/>
      <c r="H2645" s="194"/>
      <c r="I2645" s="194"/>
      <c r="J2645" s="194"/>
      <c r="L2645" s="194"/>
      <c r="M2645" s="194"/>
    </row>
    <row r="2646" ht="22.5" customHeight="1">
      <c r="C2646" s="193"/>
      <c r="G2646" s="193"/>
      <c r="H2646" s="194"/>
      <c r="I2646" s="194"/>
      <c r="J2646" s="194"/>
      <c r="L2646" s="194"/>
      <c r="M2646" s="194"/>
    </row>
    <row r="2647" ht="22.5" customHeight="1">
      <c r="C2647" s="193"/>
      <c r="G2647" s="193"/>
      <c r="H2647" s="194"/>
      <c r="I2647" s="194"/>
      <c r="J2647" s="194"/>
      <c r="L2647" s="194"/>
      <c r="M2647" s="194"/>
    </row>
    <row r="2648" ht="22.5" customHeight="1">
      <c r="C2648" s="193"/>
      <c r="G2648" s="193"/>
      <c r="H2648" s="194"/>
      <c r="I2648" s="194"/>
      <c r="J2648" s="194"/>
      <c r="L2648" s="194"/>
      <c r="M2648" s="194"/>
    </row>
    <row r="2649" ht="22.5" customHeight="1">
      <c r="C2649" s="193"/>
      <c r="G2649" s="193"/>
      <c r="H2649" s="194"/>
      <c r="I2649" s="194"/>
      <c r="J2649" s="194"/>
      <c r="L2649" s="194"/>
      <c r="M2649" s="194"/>
    </row>
    <row r="2650" ht="22.5" customHeight="1">
      <c r="C2650" s="193"/>
      <c r="G2650" s="193"/>
      <c r="H2650" s="194"/>
      <c r="I2650" s="194"/>
      <c r="J2650" s="194"/>
      <c r="L2650" s="194"/>
      <c r="M2650" s="194"/>
    </row>
    <row r="2651" ht="22.5" customHeight="1">
      <c r="C2651" s="193"/>
      <c r="G2651" s="193"/>
      <c r="H2651" s="194"/>
      <c r="I2651" s="194"/>
      <c r="J2651" s="194"/>
      <c r="L2651" s="194"/>
      <c r="M2651" s="194"/>
    </row>
    <row r="2652" ht="22.5" customHeight="1">
      <c r="C2652" s="193"/>
      <c r="G2652" s="193"/>
      <c r="H2652" s="194"/>
      <c r="I2652" s="194"/>
      <c r="J2652" s="194"/>
      <c r="L2652" s="194"/>
      <c r="M2652" s="194"/>
    </row>
    <row r="2653" ht="22.5" customHeight="1">
      <c r="C2653" s="193"/>
      <c r="G2653" s="193"/>
      <c r="H2653" s="194"/>
      <c r="I2653" s="194"/>
      <c r="J2653" s="194"/>
      <c r="L2653" s="194"/>
      <c r="M2653" s="194"/>
    </row>
    <row r="2654" ht="22.5" customHeight="1">
      <c r="C2654" s="193"/>
      <c r="G2654" s="193"/>
      <c r="H2654" s="194"/>
      <c r="I2654" s="194"/>
      <c r="J2654" s="194"/>
      <c r="L2654" s="194"/>
      <c r="M2654" s="194"/>
    </row>
    <row r="2655" ht="22.5" customHeight="1">
      <c r="C2655" s="193"/>
      <c r="G2655" s="193"/>
      <c r="H2655" s="194"/>
      <c r="I2655" s="194"/>
      <c r="J2655" s="194"/>
      <c r="L2655" s="194"/>
      <c r="M2655" s="194"/>
    </row>
    <row r="2656" ht="22.5" customHeight="1">
      <c r="C2656" s="193"/>
      <c r="G2656" s="193"/>
      <c r="H2656" s="194"/>
      <c r="I2656" s="194"/>
      <c r="J2656" s="194"/>
      <c r="L2656" s="194"/>
      <c r="M2656" s="194"/>
    </row>
    <row r="2657" ht="22.5" customHeight="1">
      <c r="C2657" s="193"/>
      <c r="G2657" s="193"/>
      <c r="H2657" s="194"/>
      <c r="I2657" s="194"/>
      <c r="J2657" s="194"/>
      <c r="L2657" s="194"/>
      <c r="M2657" s="194"/>
    </row>
    <row r="2658" ht="22.5" customHeight="1">
      <c r="C2658" s="193"/>
      <c r="G2658" s="193"/>
      <c r="H2658" s="194"/>
      <c r="I2658" s="194"/>
      <c r="J2658" s="194"/>
      <c r="L2658" s="194"/>
      <c r="M2658" s="194"/>
    </row>
    <row r="2659" ht="22.5" customHeight="1">
      <c r="C2659" s="193"/>
      <c r="G2659" s="193"/>
      <c r="H2659" s="194"/>
      <c r="I2659" s="194"/>
      <c r="J2659" s="194"/>
      <c r="L2659" s="194"/>
      <c r="M2659" s="194"/>
    </row>
    <row r="2660" ht="22.5" customHeight="1">
      <c r="C2660" s="193"/>
      <c r="G2660" s="193"/>
      <c r="H2660" s="194"/>
      <c r="I2660" s="194"/>
      <c r="J2660" s="194"/>
      <c r="L2660" s="194"/>
      <c r="M2660" s="194"/>
    </row>
    <row r="2661" ht="22.5" customHeight="1">
      <c r="C2661" s="193"/>
      <c r="G2661" s="193"/>
      <c r="H2661" s="194"/>
      <c r="I2661" s="194"/>
      <c r="J2661" s="194"/>
      <c r="L2661" s="194"/>
      <c r="M2661" s="194"/>
    </row>
    <row r="2662" ht="22.5" customHeight="1">
      <c r="C2662" s="193"/>
      <c r="G2662" s="193"/>
      <c r="H2662" s="194"/>
      <c r="I2662" s="194"/>
      <c r="J2662" s="194"/>
      <c r="L2662" s="194"/>
      <c r="M2662" s="194"/>
    </row>
    <row r="2663" ht="22.5" customHeight="1">
      <c r="C2663" s="193"/>
      <c r="G2663" s="193"/>
      <c r="H2663" s="194"/>
      <c r="I2663" s="194"/>
      <c r="J2663" s="194"/>
      <c r="L2663" s="194"/>
      <c r="M2663" s="194"/>
    </row>
    <row r="2664" ht="22.5" customHeight="1">
      <c r="C2664" s="193"/>
      <c r="G2664" s="193"/>
      <c r="H2664" s="194"/>
      <c r="I2664" s="194"/>
      <c r="J2664" s="194"/>
      <c r="L2664" s="194"/>
      <c r="M2664" s="194"/>
    </row>
    <row r="2665" ht="22.5" customHeight="1">
      <c r="C2665" s="193"/>
      <c r="G2665" s="193"/>
      <c r="H2665" s="194"/>
      <c r="I2665" s="194"/>
      <c r="J2665" s="194"/>
      <c r="L2665" s="194"/>
      <c r="M2665" s="194"/>
    </row>
    <row r="2666" ht="22.5" customHeight="1">
      <c r="C2666" s="193"/>
      <c r="G2666" s="193"/>
      <c r="H2666" s="194"/>
      <c r="I2666" s="194"/>
      <c r="J2666" s="194"/>
      <c r="L2666" s="194"/>
      <c r="M2666" s="194"/>
    </row>
    <row r="2667" ht="22.5" customHeight="1">
      <c r="C2667" s="193"/>
      <c r="G2667" s="193"/>
      <c r="H2667" s="194"/>
      <c r="I2667" s="194"/>
      <c r="J2667" s="194"/>
      <c r="L2667" s="194"/>
      <c r="M2667" s="194"/>
    </row>
    <row r="2668" ht="22.5" customHeight="1">
      <c r="C2668" s="193"/>
      <c r="G2668" s="193"/>
      <c r="H2668" s="194"/>
      <c r="I2668" s="194"/>
      <c r="J2668" s="194"/>
      <c r="L2668" s="194"/>
      <c r="M2668" s="194"/>
    </row>
    <row r="2669" ht="22.5" customHeight="1">
      <c r="C2669" s="193"/>
      <c r="G2669" s="193"/>
      <c r="H2669" s="194"/>
      <c r="I2669" s="194"/>
      <c r="J2669" s="194"/>
      <c r="L2669" s="194"/>
      <c r="M2669" s="194"/>
    </row>
    <row r="2670" ht="22.5" customHeight="1">
      <c r="C2670" s="193"/>
      <c r="G2670" s="193"/>
      <c r="H2670" s="194"/>
      <c r="I2670" s="194"/>
      <c r="J2670" s="194"/>
      <c r="L2670" s="194"/>
      <c r="M2670" s="194"/>
    </row>
    <row r="2671" ht="22.5" customHeight="1">
      <c r="C2671" s="193"/>
      <c r="G2671" s="193"/>
      <c r="H2671" s="194"/>
      <c r="I2671" s="194"/>
      <c r="J2671" s="194"/>
      <c r="L2671" s="194"/>
      <c r="M2671" s="194"/>
    </row>
    <row r="2672" ht="22.5" customHeight="1">
      <c r="C2672" s="193"/>
      <c r="G2672" s="193"/>
      <c r="H2672" s="194"/>
      <c r="I2672" s="194"/>
      <c r="J2672" s="194"/>
      <c r="L2672" s="194"/>
      <c r="M2672" s="194"/>
    </row>
    <row r="2673" ht="22.5" customHeight="1">
      <c r="C2673" s="193"/>
      <c r="G2673" s="193"/>
      <c r="H2673" s="194"/>
      <c r="I2673" s="194"/>
      <c r="J2673" s="194"/>
      <c r="L2673" s="194"/>
      <c r="M2673" s="194"/>
    </row>
    <row r="2674" ht="22.5" customHeight="1">
      <c r="C2674" s="193"/>
      <c r="G2674" s="193"/>
      <c r="H2674" s="194"/>
      <c r="I2674" s="194"/>
      <c r="J2674" s="194"/>
      <c r="L2674" s="194"/>
      <c r="M2674" s="194"/>
    </row>
    <row r="2675" ht="22.5" customHeight="1">
      <c r="C2675" s="193"/>
      <c r="G2675" s="193"/>
      <c r="H2675" s="194"/>
      <c r="I2675" s="194"/>
      <c r="J2675" s="194"/>
      <c r="L2675" s="194"/>
      <c r="M2675" s="194"/>
    </row>
    <row r="2676" ht="22.5" customHeight="1">
      <c r="C2676" s="193"/>
      <c r="G2676" s="193"/>
      <c r="H2676" s="194"/>
      <c r="I2676" s="194"/>
      <c r="J2676" s="194"/>
      <c r="L2676" s="194"/>
      <c r="M2676" s="194"/>
    </row>
    <row r="2677" ht="22.5" customHeight="1">
      <c r="C2677" s="193"/>
      <c r="G2677" s="193"/>
      <c r="H2677" s="194"/>
      <c r="I2677" s="194"/>
      <c r="J2677" s="194"/>
      <c r="L2677" s="194"/>
      <c r="M2677" s="194"/>
    </row>
    <row r="2678" ht="22.5" customHeight="1">
      <c r="C2678" s="193"/>
      <c r="G2678" s="193"/>
      <c r="H2678" s="194"/>
      <c r="I2678" s="194"/>
      <c r="J2678" s="194"/>
      <c r="L2678" s="194"/>
      <c r="M2678" s="194"/>
    </row>
    <row r="2679" ht="22.5" customHeight="1">
      <c r="C2679" s="193"/>
      <c r="G2679" s="193"/>
      <c r="H2679" s="194"/>
      <c r="I2679" s="194"/>
      <c r="J2679" s="194"/>
      <c r="L2679" s="194"/>
      <c r="M2679" s="194"/>
    </row>
    <row r="2680" ht="22.5" customHeight="1">
      <c r="C2680" s="193"/>
      <c r="G2680" s="193"/>
      <c r="H2680" s="194"/>
      <c r="I2680" s="194"/>
      <c r="J2680" s="194"/>
      <c r="L2680" s="194"/>
      <c r="M2680" s="194"/>
    </row>
    <row r="2681" ht="22.5" customHeight="1">
      <c r="C2681" s="193"/>
      <c r="G2681" s="193"/>
      <c r="H2681" s="194"/>
      <c r="I2681" s="194"/>
      <c r="J2681" s="194"/>
      <c r="L2681" s="194"/>
      <c r="M2681" s="194"/>
    </row>
    <row r="2682" ht="22.5" customHeight="1">
      <c r="C2682" s="193"/>
      <c r="G2682" s="193"/>
      <c r="H2682" s="194"/>
      <c r="I2682" s="194"/>
      <c r="J2682" s="194"/>
      <c r="L2682" s="194"/>
      <c r="M2682" s="194"/>
    </row>
    <row r="2683" ht="22.5" customHeight="1">
      <c r="C2683" s="193"/>
      <c r="G2683" s="193"/>
      <c r="H2683" s="194"/>
      <c r="I2683" s="194"/>
      <c r="J2683" s="194"/>
      <c r="L2683" s="194"/>
      <c r="M2683" s="194"/>
    </row>
    <row r="2684" ht="22.5" customHeight="1">
      <c r="C2684" s="193"/>
      <c r="G2684" s="193"/>
      <c r="H2684" s="194"/>
      <c r="I2684" s="194"/>
      <c r="J2684" s="194"/>
      <c r="L2684" s="194"/>
      <c r="M2684" s="194"/>
    </row>
    <row r="2685" ht="22.5" customHeight="1">
      <c r="C2685" s="193"/>
      <c r="G2685" s="193"/>
      <c r="H2685" s="194"/>
      <c r="I2685" s="194"/>
      <c r="J2685" s="194"/>
      <c r="L2685" s="194"/>
      <c r="M2685" s="194"/>
    </row>
    <row r="2686" ht="22.5" customHeight="1">
      <c r="C2686" s="193"/>
      <c r="G2686" s="193"/>
      <c r="H2686" s="194"/>
      <c r="I2686" s="194"/>
      <c r="J2686" s="194"/>
      <c r="L2686" s="194"/>
      <c r="M2686" s="194"/>
    </row>
    <row r="2687" ht="22.5" customHeight="1">
      <c r="C2687" s="193"/>
      <c r="G2687" s="193"/>
      <c r="H2687" s="194"/>
      <c r="I2687" s="194"/>
      <c r="J2687" s="194"/>
      <c r="L2687" s="194"/>
      <c r="M2687" s="194"/>
    </row>
    <row r="2688" ht="22.5" customHeight="1">
      <c r="C2688" s="193"/>
      <c r="G2688" s="193"/>
      <c r="H2688" s="194"/>
      <c r="I2688" s="194"/>
      <c r="J2688" s="194"/>
      <c r="L2688" s="194"/>
      <c r="M2688" s="194"/>
    </row>
    <row r="2689" ht="22.5" customHeight="1">
      <c r="C2689" s="193"/>
      <c r="G2689" s="193"/>
      <c r="H2689" s="194"/>
      <c r="I2689" s="194"/>
      <c r="J2689" s="194"/>
      <c r="L2689" s="194"/>
      <c r="M2689" s="194"/>
    </row>
    <row r="2690" ht="22.5" customHeight="1">
      <c r="C2690" s="193"/>
      <c r="G2690" s="193"/>
      <c r="H2690" s="194"/>
      <c r="I2690" s="194"/>
      <c r="J2690" s="194"/>
      <c r="L2690" s="194"/>
      <c r="M2690" s="194"/>
    </row>
    <row r="2691" ht="22.5" customHeight="1">
      <c r="C2691" s="193"/>
      <c r="G2691" s="193"/>
      <c r="H2691" s="194"/>
      <c r="I2691" s="194"/>
      <c r="J2691" s="194"/>
      <c r="L2691" s="194"/>
      <c r="M2691" s="194"/>
    </row>
    <row r="2692" ht="22.5" customHeight="1">
      <c r="C2692" s="193"/>
      <c r="G2692" s="193"/>
      <c r="H2692" s="194"/>
      <c r="I2692" s="194"/>
      <c r="J2692" s="194"/>
      <c r="L2692" s="194"/>
      <c r="M2692" s="194"/>
    </row>
    <row r="2693" ht="22.5" customHeight="1">
      <c r="C2693" s="193"/>
      <c r="G2693" s="193"/>
      <c r="H2693" s="194"/>
      <c r="I2693" s="194"/>
      <c r="J2693" s="194"/>
      <c r="L2693" s="194"/>
      <c r="M2693" s="194"/>
    </row>
    <row r="2694" ht="22.5" customHeight="1">
      <c r="C2694" s="193"/>
      <c r="G2694" s="193"/>
      <c r="H2694" s="194"/>
      <c r="I2694" s="194"/>
      <c r="J2694" s="194"/>
      <c r="L2694" s="194"/>
      <c r="M2694" s="194"/>
    </row>
    <row r="2695" ht="22.5" customHeight="1">
      <c r="C2695" s="193"/>
      <c r="G2695" s="193"/>
      <c r="H2695" s="194"/>
      <c r="I2695" s="194"/>
      <c r="J2695" s="194"/>
      <c r="L2695" s="194"/>
      <c r="M2695" s="194"/>
    </row>
    <row r="2696" ht="22.5" customHeight="1">
      <c r="C2696" s="193"/>
      <c r="G2696" s="193"/>
      <c r="H2696" s="194"/>
      <c r="I2696" s="194"/>
      <c r="J2696" s="194"/>
      <c r="L2696" s="194"/>
      <c r="M2696" s="194"/>
    </row>
    <row r="2697" ht="22.5" customHeight="1">
      <c r="C2697" s="193"/>
      <c r="G2697" s="193"/>
      <c r="H2697" s="194"/>
      <c r="I2697" s="194"/>
      <c r="J2697" s="194"/>
      <c r="L2697" s="194"/>
      <c r="M2697" s="194"/>
    </row>
    <row r="2698" ht="22.5" customHeight="1">
      <c r="C2698" s="193"/>
      <c r="G2698" s="193"/>
      <c r="H2698" s="194"/>
      <c r="I2698" s="194"/>
      <c r="J2698" s="194"/>
      <c r="L2698" s="194"/>
      <c r="M2698" s="194"/>
    </row>
    <row r="2699" ht="22.5" customHeight="1">
      <c r="C2699" s="193"/>
      <c r="G2699" s="193"/>
      <c r="H2699" s="194"/>
      <c r="I2699" s="194"/>
      <c r="J2699" s="194"/>
      <c r="L2699" s="194"/>
      <c r="M2699" s="194"/>
    </row>
    <row r="2700" ht="22.5" customHeight="1">
      <c r="C2700" s="193"/>
      <c r="G2700" s="193"/>
      <c r="H2700" s="194"/>
      <c r="I2700" s="194"/>
      <c r="J2700" s="194"/>
      <c r="L2700" s="194"/>
      <c r="M2700" s="194"/>
    </row>
    <row r="2701" ht="22.5" customHeight="1">
      <c r="C2701" s="193"/>
      <c r="G2701" s="193"/>
      <c r="H2701" s="194"/>
      <c r="I2701" s="194"/>
      <c r="J2701" s="194"/>
      <c r="L2701" s="194"/>
      <c r="M2701" s="194"/>
    </row>
    <row r="2702" ht="22.5" customHeight="1">
      <c r="C2702" s="193"/>
      <c r="G2702" s="193"/>
      <c r="H2702" s="194"/>
      <c r="I2702" s="194"/>
      <c r="J2702" s="194"/>
      <c r="L2702" s="194"/>
      <c r="M2702" s="194"/>
    </row>
    <row r="2703" ht="22.5" customHeight="1">
      <c r="C2703" s="193"/>
      <c r="G2703" s="193"/>
      <c r="H2703" s="194"/>
      <c r="I2703" s="194"/>
      <c r="J2703" s="194"/>
      <c r="L2703" s="194"/>
      <c r="M2703" s="194"/>
    </row>
    <row r="2704" ht="22.5" customHeight="1">
      <c r="C2704" s="193"/>
      <c r="G2704" s="193"/>
      <c r="H2704" s="194"/>
      <c r="I2704" s="194"/>
      <c r="J2704" s="194"/>
      <c r="L2704" s="194"/>
      <c r="M2704" s="194"/>
    </row>
    <row r="2705" ht="22.5" customHeight="1">
      <c r="C2705" s="193"/>
      <c r="G2705" s="193"/>
      <c r="H2705" s="194"/>
      <c r="I2705" s="194"/>
      <c r="J2705" s="194"/>
      <c r="L2705" s="194"/>
      <c r="M2705" s="194"/>
    </row>
    <row r="2706" ht="22.5" customHeight="1">
      <c r="C2706" s="193"/>
      <c r="G2706" s="193"/>
      <c r="H2706" s="194"/>
      <c r="I2706" s="194"/>
      <c r="J2706" s="194"/>
      <c r="L2706" s="194"/>
      <c r="M2706" s="194"/>
    </row>
    <row r="2707" ht="22.5" customHeight="1">
      <c r="C2707" s="193"/>
      <c r="G2707" s="193"/>
      <c r="H2707" s="194"/>
      <c r="I2707" s="194"/>
      <c r="J2707" s="194"/>
      <c r="L2707" s="194"/>
      <c r="M2707" s="194"/>
    </row>
    <row r="2708" ht="22.5" customHeight="1">
      <c r="C2708" s="193"/>
      <c r="G2708" s="193"/>
      <c r="H2708" s="194"/>
      <c r="I2708" s="194"/>
      <c r="J2708" s="194"/>
      <c r="L2708" s="194"/>
      <c r="M2708" s="194"/>
    </row>
    <row r="2709" ht="22.5" customHeight="1">
      <c r="C2709" s="193"/>
      <c r="G2709" s="193"/>
      <c r="H2709" s="194"/>
      <c r="I2709" s="194"/>
      <c r="J2709" s="194"/>
      <c r="L2709" s="194"/>
      <c r="M2709" s="194"/>
    </row>
    <row r="2710" ht="22.5" customHeight="1">
      <c r="C2710" s="193"/>
      <c r="G2710" s="193"/>
      <c r="H2710" s="194"/>
      <c r="I2710" s="194"/>
      <c r="J2710" s="194"/>
      <c r="L2710" s="194"/>
      <c r="M2710" s="194"/>
    </row>
    <row r="2711" ht="22.5" customHeight="1">
      <c r="C2711" s="193"/>
      <c r="G2711" s="193"/>
      <c r="H2711" s="194"/>
      <c r="I2711" s="194"/>
      <c r="J2711" s="194"/>
      <c r="L2711" s="194"/>
      <c r="M2711" s="194"/>
    </row>
    <row r="2712" ht="22.5" customHeight="1">
      <c r="C2712" s="193"/>
      <c r="G2712" s="193"/>
      <c r="H2712" s="194"/>
      <c r="I2712" s="194"/>
      <c r="J2712" s="194"/>
      <c r="L2712" s="194"/>
      <c r="M2712" s="194"/>
    </row>
    <row r="2713" ht="22.5" customHeight="1">
      <c r="C2713" s="193"/>
      <c r="G2713" s="193"/>
      <c r="H2713" s="194"/>
      <c r="I2713" s="194"/>
      <c r="J2713" s="194"/>
      <c r="L2713" s="194"/>
      <c r="M2713" s="194"/>
    </row>
    <row r="2714" ht="22.5" customHeight="1">
      <c r="C2714" s="193"/>
      <c r="G2714" s="193"/>
      <c r="H2714" s="194"/>
      <c r="I2714" s="194"/>
      <c r="J2714" s="194"/>
      <c r="L2714" s="194"/>
      <c r="M2714" s="194"/>
    </row>
    <row r="2715" ht="22.5" customHeight="1">
      <c r="C2715" s="193"/>
      <c r="G2715" s="193"/>
      <c r="H2715" s="194"/>
      <c r="I2715" s="194"/>
      <c r="J2715" s="194"/>
      <c r="L2715" s="194"/>
      <c r="M2715" s="194"/>
    </row>
    <row r="2716" ht="22.5" customHeight="1">
      <c r="C2716" s="193"/>
      <c r="G2716" s="193"/>
      <c r="H2716" s="194"/>
      <c r="I2716" s="194"/>
      <c r="J2716" s="194"/>
      <c r="L2716" s="194"/>
      <c r="M2716" s="194"/>
    </row>
    <row r="2717" ht="22.5" customHeight="1">
      <c r="C2717" s="193"/>
      <c r="G2717" s="193"/>
      <c r="H2717" s="194"/>
      <c r="I2717" s="194"/>
      <c r="J2717" s="194"/>
      <c r="L2717" s="194"/>
      <c r="M2717" s="194"/>
    </row>
    <row r="2718" ht="22.5" customHeight="1">
      <c r="C2718" s="193"/>
      <c r="G2718" s="193"/>
      <c r="H2718" s="194"/>
      <c r="I2718" s="194"/>
      <c r="J2718" s="194"/>
      <c r="L2718" s="194"/>
      <c r="M2718" s="194"/>
    </row>
    <row r="2719" ht="22.5" customHeight="1">
      <c r="C2719" s="193"/>
      <c r="G2719" s="193"/>
      <c r="H2719" s="194"/>
      <c r="I2719" s="194"/>
      <c r="J2719" s="194"/>
      <c r="L2719" s="194"/>
      <c r="M2719" s="194"/>
    </row>
    <row r="2720" ht="22.5" customHeight="1">
      <c r="C2720" s="193"/>
      <c r="G2720" s="193"/>
      <c r="H2720" s="194"/>
      <c r="I2720" s="194"/>
      <c r="J2720" s="194"/>
      <c r="L2720" s="194"/>
      <c r="M2720" s="194"/>
    </row>
    <row r="2721" ht="22.5" customHeight="1">
      <c r="C2721" s="193"/>
      <c r="G2721" s="193"/>
      <c r="H2721" s="194"/>
      <c r="I2721" s="194"/>
      <c r="J2721" s="194"/>
      <c r="L2721" s="194"/>
      <c r="M2721" s="194"/>
    </row>
    <row r="2722" ht="22.5" customHeight="1">
      <c r="C2722" s="193"/>
      <c r="G2722" s="193"/>
      <c r="H2722" s="194"/>
      <c r="I2722" s="194"/>
      <c r="J2722" s="194"/>
      <c r="L2722" s="194"/>
      <c r="M2722" s="194"/>
    </row>
    <row r="2723" ht="22.5" customHeight="1">
      <c r="C2723" s="193"/>
      <c r="G2723" s="193"/>
      <c r="H2723" s="194"/>
      <c r="I2723" s="194"/>
      <c r="J2723" s="194"/>
      <c r="L2723" s="194"/>
      <c r="M2723" s="194"/>
    </row>
    <row r="2724" ht="22.5" customHeight="1">
      <c r="C2724" s="193"/>
      <c r="G2724" s="193"/>
      <c r="H2724" s="194"/>
      <c r="I2724" s="194"/>
      <c r="J2724" s="194"/>
      <c r="L2724" s="194"/>
      <c r="M2724" s="194"/>
    </row>
    <row r="2725" ht="22.5" customHeight="1">
      <c r="C2725" s="193"/>
      <c r="G2725" s="193"/>
      <c r="H2725" s="194"/>
      <c r="I2725" s="194"/>
      <c r="J2725" s="194"/>
      <c r="L2725" s="194"/>
      <c r="M2725" s="194"/>
    </row>
    <row r="2726" ht="22.5" customHeight="1">
      <c r="C2726" s="193"/>
      <c r="G2726" s="193"/>
      <c r="H2726" s="194"/>
      <c r="I2726" s="194"/>
      <c r="J2726" s="194"/>
      <c r="L2726" s="194"/>
      <c r="M2726" s="194"/>
    </row>
    <row r="2727" ht="22.5" customHeight="1">
      <c r="C2727" s="193"/>
      <c r="G2727" s="193"/>
      <c r="H2727" s="194"/>
      <c r="I2727" s="194"/>
      <c r="J2727" s="194"/>
      <c r="L2727" s="194"/>
      <c r="M2727" s="194"/>
    </row>
    <row r="2728" ht="22.5" customHeight="1">
      <c r="C2728" s="193"/>
      <c r="G2728" s="193"/>
      <c r="H2728" s="194"/>
      <c r="I2728" s="194"/>
      <c r="J2728" s="194"/>
      <c r="L2728" s="194"/>
      <c r="M2728" s="194"/>
    </row>
    <row r="2729" ht="22.5" customHeight="1">
      <c r="C2729" s="193"/>
      <c r="G2729" s="193"/>
      <c r="H2729" s="194"/>
      <c r="I2729" s="194"/>
      <c r="J2729" s="194"/>
      <c r="L2729" s="194"/>
      <c r="M2729" s="194"/>
    </row>
    <row r="2730" ht="22.5" customHeight="1">
      <c r="C2730" s="193"/>
      <c r="G2730" s="193"/>
      <c r="H2730" s="194"/>
      <c r="I2730" s="194"/>
      <c r="J2730" s="194"/>
      <c r="L2730" s="194"/>
      <c r="M2730" s="194"/>
    </row>
    <row r="2731" ht="22.5" customHeight="1">
      <c r="C2731" s="193"/>
      <c r="G2731" s="193"/>
      <c r="H2731" s="194"/>
      <c r="I2731" s="194"/>
      <c r="J2731" s="194"/>
      <c r="L2731" s="194"/>
      <c r="M2731" s="194"/>
    </row>
    <row r="2732" ht="22.5" customHeight="1">
      <c r="C2732" s="193"/>
      <c r="G2732" s="193"/>
      <c r="H2732" s="194"/>
      <c r="I2732" s="194"/>
      <c r="J2732" s="194"/>
      <c r="L2732" s="194"/>
      <c r="M2732" s="194"/>
    </row>
    <row r="2733" ht="22.5" customHeight="1">
      <c r="C2733" s="193"/>
      <c r="G2733" s="193"/>
      <c r="H2733" s="194"/>
      <c r="I2733" s="194"/>
      <c r="J2733" s="194"/>
      <c r="L2733" s="194"/>
      <c r="M2733" s="194"/>
    </row>
    <row r="2734" ht="22.5" customHeight="1">
      <c r="C2734" s="193"/>
      <c r="G2734" s="193"/>
      <c r="H2734" s="194"/>
      <c r="I2734" s="194"/>
      <c r="J2734" s="194"/>
      <c r="L2734" s="194"/>
      <c r="M2734" s="194"/>
    </row>
    <row r="2735" ht="22.5" customHeight="1">
      <c r="C2735" s="193"/>
      <c r="G2735" s="193"/>
      <c r="H2735" s="194"/>
      <c r="I2735" s="194"/>
      <c r="J2735" s="194"/>
      <c r="L2735" s="194"/>
      <c r="M2735" s="194"/>
    </row>
    <row r="2736" ht="22.5" customHeight="1">
      <c r="C2736" s="193"/>
      <c r="G2736" s="193"/>
      <c r="H2736" s="194"/>
      <c r="I2736" s="194"/>
      <c r="J2736" s="194"/>
      <c r="L2736" s="194"/>
      <c r="M2736" s="194"/>
    </row>
    <row r="2737" ht="22.5" customHeight="1">
      <c r="C2737" s="193"/>
      <c r="G2737" s="193"/>
      <c r="H2737" s="194"/>
      <c r="I2737" s="194"/>
      <c r="J2737" s="194"/>
      <c r="L2737" s="194"/>
      <c r="M2737" s="194"/>
    </row>
    <row r="2738" ht="22.5" customHeight="1">
      <c r="C2738" s="193"/>
      <c r="G2738" s="193"/>
      <c r="H2738" s="194"/>
      <c r="I2738" s="194"/>
      <c r="J2738" s="194"/>
      <c r="L2738" s="194"/>
      <c r="M2738" s="194"/>
    </row>
    <row r="2739" ht="22.5" customHeight="1">
      <c r="C2739" s="193"/>
      <c r="G2739" s="193"/>
      <c r="H2739" s="194"/>
      <c r="I2739" s="194"/>
      <c r="J2739" s="194"/>
      <c r="L2739" s="194"/>
      <c r="M2739" s="194"/>
    </row>
    <row r="2740" ht="22.5" customHeight="1">
      <c r="C2740" s="193"/>
      <c r="G2740" s="193"/>
      <c r="H2740" s="194"/>
      <c r="I2740" s="194"/>
      <c r="J2740" s="194"/>
      <c r="L2740" s="194"/>
      <c r="M2740" s="194"/>
    </row>
    <row r="2741" ht="22.5" customHeight="1">
      <c r="C2741" s="193"/>
      <c r="G2741" s="193"/>
      <c r="H2741" s="194"/>
      <c r="I2741" s="194"/>
      <c r="J2741" s="194"/>
      <c r="L2741" s="194"/>
      <c r="M2741" s="194"/>
    </row>
    <row r="2742" ht="22.5" customHeight="1">
      <c r="C2742" s="193"/>
      <c r="G2742" s="193"/>
      <c r="H2742" s="194"/>
      <c r="I2742" s="194"/>
      <c r="J2742" s="194"/>
      <c r="L2742" s="194"/>
      <c r="M2742" s="194"/>
    </row>
    <row r="2743" ht="22.5" customHeight="1">
      <c r="C2743" s="193"/>
      <c r="G2743" s="193"/>
      <c r="H2743" s="194"/>
      <c r="I2743" s="194"/>
      <c r="J2743" s="194"/>
      <c r="L2743" s="194"/>
      <c r="M2743" s="194"/>
    </row>
    <row r="2744" ht="22.5" customHeight="1">
      <c r="C2744" s="193"/>
      <c r="G2744" s="193"/>
      <c r="H2744" s="194"/>
      <c r="I2744" s="194"/>
      <c r="J2744" s="194"/>
      <c r="L2744" s="194"/>
      <c r="M2744" s="194"/>
    </row>
    <row r="2745" ht="22.5" customHeight="1">
      <c r="C2745" s="193"/>
      <c r="G2745" s="193"/>
      <c r="H2745" s="194"/>
      <c r="I2745" s="194"/>
      <c r="J2745" s="194"/>
      <c r="L2745" s="194"/>
      <c r="M2745" s="194"/>
    </row>
    <row r="2746" ht="22.5" customHeight="1">
      <c r="C2746" s="193"/>
      <c r="G2746" s="193"/>
      <c r="H2746" s="194"/>
      <c r="I2746" s="194"/>
      <c r="J2746" s="194"/>
      <c r="L2746" s="194"/>
      <c r="M2746" s="194"/>
    </row>
    <row r="2747" ht="22.5" customHeight="1">
      <c r="C2747" s="193"/>
      <c r="G2747" s="193"/>
      <c r="H2747" s="194"/>
      <c r="I2747" s="194"/>
      <c r="J2747" s="194"/>
      <c r="L2747" s="194"/>
      <c r="M2747" s="194"/>
    </row>
    <row r="2748" ht="22.5" customHeight="1">
      <c r="C2748" s="193"/>
      <c r="G2748" s="193"/>
      <c r="H2748" s="194"/>
      <c r="I2748" s="194"/>
      <c r="J2748" s="194"/>
      <c r="L2748" s="194"/>
      <c r="M2748" s="194"/>
    </row>
    <row r="2749" ht="22.5" customHeight="1">
      <c r="C2749" s="193"/>
      <c r="G2749" s="193"/>
      <c r="H2749" s="194"/>
      <c r="I2749" s="194"/>
      <c r="J2749" s="194"/>
      <c r="L2749" s="194"/>
      <c r="M2749" s="194"/>
    </row>
    <row r="2750" ht="22.5" customHeight="1">
      <c r="C2750" s="193"/>
      <c r="G2750" s="193"/>
      <c r="H2750" s="194"/>
      <c r="I2750" s="194"/>
      <c r="J2750" s="194"/>
      <c r="L2750" s="194"/>
      <c r="M2750" s="194"/>
    </row>
    <row r="2751" ht="22.5" customHeight="1">
      <c r="C2751" s="193"/>
      <c r="G2751" s="193"/>
      <c r="H2751" s="194"/>
      <c r="I2751" s="194"/>
      <c r="J2751" s="194"/>
      <c r="L2751" s="194"/>
      <c r="M2751" s="194"/>
    </row>
    <row r="2752" ht="22.5" customHeight="1">
      <c r="C2752" s="193"/>
      <c r="G2752" s="193"/>
      <c r="H2752" s="194"/>
      <c r="I2752" s="194"/>
      <c r="J2752" s="194"/>
      <c r="L2752" s="194"/>
      <c r="M2752" s="194"/>
    </row>
    <row r="2753" ht="22.5" customHeight="1">
      <c r="C2753" s="193"/>
      <c r="G2753" s="193"/>
      <c r="H2753" s="194"/>
      <c r="I2753" s="194"/>
      <c r="J2753" s="194"/>
      <c r="L2753" s="194"/>
      <c r="M2753" s="194"/>
    </row>
    <row r="2754" ht="22.5" customHeight="1">
      <c r="C2754" s="193"/>
      <c r="G2754" s="193"/>
      <c r="H2754" s="194"/>
      <c r="I2754" s="194"/>
      <c r="J2754" s="194"/>
      <c r="L2754" s="194"/>
      <c r="M2754" s="194"/>
    </row>
    <row r="2755" ht="22.5" customHeight="1">
      <c r="C2755" s="193"/>
      <c r="G2755" s="193"/>
      <c r="H2755" s="194"/>
      <c r="I2755" s="194"/>
      <c r="J2755" s="194"/>
      <c r="L2755" s="194"/>
      <c r="M2755" s="194"/>
    </row>
    <row r="2756" ht="22.5" customHeight="1">
      <c r="C2756" s="193"/>
      <c r="G2756" s="193"/>
      <c r="H2756" s="194"/>
      <c r="I2756" s="194"/>
      <c r="J2756" s="194"/>
      <c r="L2756" s="194"/>
      <c r="M2756" s="194"/>
    </row>
    <row r="2757" ht="22.5" customHeight="1">
      <c r="C2757" s="193"/>
      <c r="G2757" s="193"/>
      <c r="H2757" s="194"/>
      <c r="I2757" s="194"/>
      <c r="J2757" s="194"/>
      <c r="L2757" s="194"/>
      <c r="M2757" s="194"/>
    </row>
    <row r="2758" ht="22.5" customHeight="1">
      <c r="C2758" s="193"/>
      <c r="G2758" s="193"/>
      <c r="H2758" s="194"/>
      <c r="I2758" s="194"/>
      <c r="J2758" s="194"/>
      <c r="L2758" s="194"/>
      <c r="M2758" s="194"/>
    </row>
    <row r="2759" ht="22.5" customHeight="1">
      <c r="C2759" s="193"/>
      <c r="G2759" s="193"/>
      <c r="H2759" s="194"/>
      <c r="I2759" s="194"/>
      <c r="J2759" s="194"/>
      <c r="L2759" s="194"/>
      <c r="M2759" s="194"/>
    </row>
    <row r="2760" ht="22.5" customHeight="1">
      <c r="C2760" s="193"/>
      <c r="G2760" s="193"/>
      <c r="H2760" s="194"/>
      <c r="I2760" s="194"/>
      <c r="J2760" s="194"/>
      <c r="L2760" s="194"/>
      <c r="M2760" s="194"/>
    </row>
    <row r="2761" ht="22.5" customHeight="1">
      <c r="C2761" s="193"/>
      <c r="G2761" s="193"/>
      <c r="H2761" s="194"/>
      <c r="I2761" s="194"/>
      <c r="J2761" s="194"/>
      <c r="L2761" s="194"/>
      <c r="M2761" s="194"/>
    </row>
    <row r="2762" ht="22.5" customHeight="1">
      <c r="C2762" s="193"/>
      <c r="G2762" s="193"/>
      <c r="H2762" s="194"/>
      <c r="I2762" s="194"/>
      <c r="J2762" s="194"/>
      <c r="L2762" s="194"/>
      <c r="M2762" s="194"/>
    </row>
    <row r="2763" ht="22.5" customHeight="1">
      <c r="C2763" s="193"/>
      <c r="G2763" s="193"/>
      <c r="H2763" s="194"/>
      <c r="I2763" s="194"/>
      <c r="J2763" s="194"/>
      <c r="L2763" s="194"/>
      <c r="M2763" s="194"/>
    </row>
    <row r="2764" ht="22.5" customHeight="1">
      <c r="C2764" s="193"/>
      <c r="G2764" s="193"/>
      <c r="H2764" s="194"/>
      <c r="I2764" s="194"/>
      <c r="J2764" s="194"/>
      <c r="L2764" s="194"/>
      <c r="M2764" s="194"/>
    </row>
    <row r="2765" ht="22.5" customHeight="1">
      <c r="C2765" s="193"/>
      <c r="G2765" s="193"/>
      <c r="H2765" s="194"/>
      <c r="I2765" s="194"/>
      <c r="J2765" s="194"/>
      <c r="L2765" s="194"/>
      <c r="M2765" s="194"/>
    </row>
    <row r="2766" ht="22.5" customHeight="1">
      <c r="C2766" s="193"/>
      <c r="G2766" s="193"/>
      <c r="H2766" s="194"/>
      <c r="I2766" s="194"/>
      <c r="J2766" s="194"/>
      <c r="L2766" s="194"/>
      <c r="M2766" s="194"/>
    </row>
    <row r="2767" ht="22.5" customHeight="1">
      <c r="C2767" s="193"/>
      <c r="G2767" s="193"/>
      <c r="H2767" s="194"/>
      <c r="I2767" s="194"/>
      <c r="J2767" s="194"/>
      <c r="L2767" s="194"/>
      <c r="M2767" s="194"/>
    </row>
    <row r="2768" ht="22.5" customHeight="1">
      <c r="C2768" s="193"/>
      <c r="G2768" s="193"/>
      <c r="H2768" s="194"/>
      <c r="I2768" s="194"/>
      <c r="J2768" s="194"/>
      <c r="L2768" s="194"/>
      <c r="M2768" s="194"/>
    </row>
    <row r="2769" ht="22.5" customHeight="1">
      <c r="C2769" s="193"/>
      <c r="G2769" s="193"/>
      <c r="H2769" s="194"/>
      <c r="I2769" s="194"/>
      <c r="J2769" s="194"/>
      <c r="L2769" s="194"/>
      <c r="M2769" s="194"/>
    </row>
    <row r="2770" ht="22.5" customHeight="1">
      <c r="C2770" s="193"/>
      <c r="G2770" s="193"/>
      <c r="H2770" s="194"/>
      <c r="I2770" s="194"/>
      <c r="J2770" s="194"/>
      <c r="L2770" s="194"/>
      <c r="M2770" s="194"/>
    </row>
    <row r="2771" ht="22.5" customHeight="1">
      <c r="C2771" s="193"/>
      <c r="G2771" s="193"/>
      <c r="H2771" s="194"/>
      <c r="I2771" s="194"/>
      <c r="J2771" s="194"/>
      <c r="L2771" s="194"/>
      <c r="M2771" s="194"/>
    </row>
    <row r="2772" ht="22.5" customHeight="1">
      <c r="C2772" s="193"/>
      <c r="G2772" s="193"/>
      <c r="H2772" s="194"/>
      <c r="I2772" s="194"/>
      <c r="J2772" s="194"/>
      <c r="L2772" s="194"/>
      <c r="M2772" s="194"/>
    </row>
    <row r="2773" ht="22.5" customHeight="1">
      <c r="C2773" s="193"/>
      <c r="G2773" s="193"/>
      <c r="H2773" s="194"/>
      <c r="I2773" s="194"/>
      <c r="J2773" s="194"/>
      <c r="L2773" s="194"/>
      <c r="M2773" s="194"/>
    </row>
    <row r="2774" ht="22.5" customHeight="1">
      <c r="C2774" s="193"/>
      <c r="G2774" s="193"/>
      <c r="H2774" s="194"/>
      <c r="I2774" s="194"/>
      <c r="J2774" s="194"/>
      <c r="L2774" s="194"/>
      <c r="M2774" s="194"/>
    </row>
    <row r="2775" ht="22.5" customHeight="1">
      <c r="C2775" s="193"/>
      <c r="G2775" s="193"/>
      <c r="H2775" s="194"/>
      <c r="I2775" s="194"/>
      <c r="J2775" s="194"/>
      <c r="L2775" s="194"/>
      <c r="M2775" s="194"/>
    </row>
    <row r="2776" ht="22.5" customHeight="1">
      <c r="C2776" s="193"/>
      <c r="G2776" s="193"/>
      <c r="H2776" s="194"/>
      <c r="I2776" s="194"/>
      <c r="J2776" s="194"/>
      <c r="L2776" s="194"/>
      <c r="M2776" s="194"/>
    </row>
    <row r="2777" ht="22.5" customHeight="1">
      <c r="C2777" s="193"/>
      <c r="G2777" s="193"/>
      <c r="H2777" s="194"/>
      <c r="I2777" s="194"/>
      <c r="J2777" s="194"/>
      <c r="L2777" s="194"/>
      <c r="M2777" s="194"/>
    </row>
    <row r="2778" ht="22.5" customHeight="1">
      <c r="C2778" s="193"/>
      <c r="G2778" s="193"/>
      <c r="H2778" s="194"/>
      <c r="I2778" s="194"/>
      <c r="J2778" s="194"/>
      <c r="L2778" s="194"/>
      <c r="M2778" s="194"/>
    </row>
    <row r="2779" ht="22.5" customHeight="1">
      <c r="C2779" s="193"/>
      <c r="G2779" s="193"/>
      <c r="H2779" s="194"/>
      <c r="I2779" s="194"/>
      <c r="J2779" s="194"/>
      <c r="L2779" s="194"/>
      <c r="M2779" s="194"/>
    </row>
    <row r="2780" ht="22.5" customHeight="1">
      <c r="C2780" s="193"/>
      <c r="G2780" s="193"/>
      <c r="H2780" s="194"/>
      <c r="I2780" s="194"/>
      <c r="J2780" s="194"/>
      <c r="L2780" s="194"/>
      <c r="M2780" s="194"/>
    </row>
    <row r="2781" ht="22.5" customHeight="1">
      <c r="C2781" s="193"/>
      <c r="G2781" s="193"/>
      <c r="H2781" s="194"/>
      <c r="I2781" s="194"/>
      <c r="J2781" s="194"/>
      <c r="L2781" s="194"/>
      <c r="M2781" s="194"/>
    </row>
    <row r="2782" ht="22.5" customHeight="1">
      <c r="C2782" s="193"/>
      <c r="G2782" s="193"/>
      <c r="H2782" s="194"/>
      <c r="I2782" s="194"/>
      <c r="J2782" s="194"/>
      <c r="L2782" s="194"/>
      <c r="M2782" s="194"/>
    </row>
    <row r="2783" ht="22.5" customHeight="1">
      <c r="C2783" s="193"/>
      <c r="G2783" s="193"/>
      <c r="H2783" s="194"/>
      <c r="I2783" s="194"/>
      <c r="J2783" s="194"/>
      <c r="L2783" s="194"/>
      <c r="M2783" s="194"/>
    </row>
    <row r="2784" ht="22.5" customHeight="1">
      <c r="C2784" s="193"/>
      <c r="G2784" s="193"/>
      <c r="H2784" s="194"/>
      <c r="I2784" s="194"/>
      <c r="J2784" s="194"/>
      <c r="L2784" s="194"/>
      <c r="M2784" s="194"/>
    </row>
    <row r="2785" ht="22.5" customHeight="1">
      <c r="C2785" s="193"/>
      <c r="G2785" s="193"/>
      <c r="H2785" s="194"/>
      <c r="I2785" s="194"/>
      <c r="J2785" s="194"/>
      <c r="L2785" s="194"/>
      <c r="M2785" s="194"/>
    </row>
    <row r="2786" ht="22.5" customHeight="1">
      <c r="C2786" s="193"/>
      <c r="G2786" s="193"/>
      <c r="H2786" s="194"/>
      <c r="I2786" s="194"/>
      <c r="J2786" s="194"/>
      <c r="L2786" s="194"/>
      <c r="M2786" s="194"/>
    </row>
    <row r="2787" ht="22.5" customHeight="1">
      <c r="C2787" s="193"/>
      <c r="G2787" s="193"/>
      <c r="H2787" s="194"/>
      <c r="I2787" s="194"/>
      <c r="J2787" s="194"/>
      <c r="L2787" s="194"/>
      <c r="M2787" s="194"/>
    </row>
    <row r="2788" ht="22.5" customHeight="1">
      <c r="C2788" s="193"/>
      <c r="G2788" s="193"/>
      <c r="H2788" s="194"/>
      <c r="I2788" s="194"/>
      <c r="J2788" s="194"/>
      <c r="L2788" s="194"/>
      <c r="M2788" s="194"/>
    </row>
    <row r="2789" ht="22.5" customHeight="1">
      <c r="C2789" s="193"/>
      <c r="G2789" s="193"/>
      <c r="H2789" s="194"/>
      <c r="I2789" s="194"/>
      <c r="J2789" s="194"/>
      <c r="L2789" s="194"/>
      <c r="M2789" s="194"/>
    </row>
    <row r="2790" ht="22.5" customHeight="1">
      <c r="C2790" s="193"/>
      <c r="G2790" s="193"/>
      <c r="H2790" s="194"/>
      <c r="I2790" s="194"/>
      <c r="J2790" s="194"/>
      <c r="L2790" s="194"/>
      <c r="M2790" s="194"/>
    </row>
    <row r="2791" ht="22.5" customHeight="1">
      <c r="C2791" s="193"/>
      <c r="G2791" s="193"/>
      <c r="H2791" s="194"/>
      <c r="I2791" s="194"/>
      <c r="J2791" s="194"/>
      <c r="L2791" s="194"/>
      <c r="M2791" s="194"/>
    </row>
    <row r="2792" ht="22.5" customHeight="1">
      <c r="C2792" s="193"/>
      <c r="G2792" s="193"/>
      <c r="H2792" s="194"/>
      <c r="I2792" s="194"/>
      <c r="J2792" s="194"/>
      <c r="L2792" s="194"/>
      <c r="M2792" s="194"/>
    </row>
    <row r="2793" ht="22.5" customHeight="1">
      <c r="C2793" s="193"/>
      <c r="G2793" s="193"/>
      <c r="H2793" s="194"/>
      <c r="I2793" s="194"/>
      <c r="J2793" s="194"/>
      <c r="L2793" s="194"/>
      <c r="M2793" s="194"/>
    </row>
    <row r="2794" ht="22.5" customHeight="1">
      <c r="C2794" s="193"/>
      <c r="G2794" s="193"/>
      <c r="H2794" s="194"/>
      <c r="I2794" s="194"/>
      <c r="J2794" s="194"/>
      <c r="L2794" s="194"/>
      <c r="M2794" s="194"/>
    </row>
    <row r="2795" ht="22.5" customHeight="1">
      <c r="C2795" s="193"/>
      <c r="G2795" s="193"/>
      <c r="H2795" s="194"/>
      <c r="I2795" s="194"/>
      <c r="J2795" s="194"/>
      <c r="L2795" s="194"/>
      <c r="M2795" s="194"/>
    </row>
    <row r="2796" ht="22.5" customHeight="1">
      <c r="C2796" s="193"/>
      <c r="G2796" s="193"/>
      <c r="H2796" s="194"/>
      <c r="I2796" s="194"/>
      <c r="J2796" s="194"/>
      <c r="L2796" s="194"/>
      <c r="M2796" s="194"/>
    </row>
    <row r="2797" ht="22.5" customHeight="1">
      <c r="C2797" s="193"/>
      <c r="G2797" s="193"/>
      <c r="H2797" s="194"/>
      <c r="I2797" s="194"/>
      <c r="J2797" s="194"/>
      <c r="L2797" s="194"/>
      <c r="M2797" s="194"/>
    </row>
    <row r="2798" ht="22.5" customHeight="1">
      <c r="C2798" s="193"/>
      <c r="G2798" s="193"/>
      <c r="H2798" s="194"/>
      <c r="I2798" s="194"/>
      <c r="J2798" s="194"/>
      <c r="L2798" s="194"/>
      <c r="M2798" s="194"/>
    </row>
    <row r="2799" ht="22.5" customHeight="1">
      <c r="C2799" s="193"/>
      <c r="G2799" s="193"/>
      <c r="H2799" s="194"/>
      <c r="I2799" s="194"/>
      <c r="J2799" s="194"/>
      <c r="L2799" s="194"/>
      <c r="M2799" s="194"/>
    </row>
    <row r="2800" ht="22.5" customHeight="1">
      <c r="C2800" s="193"/>
      <c r="G2800" s="193"/>
      <c r="H2800" s="194"/>
      <c r="I2800" s="194"/>
      <c r="J2800" s="194"/>
      <c r="L2800" s="194"/>
      <c r="M2800" s="194"/>
    </row>
    <row r="2801" ht="22.5" customHeight="1">
      <c r="C2801" s="193"/>
      <c r="G2801" s="193"/>
      <c r="H2801" s="194"/>
      <c r="I2801" s="194"/>
      <c r="J2801" s="194"/>
      <c r="L2801" s="194"/>
      <c r="M2801" s="194"/>
    </row>
    <row r="2802" ht="22.5" customHeight="1">
      <c r="C2802" s="193"/>
      <c r="G2802" s="193"/>
      <c r="H2802" s="194"/>
      <c r="I2802" s="194"/>
      <c r="J2802" s="194"/>
      <c r="L2802" s="194"/>
      <c r="M2802" s="194"/>
    </row>
    <row r="2803" ht="22.5" customHeight="1">
      <c r="C2803" s="193"/>
      <c r="G2803" s="193"/>
      <c r="H2803" s="194"/>
      <c r="I2803" s="194"/>
      <c r="J2803" s="194"/>
      <c r="L2803" s="194"/>
      <c r="M2803" s="194"/>
    </row>
    <row r="2804" ht="22.5" customHeight="1">
      <c r="C2804" s="193"/>
      <c r="G2804" s="193"/>
      <c r="H2804" s="194"/>
      <c r="I2804" s="194"/>
      <c r="J2804" s="194"/>
      <c r="L2804" s="194"/>
      <c r="M2804" s="194"/>
    </row>
    <row r="2805" ht="22.5" customHeight="1">
      <c r="C2805" s="193"/>
      <c r="G2805" s="193"/>
      <c r="H2805" s="194"/>
      <c r="I2805" s="194"/>
      <c r="J2805" s="194"/>
      <c r="L2805" s="194"/>
      <c r="M2805" s="194"/>
    </row>
    <row r="2806" ht="22.5" customHeight="1">
      <c r="C2806" s="193"/>
      <c r="G2806" s="193"/>
      <c r="H2806" s="194"/>
      <c r="I2806" s="194"/>
      <c r="J2806" s="194"/>
      <c r="L2806" s="194"/>
      <c r="M2806" s="194"/>
    </row>
    <row r="2807" ht="22.5" customHeight="1">
      <c r="C2807" s="193"/>
      <c r="G2807" s="193"/>
      <c r="H2807" s="194"/>
      <c r="I2807" s="194"/>
      <c r="J2807" s="194"/>
      <c r="L2807" s="194"/>
      <c r="M2807" s="194"/>
    </row>
    <row r="2808" ht="22.5" customHeight="1">
      <c r="C2808" s="193"/>
      <c r="G2808" s="193"/>
      <c r="H2808" s="194"/>
      <c r="I2808" s="194"/>
      <c r="J2808" s="194"/>
      <c r="L2808" s="194"/>
      <c r="M2808" s="194"/>
    </row>
    <row r="2809" ht="22.5" customHeight="1">
      <c r="C2809" s="193"/>
      <c r="G2809" s="193"/>
      <c r="H2809" s="194"/>
      <c r="I2809" s="194"/>
      <c r="J2809" s="194"/>
      <c r="L2809" s="194"/>
      <c r="M2809" s="194"/>
    </row>
    <row r="2810" ht="22.5" customHeight="1">
      <c r="C2810" s="193"/>
      <c r="G2810" s="193"/>
      <c r="H2810" s="194"/>
      <c r="I2810" s="194"/>
      <c r="J2810" s="194"/>
      <c r="L2810" s="194"/>
      <c r="M2810" s="194"/>
    </row>
    <row r="2811" ht="22.5" customHeight="1">
      <c r="C2811" s="193"/>
      <c r="G2811" s="193"/>
      <c r="H2811" s="194"/>
      <c r="I2811" s="194"/>
      <c r="J2811" s="194"/>
      <c r="L2811" s="194"/>
      <c r="M2811" s="194"/>
    </row>
    <row r="2812" ht="22.5" customHeight="1">
      <c r="C2812" s="193"/>
      <c r="G2812" s="193"/>
      <c r="H2812" s="194"/>
      <c r="I2812" s="194"/>
      <c r="J2812" s="194"/>
      <c r="L2812" s="194"/>
      <c r="M2812" s="194"/>
    </row>
    <row r="2813" ht="22.5" customHeight="1">
      <c r="C2813" s="193"/>
      <c r="G2813" s="193"/>
      <c r="H2813" s="194"/>
      <c r="I2813" s="194"/>
      <c r="J2813" s="194"/>
      <c r="L2813" s="194"/>
      <c r="M2813" s="194"/>
    </row>
    <row r="2814" ht="22.5" customHeight="1">
      <c r="C2814" s="193"/>
      <c r="G2814" s="193"/>
      <c r="H2814" s="194"/>
      <c r="I2814" s="194"/>
      <c r="J2814" s="194"/>
      <c r="L2814" s="194"/>
      <c r="M2814" s="194"/>
    </row>
    <row r="2815" ht="22.5" customHeight="1">
      <c r="C2815" s="193"/>
      <c r="G2815" s="193"/>
      <c r="H2815" s="194"/>
      <c r="I2815" s="194"/>
      <c r="J2815" s="194"/>
      <c r="L2815" s="194"/>
      <c r="M2815" s="194"/>
    </row>
    <row r="2816" ht="22.5" customHeight="1">
      <c r="C2816" s="193"/>
      <c r="G2816" s="193"/>
      <c r="H2816" s="194"/>
      <c r="I2816" s="194"/>
      <c r="J2816" s="194"/>
      <c r="L2816" s="194"/>
      <c r="M2816" s="194"/>
    </row>
    <row r="2817" ht="22.5" customHeight="1">
      <c r="C2817" s="193"/>
      <c r="G2817" s="193"/>
      <c r="H2817" s="194"/>
      <c r="I2817" s="194"/>
      <c r="J2817" s="194"/>
      <c r="L2817" s="194"/>
      <c r="M2817" s="194"/>
    </row>
    <row r="2818" ht="22.5" customHeight="1">
      <c r="C2818" s="193"/>
      <c r="G2818" s="193"/>
      <c r="H2818" s="194"/>
      <c r="I2818" s="194"/>
      <c r="J2818" s="194"/>
      <c r="L2818" s="194"/>
      <c r="M2818" s="194"/>
    </row>
    <row r="2819" ht="22.5" customHeight="1">
      <c r="C2819" s="193"/>
      <c r="G2819" s="193"/>
      <c r="H2819" s="194"/>
      <c r="I2819" s="194"/>
      <c r="J2819" s="194"/>
      <c r="L2819" s="194"/>
      <c r="M2819" s="194"/>
    </row>
    <row r="2820" ht="22.5" customHeight="1">
      <c r="C2820" s="193"/>
      <c r="G2820" s="193"/>
      <c r="H2820" s="194"/>
      <c r="I2820" s="194"/>
      <c r="J2820" s="194"/>
      <c r="L2820" s="194"/>
      <c r="M2820" s="194"/>
    </row>
    <row r="2821" ht="22.5" customHeight="1">
      <c r="C2821" s="193"/>
      <c r="G2821" s="193"/>
      <c r="H2821" s="194"/>
      <c r="I2821" s="194"/>
      <c r="J2821" s="194"/>
      <c r="L2821" s="194"/>
      <c r="M2821" s="194"/>
    </row>
    <row r="2822" ht="22.5" customHeight="1">
      <c r="C2822" s="193"/>
      <c r="G2822" s="193"/>
      <c r="H2822" s="194"/>
      <c r="I2822" s="194"/>
      <c r="J2822" s="194"/>
      <c r="L2822" s="194"/>
      <c r="M2822" s="194"/>
    </row>
    <row r="2823" ht="22.5" customHeight="1">
      <c r="C2823" s="193"/>
      <c r="G2823" s="193"/>
      <c r="H2823" s="194"/>
      <c r="I2823" s="194"/>
      <c r="J2823" s="194"/>
      <c r="L2823" s="194"/>
      <c r="M2823" s="194"/>
    </row>
    <row r="2824" ht="22.5" customHeight="1">
      <c r="C2824" s="193"/>
      <c r="G2824" s="193"/>
      <c r="H2824" s="194"/>
      <c r="I2824" s="194"/>
      <c r="J2824" s="194"/>
      <c r="L2824" s="194"/>
      <c r="M2824" s="194"/>
    </row>
    <row r="2825" ht="22.5" customHeight="1">
      <c r="C2825" s="193"/>
      <c r="G2825" s="193"/>
      <c r="H2825" s="194"/>
      <c r="I2825" s="194"/>
      <c r="J2825" s="194"/>
      <c r="L2825" s="194"/>
      <c r="M2825" s="194"/>
    </row>
    <row r="2826" ht="22.5" customHeight="1">
      <c r="C2826" s="193"/>
      <c r="G2826" s="193"/>
      <c r="H2826" s="194"/>
      <c r="I2826" s="194"/>
      <c r="J2826" s="194"/>
      <c r="L2826" s="194"/>
      <c r="M2826" s="194"/>
    </row>
    <row r="2827" ht="22.5" customHeight="1">
      <c r="C2827" s="193"/>
      <c r="G2827" s="193"/>
      <c r="H2827" s="194"/>
      <c r="I2827" s="194"/>
      <c r="J2827" s="194"/>
      <c r="L2827" s="194"/>
      <c r="M2827" s="194"/>
    </row>
    <row r="2828" ht="22.5" customHeight="1">
      <c r="C2828" s="193"/>
      <c r="G2828" s="193"/>
      <c r="H2828" s="194"/>
      <c r="I2828" s="194"/>
      <c r="J2828" s="194"/>
      <c r="L2828" s="194"/>
      <c r="M2828" s="194"/>
    </row>
    <row r="2829" ht="22.5" customHeight="1">
      <c r="C2829" s="193"/>
      <c r="G2829" s="193"/>
      <c r="H2829" s="194"/>
      <c r="I2829" s="194"/>
      <c r="J2829" s="194"/>
      <c r="L2829" s="194"/>
      <c r="M2829" s="194"/>
    </row>
    <row r="2830" ht="22.5" customHeight="1">
      <c r="C2830" s="193"/>
      <c r="G2830" s="193"/>
      <c r="H2830" s="194"/>
      <c r="I2830" s="194"/>
      <c r="J2830" s="194"/>
      <c r="L2830" s="194"/>
      <c r="M2830" s="194"/>
    </row>
    <row r="2831" ht="22.5" customHeight="1">
      <c r="C2831" s="193"/>
      <c r="G2831" s="193"/>
      <c r="H2831" s="194"/>
      <c r="I2831" s="194"/>
      <c r="J2831" s="194"/>
      <c r="L2831" s="194"/>
      <c r="M2831" s="194"/>
    </row>
    <row r="2832" ht="22.5" customHeight="1">
      <c r="C2832" s="193"/>
      <c r="G2832" s="193"/>
      <c r="H2832" s="194"/>
      <c r="I2832" s="194"/>
      <c r="J2832" s="194"/>
      <c r="L2832" s="194"/>
      <c r="M2832" s="194"/>
    </row>
    <row r="2833" ht="22.5" customHeight="1">
      <c r="C2833" s="193"/>
      <c r="G2833" s="193"/>
      <c r="H2833" s="194"/>
      <c r="I2833" s="194"/>
      <c r="J2833" s="194"/>
      <c r="L2833" s="194"/>
      <c r="M2833" s="194"/>
    </row>
    <row r="2834" ht="22.5" customHeight="1">
      <c r="C2834" s="193"/>
      <c r="G2834" s="193"/>
      <c r="H2834" s="194"/>
      <c r="I2834" s="194"/>
      <c r="J2834" s="194"/>
      <c r="L2834" s="194"/>
      <c r="M2834" s="194"/>
    </row>
    <row r="2835" ht="22.5" customHeight="1">
      <c r="C2835" s="193"/>
      <c r="G2835" s="193"/>
      <c r="H2835" s="194"/>
      <c r="I2835" s="194"/>
      <c r="J2835" s="194"/>
      <c r="L2835" s="194"/>
      <c r="M2835" s="194"/>
    </row>
    <row r="2836" ht="22.5" customHeight="1">
      <c r="C2836" s="193"/>
      <c r="G2836" s="193"/>
      <c r="H2836" s="194"/>
      <c r="I2836" s="194"/>
      <c r="J2836" s="194"/>
      <c r="L2836" s="194"/>
      <c r="M2836" s="194"/>
    </row>
    <row r="2837" ht="22.5" customHeight="1">
      <c r="C2837" s="193"/>
      <c r="G2837" s="193"/>
      <c r="H2837" s="194"/>
      <c r="I2837" s="194"/>
      <c r="J2837" s="194"/>
      <c r="L2837" s="194"/>
      <c r="M2837" s="194"/>
    </row>
    <row r="2838" ht="22.5" customHeight="1">
      <c r="C2838" s="193"/>
      <c r="G2838" s="193"/>
      <c r="H2838" s="194"/>
      <c r="I2838" s="194"/>
      <c r="J2838" s="194"/>
      <c r="L2838" s="194"/>
      <c r="M2838" s="194"/>
    </row>
    <row r="2839" ht="22.5" customHeight="1">
      <c r="C2839" s="193"/>
      <c r="G2839" s="193"/>
      <c r="H2839" s="194"/>
      <c r="I2839" s="194"/>
      <c r="J2839" s="194"/>
      <c r="L2839" s="194"/>
      <c r="M2839" s="194"/>
    </row>
    <row r="2840" ht="22.5" customHeight="1">
      <c r="C2840" s="193"/>
      <c r="G2840" s="193"/>
      <c r="H2840" s="194"/>
      <c r="I2840" s="194"/>
      <c r="J2840" s="194"/>
      <c r="L2840" s="194"/>
      <c r="M2840" s="194"/>
    </row>
    <row r="2841" ht="22.5" customHeight="1">
      <c r="C2841" s="193"/>
      <c r="G2841" s="193"/>
      <c r="H2841" s="194"/>
      <c r="I2841" s="194"/>
      <c r="J2841" s="194"/>
      <c r="L2841" s="194"/>
      <c r="M2841" s="194"/>
    </row>
    <row r="2842" ht="22.5" customHeight="1">
      <c r="C2842" s="193"/>
      <c r="G2842" s="193"/>
      <c r="H2842" s="194"/>
      <c r="I2842" s="194"/>
      <c r="J2842" s="194"/>
      <c r="L2842" s="194"/>
      <c r="M2842" s="194"/>
    </row>
    <row r="2843" ht="22.5" customHeight="1">
      <c r="C2843" s="193"/>
      <c r="G2843" s="193"/>
      <c r="H2843" s="194"/>
      <c r="I2843" s="194"/>
      <c r="J2843" s="194"/>
      <c r="L2843" s="194"/>
      <c r="M2843" s="194"/>
    </row>
    <row r="2844" ht="22.5" customHeight="1">
      <c r="C2844" s="193"/>
      <c r="G2844" s="193"/>
      <c r="H2844" s="194"/>
      <c r="I2844" s="194"/>
      <c r="J2844" s="194"/>
      <c r="L2844" s="194"/>
      <c r="M2844" s="194"/>
    </row>
    <row r="2845" ht="22.5" customHeight="1">
      <c r="C2845" s="193"/>
      <c r="G2845" s="193"/>
      <c r="H2845" s="194"/>
      <c r="I2845" s="194"/>
      <c r="J2845" s="194"/>
      <c r="L2845" s="194"/>
      <c r="M2845" s="194"/>
    </row>
    <row r="2846" ht="22.5" customHeight="1">
      <c r="C2846" s="193"/>
      <c r="G2846" s="193"/>
      <c r="H2846" s="194"/>
      <c r="I2846" s="194"/>
      <c r="J2846" s="194"/>
      <c r="L2846" s="194"/>
      <c r="M2846" s="194"/>
    </row>
    <row r="2847" ht="22.5" customHeight="1">
      <c r="C2847" s="193"/>
      <c r="G2847" s="193"/>
      <c r="H2847" s="194"/>
      <c r="I2847" s="194"/>
      <c r="J2847" s="194"/>
      <c r="L2847" s="194"/>
      <c r="M2847" s="194"/>
    </row>
    <row r="2848" ht="22.5" customHeight="1">
      <c r="C2848" s="193"/>
      <c r="G2848" s="193"/>
      <c r="H2848" s="194"/>
      <c r="I2848" s="194"/>
      <c r="J2848" s="194"/>
      <c r="L2848" s="194"/>
      <c r="M2848" s="194"/>
    </row>
    <row r="2849" ht="22.5" customHeight="1">
      <c r="C2849" s="193"/>
      <c r="G2849" s="193"/>
      <c r="H2849" s="194"/>
      <c r="I2849" s="194"/>
      <c r="J2849" s="194"/>
      <c r="L2849" s="194"/>
      <c r="M2849" s="194"/>
    </row>
    <row r="2850" ht="22.5" customHeight="1">
      <c r="C2850" s="193"/>
      <c r="G2850" s="193"/>
      <c r="H2850" s="194"/>
      <c r="I2850" s="194"/>
      <c r="J2850" s="194"/>
      <c r="L2850" s="194"/>
      <c r="M2850" s="194"/>
    </row>
    <row r="2851" ht="22.5" customHeight="1">
      <c r="C2851" s="193"/>
      <c r="G2851" s="193"/>
      <c r="H2851" s="194"/>
      <c r="I2851" s="194"/>
      <c r="J2851" s="194"/>
      <c r="L2851" s="194"/>
      <c r="M2851" s="194"/>
    </row>
    <row r="2852" ht="22.5" customHeight="1">
      <c r="C2852" s="193"/>
      <c r="G2852" s="193"/>
      <c r="H2852" s="194"/>
      <c r="I2852" s="194"/>
      <c r="J2852" s="194"/>
      <c r="L2852" s="194"/>
      <c r="M2852" s="194"/>
    </row>
    <row r="2853" ht="22.5" customHeight="1">
      <c r="C2853" s="193"/>
      <c r="G2853" s="193"/>
      <c r="H2853" s="194"/>
      <c r="I2853" s="194"/>
      <c r="J2853" s="194"/>
      <c r="L2853" s="194"/>
      <c r="M2853" s="194"/>
    </row>
    <row r="2854" ht="22.5" customHeight="1">
      <c r="C2854" s="193"/>
      <c r="G2854" s="193"/>
      <c r="H2854" s="194"/>
      <c r="I2854" s="194"/>
      <c r="J2854" s="194"/>
      <c r="L2854" s="194"/>
      <c r="M2854" s="194"/>
    </row>
    <row r="2855" ht="22.5" customHeight="1">
      <c r="C2855" s="193"/>
      <c r="G2855" s="193"/>
      <c r="H2855" s="194"/>
      <c r="I2855" s="194"/>
      <c r="J2855" s="194"/>
      <c r="L2855" s="194"/>
      <c r="M2855" s="194"/>
    </row>
    <row r="2856" ht="22.5" customHeight="1">
      <c r="C2856" s="193"/>
      <c r="G2856" s="193"/>
      <c r="H2856" s="194"/>
      <c r="I2856" s="194"/>
      <c r="J2856" s="194"/>
      <c r="L2856" s="194"/>
      <c r="M2856" s="194"/>
    </row>
    <row r="2857" ht="22.5" customHeight="1">
      <c r="C2857" s="193"/>
      <c r="G2857" s="193"/>
      <c r="H2857" s="194"/>
      <c r="I2857" s="194"/>
      <c r="J2857" s="194"/>
      <c r="L2857" s="194"/>
      <c r="M2857" s="194"/>
    </row>
    <row r="2858" ht="22.5" customHeight="1">
      <c r="C2858" s="193"/>
      <c r="G2858" s="193"/>
      <c r="H2858" s="194"/>
      <c r="I2858" s="194"/>
      <c r="J2858" s="194"/>
      <c r="L2858" s="194"/>
      <c r="M2858" s="194"/>
    </row>
    <row r="2859" ht="22.5" customHeight="1">
      <c r="C2859" s="193"/>
      <c r="G2859" s="193"/>
      <c r="H2859" s="194"/>
      <c r="I2859" s="194"/>
      <c r="J2859" s="194"/>
      <c r="L2859" s="194"/>
      <c r="M2859" s="194"/>
    </row>
    <row r="2860" ht="22.5" customHeight="1">
      <c r="C2860" s="193"/>
      <c r="G2860" s="193"/>
      <c r="H2860" s="194"/>
      <c r="I2860" s="194"/>
      <c r="J2860" s="194"/>
      <c r="L2860" s="194"/>
      <c r="M2860" s="194"/>
    </row>
    <row r="2861" ht="22.5" customHeight="1">
      <c r="C2861" s="193"/>
      <c r="G2861" s="193"/>
      <c r="H2861" s="194"/>
      <c r="I2861" s="194"/>
      <c r="J2861" s="194"/>
      <c r="L2861" s="194"/>
      <c r="M2861" s="194"/>
    </row>
    <row r="2862" ht="22.5" customHeight="1">
      <c r="C2862" s="193"/>
      <c r="G2862" s="193"/>
      <c r="H2862" s="194"/>
      <c r="I2862" s="194"/>
      <c r="J2862" s="194"/>
      <c r="L2862" s="194"/>
      <c r="M2862" s="194"/>
    </row>
    <row r="2863" ht="22.5" customHeight="1">
      <c r="C2863" s="193"/>
      <c r="G2863" s="193"/>
      <c r="H2863" s="194"/>
      <c r="I2863" s="194"/>
      <c r="J2863" s="194"/>
      <c r="L2863" s="194"/>
      <c r="M2863" s="194"/>
    </row>
    <row r="2864" ht="22.5" customHeight="1">
      <c r="C2864" s="193"/>
      <c r="G2864" s="193"/>
      <c r="H2864" s="194"/>
      <c r="I2864" s="194"/>
      <c r="J2864" s="194"/>
      <c r="L2864" s="194"/>
      <c r="M2864" s="194"/>
    </row>
    <row r="2865" ht="22.5" customHeight="1">
      <c r="C2865" s="193"/>
      <c r="G2865" s="193"/>
      <c r="H2865" s="194"/>
      <c r="I2865" s="194"/>
      <c r="J2865" s="194"/>
      <c r="L2865" s="194"/>
      <c r="M2865" s="194"/>
    </row>
    <row r="2866" ht="22.5" customHeight="1">
      <c r="C2866" s="193"/>
      <c r="G2866" s="193"/>
      <c r="H2866" s="194"/>
      <c r="I2866" s="194"/>
      <c r="J2866" s="194"/>
      <c r="L2866" s="194"/>
      <c r="M2866" s="194"/>
    </row>
    <row r="2867" ht="22.5" customHeight="1">
      <c r="C2867" s="193"/>
      <c r="G2867" s="193"/>
      <c r="H2867" s="194"/>
      <c r="I2867" s="194"/>
      <c r="J2867" s="194"/>
      <c r="L2867" s="194"/>
      <c r="M2867" s="194"/>
    </row>
    <row r="2868" ht="22.5" customHeight="1">
      <c r="C2868" s="193"/>
      <c r="G2868" s="193"/>
      <c r="H2868" s="194"/>
      <c r="I2868" s="194"/>
      <c r="J2868" s="194"/>
      <c r="L2868" s="194"/>
      <c r="M2868" s="194"/>
    </row>
    <row r="2869" ht="22.5" customHeight="1">
      <c r="C2869" s="193"/>
      <c r="G2869" s="193"/>
      <c r="H2869" s="194"/>
      <c r="I2869" s="194"/>
      <c r="J2869" s="194"/>
      <c r="L2869" s="194"/>
      <c r="M2869" s="194"/>
    </row>
    <row r="2870" ht="22.5" customHeight="1">
      <c r="C2870" s="193"/>
      <c r="G2870" s="193"/>
      <c r="H2870" s="194"/>
      <c r="I2870" s="194"/>
      <c r="J2870" s="194"/>
      <c r="L2870" s="194"/>
      <c r="M2870" s="194"/>
    </row>
    <row r="2871" ht="22.5" customHeight="1">
      <c r="C2871" s="193"/>
      <c r="G2871" s="193"/>
      <c r="H2871" s="194"/>
      <c r="I2871" s="194"/>
      <c r="J2871" s="194"/>
      <c r="L2871" s="194"/>
      <c r="M2871" s="194"/>
    </row>
    <row r="2872" ht="22.5" customHeight="1">
      <c r="C2872" s="193"/>
      <c r="G2872" s="193"/>
      <c r="H2872" s="194"/>
      <c r="I2872" s="194"/>
      <c r="J2872" s="194"/>
      <c r="L2872" s="194"/>
      <c r="M2872" s="194"/>
    </row>
    <row r="2873" ht="22.5" customHeight="1">
      <c r="C2873" s="193"/>
      <c r="G2873" s="193"/>
      <c r="H2873" s="194"/>
      <c r="I2873" s="194"/>
      <c r="J2873" s="194"/>
      <c r="L2873" s="194"/>
      <c r="M2873" s="194"/>
    </row>
    <row r="2874" ht="22.5" customHeight="1">
      <c r="C2874" s="193"/>
      <c r="G2874" s="193"/>
      <c r="H2874" s="194"/>
      <c r="I2874" s="194"/>
      <c r="J2874" s="194"/>
      <c r="L2874" s="194"/>
      <c r="M2874" s="194"/>
    </row>
    <row r="2875" ht="22.5" customHeight="1">
      <c r="C2875" s="193"/>
      <c r="G2875" s="193"/>
      <c r="H2875" s="194"/>
      <c r="I2875" s="194"/>
      <c r="J2875" s="194"/>
      <c r="L2875" s="194"/>
      <c r="M2875" s="194"/>
    </row>
    <row r="2876" ht="22.5" customHeight="1">
      <c r="C2876" s="193"/>
      <c r="G2876" s="193"/>
      <c r="H2876" s="194"/>
      <c r="I2876" s="194"/>
      <c r="J2876" s="194"/>
      <c r="L2876" s="194"/>
      <c r="M2876" s="194"/>
    </row>
    <row r="2877" ht="22.5" customHeight="1">
      <c r="C2877" s="193"/>
      <c r="G2877" s="193"/>
      <c r="H2877" s="194"/>
      <c r="I2877" s="194"/>
      <c r="J2877" s="194"/>
      <c r="L2877" s="194"/>
      <c r="M2877" s="194"/>
    </row>
    <row r="2878" ht="22.5" customHeight="1">
      <c r="C2878" s="193"/>
      <c r="G2878" s="193"/>
      <c r="H2878" s="194"/>
      <c r="I2878" s="194"/>
      <c r="J2878" s="194"/>
      <c r="L2878" s="194"/>
      <c r="M2878" s="194"/>
    </row>
    <row r="2879" ht="22.5" customHeight="1">
      <c r="C2879" s="193"/>
      <c r="G2879" s="193"/>
      <c r="H2879" s="194"/>
      <c r="I2879" s="194"/>
      <c r="J2879" s="194"/>
      <c r="L2879" s="194"/>
      <c r="M2879" s="194"/>
    </row>
    <row r="2880" ht="22.5" customHeight="1">
      <c r="C2880" s="193"/>
      <c r="G2880" s="193"/>
      <c r="H2880" s="194"/>
      <c r="I2880" s="194"/>
      <c r="J2880" s="194"/>
      <c r="L2880" s="194"/>
      <c r="M2880" s="194"/>
    </row>
    <row r="2881" ht="22.5" customHeight="1">
      <c r="C2881" s="193"/>
      <c r="G2881" s="193"/>
      <c r="H2881" s="194"/>
      <c r="I2881" s="194"/>
      <c r="J2881" s="194"/>
      <c r="L2881" s="194"/>
      <c r="M2881" s="194"/>
    </row>
    <row r="2882" ht="22.5" customHeight="1">
      <c r="C2882" s="193"/>
      <c r="G2882" s="193"/>
      <c r="H2882" s="194"/>
      <c r="I2882" s="194"/>
      <c r="J2882" s="194"/>
      <c r="L2882" s="194"/>
      <c r="M2882" s="194"/>
    </row>
    <row r="2883" ht="22.5" customHeight="1">
      <c r="C2883" s="193"/>
      <c r="G2883" s="193"/>
      <c r="H2883" s="194"/>
      <c r="I2883" s="194"/>
      <c r="J2883" s="194"/>
      <c r="L2883" s="194"/>
      <c r="M2883" s="194"/>
    </row>
    <row r="2884" ht="22.5" customHeight="1">
      <c r="C2884" s="193"/>
      <c r="G2884" s="193"/>
      <c r="H2884" s="194"/>
      <c r="I2884" s="194"/>
      <c r="J2884" s="194"/>
      <c r="L2884" s="194"/>
      <c r="M2884" s="194"/>
    </row>
    <row r="2885" ht="22.5" customHeight="1">
      <c r="C2885" s="193"/>
      <c r="G2885" s="193"/>
      <c r="H2885" s="194"/>
      <c r="I2885" s="194"/>
      <c r="J2885" s="194"/>
      <c r="L2885" s="194"/>
      <c r="M2885" s="194"/>
    </row>
    <row r="2886" ht="22.5" customHeight="1">
      <c r="C2886" s="193"/>
      <c r="G2886" s="193"/>
      <c r="H2886" s="194"/>
      <c r="I2886" s="194"/>
      <c r="J2886" s="194"/>
      <c r="L2886" s="194"/>
      <c r="M2886" s="194"/>
    </row>
    <row r="2887" ht="22.5" customHeight="1">
      <c r="C2887" s="193"/>
      <c r="G2887" s="193"/>
      <c r="H2887" s="194"/>
      <c r="I2887" s="194"/>
      <c r="J2887" s="194"/>
      <c r="L2887" s="194"/>
      <c r="M2887" s="194"/>
    </row>
    <row r="2888" ht="22.5" customHeight="1">
      <c r="C2888" s="193"/>
      <c r="G2888" s="193"/>
      <c r="H2888" s="194"/>
      <c r="I2888" s="194"/>
      <c r="J2888" s="194"/>
      <c r="L2888" s="194"/>
      <c r="M2888" s="194"/>
    </row>
    <row r="2889" ht="22.5" customHeight="1">
      <c r="C2889" s="193"/>
      <c r="G2889" s="193"/>
      <c r="H2889" s="194"/>
      <c r="I2889" s="194"/>
      <c r="J2889" s="194"/>
      <c r="L2889" s="194"/>
      <c r="M2889" s="194"/>
    </row>
    <row r="2890" ht="22.5" customHeight="1">
      <c r="C2890" s="193"/>
      <c r="G2890" s="193"/>
      <c r="H2890" s="194"/>
      <c r="I2890" s="194"/>
      <c r="J2890" s="194"/>
      <c r="L2890" s="194"/>
      <c r="M2890" s="194"/>
    </row>
    <row r="2891" ht="22.5" customHeight="1">
      <c r="C2891" s="193"/>
      <c r="G2891" s="193"/>
      <c r="H2891" s="194"/>
      <c r="I2891" s="194"/>
      <c r="J2891" s="194"/>
      <c r="L2891" s="194"/>
      <c r="M2891" s="194"/>
    </row>
    <row r="2892" ht="22.5" customHeight="1">
      <c r="C2892" s="193"/>
      <c r="G2892" s="193"/>
      <c r="H2892" s="194"/>
      <c r="I2892" s="194"/>
      <c r="J2892" s="194"/>
      <c r="L2892" s="194"/>
      <c r="M2892" s="194"/>
    </row>
    <row r="2893" ht="22.5" customHeight="1">
      <c r="C2893" s="193"/>
      <c r="G2893" s="193"/>
      <c r="H2893" s="194"/>
      <c r="I2893" s="194"/>
      <c r="J2893" s="194"/>
      <c r="L2893" s="194"/>
      <c r="M2893" s="194"/>
    </row>
    <row r="2894" ht="22.5" customHeight="1">
      <c r="C2894" s="193"/>
      <c r="G2894" s="193"/>
      <c r="H2894" s="194"/>
      <c r="I2894" s="194"/>
      <c r="J2894" s="194"/>
      <c r="L2894" s="194"/>
      <c r="M2894" s="194"/>
    </row>
    <row r="2895" ht="22.5" customHeight="1">
      <c r="C2895" s="193"/>
      <c r="G2895" s="193"/>
      <c r="H2895" s="194"/>
      <c r="I2895" s="194"/>
      <c r="J2895" s="194"/>
      <c r="L2895" s="194"/>
      <c r="M2895" s="194"/>
    </row>
    <row r="2896" ht="22.5" customHeight="1">
      <c r="C2896" s="193"/>
      <c r="G2896" s="193"/>
      <c r="H2896" s="194"/>
      <c r="I2896" s="194"/>
      <c r="J2896" s="194"/>
      <c r="L2896" s="194"/>
      <c r="M2896" s="194"/>
    </row>
    <row r="2897" ht="22.5" customHeight="1">
      <c r="C2897" s="193"/>
      <c r="G2897" s="193"/>
      <c r="H2897" s="194"/>
      <c r="I2897" s="194"/>
      <c r="J2897" s="194"/>
      <c r="L2897" s="194"/>
      <c r="M2897" s="194"/>
    </row>
    <row r="2898" ht="22.5" customHeight="1">
      <c r="C2898" s="193"/>
      <c r="G2898" s="193"/>
      <c r="H2898" s="194"/>
      <c r="I2898" s="194"/>
      <c r="J2898" s="194"/>
      <c r="L2898" s="194"/>
      <c r="M2898" s="194"/>
    </row>
    <row r="2899" ht="22.5" customHeight="1">
      <c r="C2899" s="193"/>
      <c r="G2899" s="193"/>
      <c r="H2899" s="194"/>
      <c r="I2899" s="194"/>
      <c r="J2899" s="194"/>
      <c r="L2899" s="194"/>
      <c r="M2899" s="194"/>
    </row>
    <row r="2900" ht="22.5" customHeight="1">
      <c r="C2900" s="193"/>
      <c r="G2900" s="193"/>
      <c r="H2900" s="194"/>
      <c r="I2900" s="194"/>
      <c r="J2900" s="194"/>
      <c r="L2900" s="194"/>
      <c r="M2900" s="194"/>
    </row>
    <row r="2901" ht="22.5" customHeight="1">
      <c r="C2901" s="193"/>
      <c r="G2901" s="193"/>
      <c r="H2901" s="194"/>
      <c r="I2901" s="194"/>
      <c r="J2901" s="194"/>
      <c r="L2901" s="194"/>
      <c r="M2901" s="194"/>
    </row>
    <row r="2902" ht="22.5" customHeight="1">
      <c r="C2902" s="193"/>
      <c r="G2902" s="193"/>
      <c r="H2902" s="194"/>
      <c r="I2902" s="194"/>
      <c r="J2902" s="194"/>
      <c r="L2902" s="194"/>
      <c r="M2902" s="194"/>
    </row>
    <row r="2903" ht="22.5" customHeight="1">
      <c r="C2903" s="193"/>
      <c r="G2903" s="193"/>
      <c r="H2903" s="194"/>
      <c r="I2903" s="194"/>
      <c r="J2903" s="194"/>
      <c r="L2903" s="194"/>
      <c r="M2903" s="194"/>
    </row>
    <row r="2904" ht="22.5" customHeight="1">
      <c r="C2904" s="193"/>
      <c r="G2904" s="193"/>
      <c r="H2904" s="194"/>
      <c r="I2904" s="194"/>
      <c r="J2904" s="194"/>
      <c r="L2904" s="194"/>
      <c r="M2904" s="194"/>
    </row>
    <row r="2905" ht="22.5" customHeight="1">
      <c r="C2905" s="193"/>
      <c r="G2905" s="193"/>
      <c r="H2905" s="194"/>
      <c r="I2905" s="194"/>
      <c r="J2905" s="194"/>
      <c r="L2905" s="194"/>
      <c r="M2905" s="194"/>
    </row>
    <row r="2906" ht="22.5" customHeight="1">
      <c r="C2906" s="193"/>
      <c r="G2906" s="193"/>
      <c r="H2906" s="194"/>
      <c r="I2906" s="194"/>
      <c r="J2906" s="194"/>
      <c r="L2906" s="194"/>
      <c r="M2906" s="194"/>
    </row>
    <row r="2907" ht="22.5" customHeight="1">
      <c r="C2907" s="193"/>
      <c r="G2907" s="193"/>
      <c r="H2907" s="194"/>
      <c r="I2907" s="194"/>
      <c r="J2907" s="194"/>
      <c r="L2907" s="194"/>
      <c r="M2907" s="194"/>
    </row>
    <row r="2908" ht="22.5" customHeight="1">
      <c r="C2908" s="193"/>
      <c r="G2908" s="193"/>
      <c r="H2908" s="194"/>
      <c r="I2908" s="194"/>
      <c r="J2908" s="194"/>
      <c r="L2908" s="194"/>
      <c r="M2908" s="194"/>
    </row>
    <row r="2909" ht="22.5" customHeight="1">
      <c r="C2909" s="193"/>
      <c r="G2909" s="193"/>
      <c r="H2909" s="194"/>
      <c r="I2909" s="194"/>
      <c r="J2909" s="194"/>
      <c r="L2909" s="194"/>
      <c r="M2909" s="194"/>
    </row>
    <row r="2910" ht="22.5" customHeight="1">
      <c r="C2910" s="193"/>
      <c r="G2910" s="193"/>
      <c r="H2910" s="194"/>
      <c r="I2910" s="194"/>
      <c r="J2910" s="194"/>
      <c r="L2910" s="194"/>
      <c r="M2910" s="194"/>
    </row>
    <row r="2911" ht="22.5" customHeight="1">
      <c r="C2911" s="193"/>
      <c r="G2911" s="193"/>
      <c r="H2911" s="194"/>
      <c r="I2911" s="194"/>
      <c r="J2911" s="194"/>
      <c r="L2911" s="194"/>
      <c r="M2911" s="194"/>
    </row>
    <row r="2912" ht="22.5" customHeight="1">
      <c r="C2912" s="193"/>
      <c r="G2912" s="193"/>
      <c r="H2912" s="194"/>
      <c r="I2912" s="194"/>
      <c r="J2912" s="194"/>
      <c r="L2912" s="194"/>
      <c r="M2912" s="194"/>
    </row>
    <row r="2913" ht="22.5" customHeight="1">
      <c r="C2913" s="193"/>
      <c r="G2913" s="193"/>
      <c r="H2913" s="194"/>
      <c r="I2913" s="194"/>
      <c r="J2913" s="194"/>
      <c r="L2913" s="194"/>
      <c r="M2913" s="194"/>
    </row>
    <row r="2914" ht="22.5" customHeight="1">
      <c r="C2914" s="193"/>
      <c r="G2914" s="193"/>
      <c r="H2914" s="194"/>
      <c r="I2914" s="194"/>
      <c r="J2914" s="194"/>
      <c r="L2914" s="194"/>
      <c r="M2914" s="194"/>
    </row>
    <row r="2915" ht="22.5" customHeight="1">
      <c r="C2915" s="193"/>
      <c r="G2915" s="193"/>
      <c r="H2915" s="194"/>
      <c r="I2915" s="194"/>
      <c r="J2915" s="194"/>
      <c r="L2915" s="194"/>
      <c r="M2915" s="194"/>
    </row>
    <row r="2916" ht="22.5" customHeight="1">
      <c r="C2916" s="193"/>
      <c r="G2916" s="193"/>
      <c r="H2916" s="194"/>
      <c r="I2916" s="194"/>
      <c r="J2916" s="194"/>
      <c r="L2916" s="194"/>
      <c r="M2916" s="194"/>
    </row>
    <row r="2917" ht="22.5" customHeight="1">
      <c r="C2917" s="193"/>
      <c r="G2917" s="193"/>
      <c r="H2917" s="194"/>
      <c r="I2917" s="194"/>
      <c r="J2917" s="194"/>
      <c r="L2917" s="194"/>
      <c r="M2917" s="194"/>
    </row>
    <row r="2918" ht="22.5" customHeight="1">
      <c r="C2918" s="193"/>
      <c r="G2918" s="193"/>
      <c r="H2918" s="194"/>
      <c r="I2918" s="194"/>
      <c r="J2918" s="194"/>
      <c r="L2918" s="194"/>
      <c r="M2918" s="194"/>
    </row>
    <row r="2919" ht="22.5" customHeight="1">
      <c r="C2919" s="193"/>
      <c r="G2919" s="193"/>
      <c r="H2919" s="194"/>
      <c r="I2919" s="194"/>
      <c r="J2919" s="194"/>
      <c r="L2919" s="194"/>
      <c r="M2919" s="194"/>
    </row>
    <row r="2920" ht="22.5" customHeight="1">
      <c r="C2920" s="193"/>
      <c r="G2920" s="193"/>
      <c r="H2920" s="194"/>
      <c r="I2920" s="194"/>
      <c r="J2920" s="194"/>
      <c r="L2920" s="194"/>
      <c r="M2920" s="194"/>
    </row>
    <row r="2921" ht="22.5" customHeight="1">
      <c r="C2921" s="193"/>
      <c r="G2921" s="193"/>
      <c r="H2921" s="194"/>
      <c r="I2921" s="194"/>
      <c r="J2921" s="194"/>
      <c r="L2921" s="194"/>
      <c r="M2921" s="194"/>
    </row>
    <row r="2922" ht="22.5" customHeight="1">
      <c r="C2922" s="193"/>
      <c r="G2922" s="193"/>
      <c r="H2922" s="194"/>
      <c r="I2922" s="194"/>
      <c r="J2922" s="194"/>
      <c r="L2922" s="194"/>
      <c r="M2922" s="194"/>
    </row>
    <row r="2923" ht="22.5" customHeight="1">
      <c r="C2923" s="193"/>
      <c r="G2923" s="193"/>
      <c r="H2923" s="194"/>
      <c r="I2923" s="194"/>
      <c r="J2923" s="194"/>
      <c r="L2923" s="194"/>
      <c r="M2923" s="194"/>
    </row>
    <row r="2924" ht="22.5" customHeight="1">
      <c r="C2924" s="193"/>
      <c r="G2924" s="193"/>
      <c r="H2924" s="194"/>
      <c r="I2924" s="194"/>
      <c r="J2924" s="194"/>
      <c r="L2924" s="194"/>
      <c r="M2924" s="194"/>
    </row>
    <row r="2925" ht="22.5" customHeight="1">
      <c r="C2925" s="193"/>
      <c r="G2925" s="193"/>
      <c r="H2925" s="194"/>
      <c r="I2925" s="194"/>
      <c r="J2925" s="194"/>
      <c r="L2925" s="194"/>
      <c r="M2925" s="194"/>
    </row>
    <row r="2926" ht="22.5" customHeight="1">
      <c r="C2926" s="193"/>
      <c r="G2926" s="193"/>
      <c r="H2926" s="194"/>
      <c r="I2926" s="194"/>
      <c r="J2926" s="194"/>
      <c r="L2926" s="194"/>
      <c r="M2926" s="194"/>
    </row>
    <row r="2927" ht="22.5" customHeight="1">
      <c r="C2927" s="193"/>
      <c r="G2927" s="193"/>
      <c r="H2927" s="194"/>
      <c r="I2927" s="194"/>
      <c r="J2927" s="194"/>
      <c r="L2927" s="194"/>
      <c r="M2927" s="194"/>
    </row>
    <row r="2928" ht="22.5" customHeight="1">
      <c r="C2928" s="193"/>
      <c r="G2928" s="193"/>
      <c r="H2928" s="194"/>
      <c r="I2928" s="194"/>
      <c r="J2928" s="194"/>
      <c r="L2928" s="194"/>
      <c r="M2928" s="194"/>
    </row>
    <row r="2929" ht="22.5" customHeight="1">
      <c r="C2929" s="193"/>
      <c r="G2929" s="193"/>
      <c r="H2929" s="194"/>
      <c r="I2929" s="194"/>
      <c r="J2929" s="194"/>
      <c r="L2929" s="194"/>
      <c r="M2929" s="194"/>
    </row>
    <row r="2930" ht="22.5" customHeight="1">
      <c r="C2930" s="193"/>
      <c r="G2930" s="193"/>
      <c r="H2930" s="194"/>
      <c r="I2930" s="194"/>
      <c r="J2930" s="194"/>
      <c r="L2930" s="194"/>
      <c r="M2930" s="194"/>
    </row>
    <row r="2931" ht="22.5" customHeight="1">
      <c r="C2931" s="193"/>
      <c r="G2931" s="193"/>
      <c r="H2931" s="194"/>
      <c r="I2931" s="194"/>
      <c r="J2931" s="194"/>
      <c r="L2931" s="194"/>
      <c r="M2931" s="194"/>
    </row>
    <row r="2932" ht="22.5" customHeight="1">
      <c r="C2932" s="193"/>
      <c r="G2932" s="193"/>
      <c r="H2932" s="194"/>
      <c r="I2932" s="194"/>
      <c r="J2932" s="194"/>
      <c r="L2932" s="194"/>
      <c r="M2932" s="194"/>
    </row>
    <row r="2933" ht="22.5" customHeight="1">
      <c r="C2933" s="193"/>
      <c r="G2933" s="193"/>
      <c r="H2933" s="194"/>
      <c r="I2933" s="194"/>
      <c r="J2933" s="194"/>
      <c r="L2933" s="194"/>
      <c r="M2933" s="194"/>
    </row>
    <row r="2934" ht="22.5" customHeight="1">
      <c r="C2934" s="193"/>
      <c r="G2934" s="193"/>
      <c r="H2934" s="194"/>
      <c r="I2934" s="194"/>
      <c r="J2934" s="194"/>
      <c r="L2934" s="194"/>
      <c r="M2934" s="194"/>
    </row>
    <row r="2935" ht="22.5" customHeight="1">
      <c r="C2935" s="193"/>
      <c r="G2935" s="193"/>
      <c r="H2935" s="194"/>
      <c r="I2935" s="194"/>
      <c r="J2935" s="194"/>
      <c r="L2935" s="194"/>
      <c r="M2935" s="194"/>
    </row>
    <row r="2936" ht="22.5" customHeight="1">
      <c r="C2936" s="193"/>
      <c r="G2936" s="193"/>
      <c r="H2936" s="194"/>
      <c r="I2936" s="194"/>
      <c r="J2936" s="194"/>
      <c r="L2936" s="194"/>
      <c r="M2936" s="194"/>
    </row>
    <row r="2937" ht="22.5" customHeight="1">
      <c r="C2937" s="193"/>
      <c r="G2937" s="193"/>
      <c r="H2937" s="194"/>
      <c r="I2937" s="194"/>
      <c r="J2937" s="194"/>
      <c r="L2937" s="194"/>
      <c r="M2937" s="194"/>
    </row>
    <row r="2938" ht="22.5" customHeight="1">
      <c r="C2938" s="193"/>
      <c r="G2938" s="193"/>
      <c r="H2938" s="194"/>
      <c r="I2938" s="194"/>
      <c r="J2938" s="194"/>
      <c r="L2938" s="194"/>
      <c r="M2938" s="194"/>
    </row>
    <row r="2939" ht="22.5" customHeight="1">
      <c r="C2939" s="193"/>
      <c r="G2939" s="193"/>
      <c r="H2939" s="194"/>
      <c r="I2939" s="194"/>
      <c r="J2939" s="194"/>
      <c r="L2939" s="194"/>
      <c r="M2939" s="194"/>
    </row>
    <row r="2940" ht="22.5" customHeight="1">
      <c r="C2940" s="193"/>
      <c r="G2940" s="193"/>
      <c r="H2940" s="194"/>
      <c r="I2940" s="194"/>
      <c r="J2940" s="194"/>
      <c r="L2940" s="194"/>
      <c r="M2940" s="194"/>
    </row>
    <row r="2941" ht="22.5" customHeight="1">
      <c r="C2941" s="193"/>
      <c r="G2941" s="193"/>
      <c r="H2941" s="194"/>
      <c r="I2941" s="194"/>
      <c r="J2941" s="194"/>
      <c r="L2941" s="194"/>
      <c r="M2941" s="194"/>
    </row>
    <row r="2942" ht="22.5" customHeight="1">
      <c r="C2942" s="193"/>
      <c r="G2942" s="193"/>
      <c r="H2942" s="194"/>
      <c r="I2942" s="194"/>
      <c r="J2942" s="194"/>
      <c r="L2942" s="194"/>
      <c r="M2942" s="194"/>
    </row>
    <row r="2943" ht="22.5" customHeight="1">
      <c r="C2943" s="193"/>
      <c r="G2943" s="193"/>
      <c r="H2943" s="194"/>
      <c r="I2943" s="194"/>
      <c r="J2943" s="194"/>
      <c r="L2943" s="194"/>
      <c r="M2943" s="194"/>
    </row>
    <row r="2944" ht="22.5" customHeight="1">
      <c r="C2944" s="193"/>
      <c r="G2944" s="193"/>
      <c r="H2944" s="194"/>
      <c r="I2944" s="194"/>
      <c r="J2944" s="194"/>
      <c r="L2944" s="194"/>
      <c r="M2944" s="194"/>
    </row>
    <row r="2945" ht="22.5" customHeight="1">
      <c r="C2945" s="193"/>
      <c r="G2945" s="193"/>
      <c r="H2945" s="194"/>
      <c r="I2945" s="194"/>
      <c r="J2945" s="194"/>
      <c r="L2945" s="194"/>
      <c r="M2945" s="194"/>
    </row>
    <row r="2946" ht="22.5" customHeight="1">
      <c r="C2946" s="193"/>
      <c r="G2946" s="193"/>
      <c r="H2946" s="194"/>
      <c r="I2946" s="194"/>
      <c r="J2946" s="194"/>
      <c r="L2946" s="194"/>
      <c r="M2946" s="194"/>
    </row>
    <row r="2947" ht="22.5" customHeight="1">
      <c r="C2947" s="193"/>
      <c r="G2947" s="193"/>
      <c r="H2947" s="194"/>
      <c r="I2947" s="194"/>
      <c r="J2947" s="194"/>
      <c r="L2947" s="194"/>
      <c r="M2947" s="194"/>
    </row>
    <row r="2948" ht="22.5" customHeight="1">
      <c r="C2948" s="193"/>
      <c r="G2948" s="193"/>
      <c r="H2948" s="194"/>
      <c r="I2948" s="194"/>
      <c r="J2948" s="194"/>
      <c r="L2948" s="194"/>
      <c r="M2948" s="194"/>
    </row>
    <row r="2949" ht="22.5" customHeight="1">
      <c r="C2949" s="193"/>
      <c r="G2949" s="193"/>
      <c r="H2949" s="194"/>
      <c r="I2949" s="194"/>
      <c r="J2949" s="194"/>
      <c r="L2949" s="194"/>
      <c r="M2949" s="194"/>
    </row>
    <row r="2950" ht="22.5" customHeight="1">
      <c r="C2950" s="193"/>
      <c r="G2950" s="193"/>
      <c r="H2950" s="194"/>
      <c r="I2950" s="194"/>
      <c r="J2950" s="194"/>
      <c r="L2950" s="194"/>
      <c r="M2950" s="194"/>
    </row>
    <row r="2951" ht="22.5" customHeight="1">
      <c r="C2951" s="193"/>
      <c r="G2951" s="193"/>
      <c r="H2951" s="194"/>
      <c r="I2951" s="194"/>
      <c r="J2951" s="194"/>
      <c r="L2951" s="194"/>
      <c r="M2951" s="194"/>
    </row>
    <row r="2952" ht="22.5" customHeight="1">
      <c r="C2952" s="193"/>
      <c r="G2952" s="193"/>
      <c r="H2952" s="194"/>
      <c r="I2952" s="194"/>
      <c r="J2952" s="194"/>
      <c r="L2952" s="194"/>
      <c r="M2952" s="194"/>
    </row>
    <row r="2953" ht="22.5" customHeight="1">
      <c r="C2953" s="193"/>
      <c r="G2953" s="193"/>
      <c r="H2953" s="194"/>
      <c r="I2953" s="194"/>
      <c r="J2953" s="194"/>
      <c r="L2953" s="194"/>
      <c r="M2953" s="194"/>
    </row>
    <row r="2954" ht="22.5" customHeight="1">
      <c r="C2954" s="193"/>
      <c r="G2954" s="193"/>
      <c r="H2954" s="194"/>
      <c r="I2954" s="194"/>
      <c r="J2954" s="194"/>
      <c r="L2954" s="194"/>
      <c r="M2954" s="194"/>
    </row>
    <row r="2955" ht="22.5" customHeight="1">
      <c r="C2955" s="193"/>
      <c r="G2955" s="193"/>
      <c r="H2955" s="194"/>
      <c r="I2955" s="194"/>
      <c r="J2955" s="194"/>
      <c r="L2955" s="194"/>
      <c r="M2955" s="194"/>
    </row>
    <row r="2956" ht="22.5" customHeight="1">
      <c r="C2956" s="193"/>
      <c r="G2956" s="193"/>
      <c r="H2956" s="194"/>
      <c r="I2956" s="194"/>
      <c r="J2956" s="194"/>
      <c r="L2956" s="194"/>
      <c r="M2956" s="194"/>
    </row>
    <row r="2957" ht="22.5" customHeight="1">
      <c r="C2957" s="193"/>
      <c r="G2957" s="193"/>
      <c r="H2957" s="194"/>
      <c r="I2957" s="194"/>
      <c r="J2957" s="194"/>
      <c r="L2957" s="194"/>
      <c r="M2957" s="194"/>
    </row>
    <row r="2958" ht="22.5" customHeight="1">
      <c r="C2958" s="193"/>
      <c r="G2958" s="193"/>
      <c r="H2958" s="194"/>
      <c r="I2958" s="194"/>
      <c r="J2958" s="194"/>
      <c r="L2958" s="194"/>
      <c r="M2958" s="194"/>
    </row>
    <row r="2959" ht="22.5" customHeight="1">
      <c r="C2959" s="193"/>
      <c r="G2959" s="193"/>
      <c r="H2959" s="194"/>
      <c r="I2959" s="194"/>
      <c r="J2959" s="194"/>
      <c r="L2959" s="194"/>
      <c r="M2959" s="194"/>
    </row>
    <row r="2960" ht="22.5" customHeight="1">
      <c r="C2960" s="193"/>
      <c r="G2960" s="193"/>
      <c r="H2960" s="194"/>
      <c r="I2960" s="194"/>
      <c r="J2960" s="194"/>
      <c r="L2960" s="194"/>
      <c r="M2960" s="194"/>
    </row>
    <row r="2961" ht="22.5" customHeight="1">
      <c r="C2961" s="193"/>
      <c r="G2961" s="193"/>
      <c r="H2961" s="194"/>
      <c r="I2961" s="194"/>
      <c r="J2961" s="194"/>
      <c r="L2961" s="194"/>
      <c r="M2961" s="194"/>
    </row>
    <row r="2962" ht="22.5" customHeight="1">
      <c r="C2962" s="193"/>
      <c r="G2962" s="193"/>
      <c r="H2962" s="194"/>
      <c r="I2962" s="194"/>
      <c r="J2962" s="194"/>
      <c r="L2962" s="194"/>
      <c r="M2962" s="194"/>
    </row>
    <row r="2963" ht="22.5" customHeight="1">
      <c r="C2963" s="193"/>
      <c r="G2963" s="193"/>
      <c r="H2963" s="194"/>
      <c r="I2963" s="194"/>
      <c r="J2963" s="194"/>
      <c r="L2963" s="194"/>
      <c r="M2963" s="194"/>
    </row>
    <row r="2964" ht="22.5" customHeight="1">
      <c r="C2964" s="193"/>
      <c r="G2964" s="193"/>
      <c r="H2964" s="194"/>
      <c r="I2964" s="194"/>
      <c r="J2964" s="194"/>
      <c r="L2964" s="194"/>
      <c r="M2964" s="194"/>
    </row>
    <row r="2965" ht="22.5" customHeight="1">
      <c r="C2965" s="193"/>
      <c r="G2965" s="193"/>
      <c r="H2965" s="194"/>
      <c r="I2965" s="194"/>
      <c r="J2965" s="194"/>
      <c r="L2965" s="194"/>
      <c r="M2965" s="194"/>
    </row>
    <row r="2966" ht="22.5" customHeight="1">
      <c r="C2966" s="193"/>
      <c r="G2966" s="193"/>
      <c r="H2966" s="194"/>
      <c r="I2966" s="194"/>
      <c r="J2966" s="194"/>
      <c r="L2966" s="194"/>
      <c r="M2966" s="194"/>
    </row>
    <row r="2967" ht="22.5" customHeight="1">
      <c r="C2967" s="193"/>
      <c r="G2967" s="193"/>
      <c r="H2967" s="194"/>
      <c r="I2967" s="194"/>
      <c r="J2967" s="194"/>
      <c r="L2967" s="194"/>
      <c r="M2967" s="194"/>
    </row>
    <row r="2968" ht="22.5" customHeight="1">
      <c r="C2968" s="193"/>
      <c r="G2968" s="193"/>
      <c r="H2968" s="194"/>
      <c r="I2968" s="194"/>
      <c r="J2968" s="194"/>
      <c r="L2968" s="194"/>
      <c r="M2968" s="194"/>
    </row>
    <row r="2969" ht="22.5" customHeight="1">
      <c r="C2969" s="193"/>
      <c r="G2969" s="193"/>
      <c r="H2969" s="194"/>
      <c r="I2969" s="194"/>
      <c r="J2969" s="194"/>
      <c r="L2969" s="194"/>
      <c r="M2969" s="194"/>
    </row>
    <row r="2970" ht="22.5" customHeight="1">
      <c r="C2970" s="193"/>
      <c r="G2970" s="193"/>
      <c r="H2970" s="194"/>
      <c r="I2970" s="194"/>
      <c r="J2970" s="194"/>
      <c r="L2970" s="194"/>
      <c r="M2970" s="194"/>
    </row>
    <row r="2971" ht="22.5" customHeight="1">
      <c r="C2971" s="193"/>
      <c r="G2971" s="193"/>
      <c r="H2971" s="194"/>
      <c r="I2971" s="194"/>
      <c r="J2971" s="194"/>
      <c r="L2971" s="194"/>
      <c r="M2971" s="194"/>
    </row>
    <row r="2972" ht="22.5" customHeight="1">
      <c r="C2972" s="193"/>
      <c r="G2972" s="193"/>
      <c r="H2972" s="194"/>
      <c r="I2972" s="194"/>
      <c r="J2972" s="194"/>
      <c r="L2972" s="194"/>
      <c r="M2972" s="194"/>
    </row>
    <row r="2973" ht="22.5" customHeight="1">
      <c r="C2973" s="193"/>
      <c r="G2973" s="193"/>
      <c r="H2973" s="194"/>
      <c r="I2973" s="194"/>
      <c r="J2973" s="194"/>
      <c r="L2973" s="194"/>
      <c r="M2973" s="194"/>
    </row>
    <row r="2974" ht="22.5" customHeight="1">
      <c r="C2974" s="193"/>
      <c r="G2974" s="193"/>
      <c r="H2974" s="194"/>
      <c r="I2974" s="194"/>
      <c r="J2974" s="194"/>
      <c r="L2974" s="194"/>
      <c r="M2974" s="194"/>
    </row>
    <row r="2975" ht="22.5" customHeight="1">
      <c r="C2975" s="193"/>
      <c r="G2975" s="193"/>
      <c r="H2975" s="194"/>
      <c r="I2975" s="194"/>
      <c r="J2975" s="194"/>
      <c r="L2975" s="194"/>
      <c r="M2975" s="194"/>
    </row>
    <row r="2976" ht="22.5" customHeight="1">
      <c r="C2976" s="193"/>
      <c r="G2976" s="193"/>
      <c r="H2976" s="194"/>
      <c r="I2976" s="194"/>
      <c r="J2976" s="194"/>
      <c r="L2976" s="194"/>
      <c r="M2976" s="194"/>
    </row>
    <row r="2977" ht="22.5" customHeight="1">
      <c r="C2977" s="193"/>
      <c r="G2977" s="193"/>
      <c r="H2977" s="194"/>
      <c r="I2977" s="194"/>
      <c r="J2977" s="194"/>
      <c r="L2977" s="194"/>
      <c r="M2977" s="194"/>
    </row>
    <row r="2978" ht="22.5" customHeight="1">
      <c r="C2978" s="193"/>
      <c r="G2978" s="193"/>
      <c r="H2978" s="194"/>
      <c r="I2978" s="194"/>
      <c r="J2978" s="194"/>
      <c r="L2978" s="194"/>
      <c r="M2978" s="194"/>
    </row>
    <row r="2979" ht="22.5" customHeight="1">
      <c r="C2979" s="193"/>
      <c r="G2979" s="193"/>
      <c r="H2979" s="194"/>
      <c r="I2979" s="194"/>
      <c r="J2979" s="194"/>
      <c r="L2979" s="194"/>
      <c r="M2979" s="194"/>
    </row>
    <row r="2980" ht="22.5" customHeight="1">
      <c r="C2980" s="193"/>
      <c r="G2980" s="193"/>
      <c r="H2980" s="194"/>
      <c r="I2980" s="194"/>
      <c r="J2980" s="194"/>
      <c r="L2980" s="194"/>
      <c r="M2980" s="194"/>
    </row>
    <row r="2981" ht="22.5" customHeight="1">
      <c r="C2981" s="193"/>
      <c r="G2981" s="193"/>
      <c r="H2981" s="194"/>
      <c r="I2981" s="194"/>
      <c r="J2981" s="194"/>
      <c r="L2981" s="194"/>
      <c r="M2981" s="194"/>
    </row>
    <row r="2982" ht="22.5" customHeight="1">
      <c r="C2982" s="193"/>
      <c r="G2982" s="193"/>
      <c r="H2982" s="194"/>
      <c r="I2982" s="194"/>
      <c r="J2982" s="194"/>
      <c r="L2982" s="194"/>
      <c r="M2982" s="194"/>
    </row>
    <row r="2983" ht="22.5" customHeight="1">
      <c r="C2983" s="193"/>
      <c r="G2983" s="193"/>
      <c r="H2983" s="194"/>
      <c r="I2983" s="194"/>
      <c r="J2983" s="194"/>
      <c r="L2983" s="194"/>
      <c r="M2983" s="194"/>
    </row>
    <row r="2984" ht="22.5" customHeight="1">
      <c r="C2984" s="193"/>
      <c r="G2984" s="193"/>
      <c r="H2984" s="194"/>
      <c r="I2984" s="194"/>
      <c r="J2984" s="194"/>
      <c r="L2984" s="194"/>
      <c r="M2984" s="194"/>
    </row>
    <row r="2985" ht="22.5" customHeight="1">
      <c r="C2985" s="193"/>
      <c r="G2985" s="193"/>
      <c r="H2985" s="194"/>
      <c r="I2985" s="194"/>
      <c r="J2985" s="194"/>
      <c r="L2985" s="194"/>
      <c r="M2985" s="194"/>
    </row>
    <row r="2986" ht="22.5" customHeight="1">
      <c r="C2986" s="193"/>
      <c r="G2986" s="193"/>
      <c r="H2986" s="194"/>
      <c r="I2986" s="194"/>
      <c r="J2986" s="194"/>
      <c r="L2986" s="194"/>
      <c r="M2986" s="194"/>
    </row>
    <row r="2987" ht="22.5" customHeight="1">
      <c r="C2987" s="193"/>
      <c r="G2987" s="193"/>
      <c r="H2987" s="194"/>
      <c r="I2987" s="194"/>
      <c r="J2987" s="194"/>
      <c r="L2987" s="194"/>
      <c r="M2987" s="194"/>
    </row>
    <row r="2988" ht="22.5" customHeight="1">
      <c r="C2988" s="193"/>
      <c r="G2988" s="193"/>
      <c r="H2988" s="194"/>
      <c r="I2988" s="194"/>
      <c r="J2988" s="194"/>
      <c r="L2988" s="194"/>
      <c r="M2988" s="194"/>
    </row>
    <row r="2989" ht="22.5" customHeight="1">
      <c r="C2989" s="193"/>
      <c r="G2989" s="193"/>
      <c r="H2989" s="194"/>
      <c r="I2989" s="194"/>
      <c r="J2989" s="194"/>
      <c r="L2989" s="194"/>
      <c r="M2989" s="194"/>
    </row>
    <row r="2990" ht="22.5" customHeight="1">
      <c r="C2990" s="193"/>
      <c r="G2990" s="193"/>
      <c r="H2990" s="194"/>
      <c r="I2990" s="194"/>
      <c r="J2990" s="194"/>
      <c r="L2990" s="194"/>
      <c r="M2990" s="194"/>
    </row>
    <row r="2991" ht="22.5" customHeight="1">
      <c r="C2991" s="193"/>
      <c r="G2991" s="193"/>
      <c r="H2991" s="194"/>
      <c r="I2991" s="194"/>
      <c r="J2991" s="194"/>
      <c r="L2991" s="194"/>
      <c r="M2991" s="194"/>
    </row>
  </sheetData>
  <conditionalFormatting sqref="J1:J2991">
    <cfRule type="colorScale" priority="1">
      <colorScale>
        <cfvo type="min"/>
        <cfvo type="max"/>
        <color rgb="FFFFFFFF"/>
        <color rgb="FFE67C73"/>
      </colorScale>
    </cfRule>
  </conditionalFormatting>
  <conditionalFormatting sqref="K1:K2991">
    <cfRule type="colorScale" priority="2">
      <colorScale>
        <cfvo type="min"/>
        <cfvo type="percentile" val="50"/>
        <cfvo type="max"/>
        <color rgb="FFE67C73"/>
        <color rgb="FFFFD666"/>
        <color rgb="FF57BB8A"/>
      </colorScale>
    </cfRule>
  </conditionalFormatting>
  <conditionalFormatting sqref="L1:L2991">
    <cfRule type="colorScale" priority="3">
      <colorScale>
        <cfvo type="min"/>
        <cfvo type="percentile" val="50"/>
        <cfvo type="max"/>
        <color rgb="FFE67C73"/>
        <color rgb="FFFFD666"/>
        <color rgb="FF57BB8A"/>
      </colorScale>
    </cfRule>
  </conditionalFormatting>
  <conditionalFormatting sqref="M1:M2991">
    <cfRule type="colorScale" priority="4">
      <colorScale>
        <cfvo type="min"/>
        <cfvo type="percentile" val="50"/>
        <cfvo type="max"/>
        <color rgb="FFE67C73"/>
        <color rgb="FFFFD666"/>
        <color rgb="FF57BB8A"/>
      </colorScale>
    </cfRule>
  </conditionalFormatting>
  <dataValidations>
    <dataValidation type="custom" allowBlank="1" showDropDown="1" sqref="C2:C2991 G2:J2991 L2:M2991">
      <formula1>AND(ISNUMBER(C2),(NOT(OR(NOT(ISERROR(DATEVALUE(C2))), AND(ISNUMBER(C2), LEFT(CELL("format", C2))="D")))))</formula1>
    </dataValidation>
  </dataValidations>
  <drawing r:id="rId1"/>
  <tableParts count="1">
    <tablePart r:id="rId3"/>
  </tableParts>
</worksheet>
</file>